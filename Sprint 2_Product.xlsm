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ables/table7.xml" ContentType="application/vnd.openxmlformats-officedocument.spreadsheetml.table+xml"/>
  <Override PartName="/xl/comments7.xml" ContentType="application/vnd.openxmlformats-officedocument.spreadsheetml.comments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yfeng\Desktop\Courses\CS620\Assigments\Team Project\"/>
    </mc:Choice>
  </mc:AlternateContent>
  <bookViews>
    <workbookView xWindow="0" yWindow="0" windowWidth="20490" windowHeight="7905" tabRatio="913"/>
  </bookViews>
  <sheets>
    <sheet name="Manual" sheetId="17" r:id="rId1"/>
    <sheet name="IProf" sheetId="3" r:id="rId2"/>
    <sheet name="HProf" sheetId="13" r:id="rId3"/>
    <sheet name="ICourse" sheetId="1" r:id="rId4"/>
    <sheet name="InfoPreReq" sheetId="4" r:id="rId5"/>
    <sheet name="InfoBlock" sheetId="2" r:id="rId6"/>
    <sheet name="OCourse" sheetId="11" r:id="rId7"/>
    <sheet name="OProf" sheetId="9" r:id="rId8"/>
    <sheet name="PrintOut" sheetId="14" r:id="rId9"/>
    <sheet name="CProf" sheetId="10" state="hidden" r:id="rId10"/>
    <sheet name="CCourse" sheetId="12" state="hidden" r:id="rId11"/>
    <sheet name="Candidates" sheetId="15" state="hidden" r:id="rId12"/>
    <sheet name="SCourse" sheetId="16" state="hidden" r:id="rId13"/>
    <sheet name="SCD" sheetId="6" state="hidden" r:id="rId14"/>
  </sheets>
  <functionGroups builtInGroupCount="18"/>
  <definedNames>
    <definedName name="_xlnm._FilterDatabase" localSheetId="11" hidden="1">Candidates!$A$1:$I$1</definedName>
    <definedName name="_xlnm._FilterDatabase" localSheetId="10" hidden="1">CCourse!#REF!</definedName>
    <definedName name="_xlnm._FilterDatabase" localSheetId="5" hidden="1">InfoBlock!$A$1:$B$29</definedName>
    <definedName name="_xlnm._FilterDatabase" localSheetId="6" hidden="1">OCourse!$A$1:$F$106</definedName>
    <definedName name="_xlnm.Print_Area" localSheetId="8">PrintOut!$A$1:$G$12</definedName>
  </definedNames>
  <calcPr calcId="152511" concurrentCalc="0"/>
  <pivotCaches>
    <pivotCache cacheId="114" r:id="rId1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5" i="6" l="1"/>
  <c r="I55" i="6"/>
  <c r="H55" i="6"/>
  <c r="F55" i="6"/>
  <c r="F24" i="6"/>
  <c r="F81" i="6"/>
  <c r="F106" i="6"/>
  <c r="F66" i="6"/>
  <c r="F47" i="6"/>
  <c r="F72" i="6"/>
  <c r="F23" i="6"/>
  <c r="F79" i="6"/>
  <c r="F104" i="6"/>
  <c r="F34" i="6"/>
  <c r="F80" i="6"/>
  <c r="F90" i="6"/>
  <c r="F49" i="6"/>
  <c r="F46" i="6"/>
  <c r="F2" i="6"/>
  <c r="F63" i="6"/>
  <c r="F95" i="6"/>
  <c r="F14" i="6"/>
  <c r="F101" i="6"/>
  <c r="F100" i="6"/>
  <c r="F20" i="6"/>
  <c r="F84" i="6"/>
  <c r="F85" i="6"/>
  <c r="F35" i="6"/>
  <c r="F75" i="6"/>
  <c r="F48" i="6"/>
  <c r="F12" i="6"/>
  <c r="F88" i="6"/>
  <c r="F4" i="6"/>
  <c r="F8" i="6"/>
  <c r="F105" i="6"/>
  <c r="F41" i="6"/>
  <c r="F33" i="6"/>
  <c r="F32" i="6"/>
  <c r="F62" i="6"/>
  <c r="F91" i="6"/>
  <c r="F82" i="6"/>
  <c r="F6" i="6"/>
  <c r="F39" i="6"/>
  <c r="F65" i="6"/>
  <c r="F71" i="6"/>
  <c r="F60" i="6"/>
  <c r="F22" i="6"/>
  <c r="F78" i="6"/>
  <c r="F56" i="6"/>
  <c r="F69" i="6"/>
  <c r="F26" i="6"/>
  <c r="F11" i="6"/>
  <c r="F76" i="6"/>
  <c r="F30" i="6"/>
  <c r="F42" i="6"/>
  <c r="F27" i="6"/>
  <c r="F99" i="6"/>
  <c r="F31" i="6"/>
  <c r="F53" i="6"/>
  <c r="F16" i="6"/>
  <c r="F89" i="6"/>
  <c r="F3" i="6"/>
  <c r="F7" i="6"/>
  <c r="F92" i="6"/>
  <c r="F43" i="6"/>
  <c r="F36" i="6"/>
  <c r="F13" i="6"/>
  <c r="F59" i="6"/>
  <c r="F5" i="6"/>
  <c r="F28" i="6"/>
  <c r="F52" i="6"/>
  <c r="F44" i="6"/>
  <c r="F96" i="6"/>
  <c r="F29" i="6"/>
  <c r="F86" i="6"/>
  <c r="F18" i="6"/>
  <c r="F98" i="6"/>
  <c r="F51" i="6"/>
  <c r="F40" i="6"/>
  <c r="F93" i="6"/>
  <c r="F58" i="6"/>
  <c r="F17" i="6"/>
  <c r="F73" i="6"/>
  <c r="F10" i="6"/>
  <c r="F19" i="6"/>
  <c r="F54" i="6"/>
  <c r="F45" i="6"/>
  <c r="F38" i="6"/>
  <c r="F57" i="6"/>
  <c r="F77" i="6"/>
  <c r="F74" i="6"/>
  <c r="F102" i="6"/>
  <c r="F67" i="6"/>
  <c r="F21" i="6"/>
  <c r="F61" i="6"/>
  <c r="F15" i="6"/>
  <c r="F68" i="6"/>
  <c r="F50" i="6"/>
  <c r="F97" i="6"/>
  <c r="F70" i="6"/>
  <c r="F83" i="6"/>
  <c r="F9" i="6"/>
  <c r="F25" i="6"/>
  <c r="F37" i="6"/>
  <c r="F87" i="6"/>
  <c r="F64" i="6"/>
  <c r="F103" i="6"/>
  <c r="F94" i="6"/>
  <c r="H24" i="6"/>
  <c r="H81" i="6"/>
  <c r="H106" i="6"/>
  <c r="H66" i="6"/>
  <c r="H47" i="6"/>
  <c r="H72" i="6"/>
  <c r="H23" i="6"/>
  <c r="H79" i="6"/>
  <c r="H104" i="6"/>
  <c r="H34" i="6"/>
  <c r="H80" i="6"/>
  <c r="H90" i="6"/>
  <c r="H49" i="6"/>
  <c r="H46" i="6"/>
  <c r="H2" i="6"/>
  <c r="H63" i="6"/>
  <c r="H95" i="6"/>
  <c r="H14" i="6"/>
  <c r="H101" i="6"/>
  <c r="H100" i="6"/>
  <c r="H20" i="6"/>
  <c r="H84" i="6"/>
  <c r="H85" i="6"/>
  <c r="H35" i="6"/>
  <c r="H75" i="6"/>
  <c r="H48" i="6"/>
  <c r="H12" i="6"/>
  <c r="H88" i="6"/>
  <c r="H4" i="6"/>
  <c r="H8" i="6"/>
  <c r="H105" i="6"/>
  <c r="H41" i="6"/>
  <c r="H33" i="6"/>
  <c r="H32" i="6"/>
  <c r="H62" i="6"/>
  <c r="H91" i="6"/>
  <c r="H82" i="6"/>
  <c r="H6" i="6"/>
  <c r="H39" i="6"/>
  <c r="H65" i="6"/>
  <c r="H71" i="6"/>
  <c r="H60" i="6"/>
  <c r="H22" i="6"/>
  <c r="H78" i="6"/>
  <c r="H56" i="6"/>
  <c r="H69" i="6"/>
  <c r="H26" i="6"/>
  <c r="H11" i="6"/>
  <c r="H76" i="6"/>
  <c r="H30" i="6"/>
  <c r="H42" i="6"/>
  <c r="H27" i="6"/>
  <c r="H99" i="6"/>
  <c r="H31" i="6"/>
  <c r="H53" i="6"/>
  <c r="H16" i="6"/>
  <c r="H89" i="6"/>
  <c r="H3" i="6"/>
  <c r="H7" i="6"/>
  <c r="H92" i="6"/>
  <c r="H43" i="6"/>
  <c r="H36" i="6"/>
  <c r="H13" i="6"/>
  <c r="H59" i="6"/>
  <c r="H5" i="6"/>
  <c r="H28" i="6"/>
  <c r="H52" i="6"/>
  <c r="H44" i="6"/>
  <c r="H96" i="6"/>
  <c r="H29" i="6"/>
  <c r="H86" i="6"/>
  <c r="H18" i="6"/>
  <c r="H98" i="6"/>
  <c r="H51" i="6"/>
  <c r="H40" i="6"/>
  <c r="H93" i="6"/>
  <c r="H58" i="6"/>
  <c r="H17" i="6"/>
  <c r="H73" i="6"/>
  <c r="H10" i="6"/>
  <c r="H19" i="6"/>
  <c r="H54" i="6"/>
  <c r="H45" i="6"/>
  <c r="H38" i="6"/>
  <c r="H57" i="6"/>
  <c r="H77" i="6"/>
  <c r="H74" i="6"/>
  <c r="H102" i="6"/>
  <c r="H67" i="6"/>
  <c r="H21" i="6"/>
  <c r="H61" i="6"/>
  <c r="H15" i="6"/>
  <c r="H68" i="6"/>
  <c r="H50" i="6"/>
  <c r="H97" i="6"/>
  <c r="H70" i="6"/>
  <c r="H83" i="6"/>
  <c r="H9" i="6"/>
  <c r="H25" i="6"/>
  <c r="H37" i="6"/>
  <c r="H87" i="6"/>
  <c r="H64" i="6"/>
  <c r="H103" i="6"/>
  <c r="H94" i="6"/>
  <c r="I24" i="6"/>
  <c r="I81" i="6"/>
  <c r="I106" i="6"/>
  <c r="I66" i="6"/>
  <c r="I47" i="6"/>
  <c r="I72" i="6"/>
  <c r="I23" i="6"/>
  <c r="I79" i="6"/>
  <c r="I104" i="6"/>
  <c r="I34" i="6"/>
  <c r="I80" i="6"/>
  <c r="I90" i="6"/>
  <c r="I49" i="6"/>
  <c r="I46" i="6"/>
  <c r="I2" i="6"/>
  <c r="I63" i="6"/>
  <c r="I95" i="6"/>
  <c r="I14" i="6"/>
  <c r="I101" i="6"/>
  <c r="I100" i="6"/>
  <c r="I20" i="6"/>
  <c r="I84" i="6"/>
  <c r="I85" i="6"/>
  <c r="I35" i="6"/>
  <c r="I75" i="6"/>
  <c r="I48" i="6"/>
  <c r="I12" i="6"/>
  <c r="I88" i="6"/>
  <c r="I4" i="6"/>
  <c r="I8" i="6"/>
  <c r="I105" i="6"/>
  <c r="I41" i="6"/>
  <c r="I33" i="6"/>
  <c r="I32" i="6"/>
  <c r="I62" i="6"/>
  <c r="I91" i="6"/>
  <c r="I82" i="6"/>
  <c r="I6" i="6"/>
  <c r="I39" i="6"/>
  <c r="I65" i="6"/>
  <c r="I71" i="6"/>
  <c r="I60" i="6"/>
  <c r="I22" i="6"/>
  <c r="I78" i="6"/>
  <c r="I56" i="6"/>
  <c r="I69" i="6"/>
  <c r="I26" i="6"/>
  <c r="I11" i="6"/>
  <c r="I76" i="6"/>
  <c r="I30" i="6"/>
  <c r="I42" i="6"/>
  <c r="I27" i="6"/>
  <c r="I99" i="6"/>
  <c r="I31" i="6"/>
  <c r="I53" i="6"/>
  <c r="I16" i="6"/>
  <c r="I89" i="6"/>
  <c r="I3" i="6"/>
  <c r="I7" i="6"/>
  <c r="I92" i="6"/>
  <c r="I43" i="6"/>
  <c r="I36" i="6"/>
  <c r="I13" i="6"/>
  <c r="I59" i="6"/>
  <c r="I5" i="6"/>
  <c r="I28" i="6"/>
  <c r="I52" i="6"/>
  <c r="I44" i="6"/>
  <c r="I96" i="6"/>
  <c r="I29" i="6"/>
  <c r="I86" i="6"/>
  <c r="I18" i="6"/>
  <c r="I98" i="6"/>
  <c r="I51" i="6"/>
  <c r="I40" i="6"/>
  <c r="I93" i="6"/>
  <c r="I58" i="6"/>
  <c r="I17" i="6"/>
  <c r="I73" i="6"/>
  <c r="I10" i="6"/>
  <c r="I19" i="6"/>
  <c r="I54" i="6"/>
  <c r="I45" i="6"/>
  <c r="I38" i="6"/>
  <c r="I57" i="6"/>
  <c r="I77" i="6"/>
  <c r="I74" i="6"/>
  <c r="I102" i="6"/>
  <c r="I67" i="6"/>
  <c r="I21" i="6"/>
  <c r="I61" i="6"/>
  <c r="I15" i="6"/>
  <c r="I68" i="6"/>
  <c r="I50" i="6"/>
  <c r="I97" i="6"/>
  <c r="I70" i="6"/>
  <c r="I83" i="6"/>
  <c r="I9" i="6"/>
  <c r="I25" i="6"/>
  <c r="I37" i="6"/>
  <c r="I87" i="6"/>
  <c r="I64" i="6"/>
  <c r="I103" i="6"/>
  <c r="I94" i="6"/>
  <c r="J24" i="6"/>
  <c r="J81" i="6"/>
  <c r="J106" i="6"/>
  <c r="J66" i="6"/>
  <c r="J47" i="6"/>
  <c r="J72" i="6"/>
  <c r="J23" i="6"/>
  <c r="J79" i="6"/>
  <c r="J104" i="6"/>
  <c r="J34" i="6"/>
  <c r="J80" i="6"/>
  <c r="J90" i="6"/>
  <c r="J49" i="6"/>
  <c r="J46" i="6"/>
  <c r="J2" i="6"/>
  <c r="J63" i="6"/>
  <c r="J95" i="6"/>
  <c r="J14" i="6"/>
  <c r="J101" i="6"/>
  <c r="J100" i="6"/>
  <c r="J20" i="6"/>
  <c r="J84" i="6"/>
  <c r="J85" i="6"/>
  <c r="J35" i="6"/>
  <c r="J75" i="6"/>
  <c r="J48" i="6"/>
  <c r="J12" i="6"/>
  <c r="J88" i="6"/>
  <c r="J4" i="6"/>
  <c r="J8" i="6"/>
  <c r="J105" i="6"/>
  <c r="J41" i="6"/>
  <c r="J33" i="6"/>
  <c r="J32" i="6"/>
  <c r="J62" i="6"/>
  <c r="J91" i="6"/>
  <c r="J82" i="6"/>
  <c r="J6" i="6"/>
  <c r="J39" i="6"/>
  <c r="J65" i="6"/>
  <c r="J71" i="6"/>
  <c r="J60" i="6"/>
  <c r="J22" i="6"/>
  <c r="J78" i="6"/>
  <c r="J56" i="6"/>
  <c r="J69" i="6"/>
  <c r="J26" i="6"/>
  <c r="J11" i="6"/>
  <c r="J76" i="6"/>
  <c r="J30" i="6"/>
  <c r="J42" i="6"/>
  <c r="J27" i="6"/>
  <c r="J99" i="6"/>
  <c r="J31" i="6"/>
  <c r="J53" i="6"/>
  <c r="J16" i="6"/>
  <c r="J89" i="6"/>
  <c r="J3" i="6"/>
  <c r="J7" i="6"/>
  <c r="J92" i="6"/>
  <c r="J43" i="6"/>
  <c r="J36" i="6"/>
  <c r="J13" i="6"/>
  <c r="J59" i="6"/>
  <c r="J5" i="6"/>
  <c r="J28" i="6"/>
  <c r="J52" i="6"/>
  <c r="J44" i="6"/>
  <c r="J96" i="6"/>
  <c r="J29" i="6"/>
  <c r="J86" i="6"/>
  <c r="J18" i="6"/>
  <c r="J98" i="6"/>
  <c r="J51" i="6"/>
  <c r="J40" i="6"/>
  <c r="J93" i="6"/>
  <c r="J58" i="6"/>
  <c r="J17" i="6"/>
  <c r="J73" i="6"/>
  <c r="J10" i="6"/>
  <c r="J19" i="6"/>
  <c r="J54" i="6"/>
  <c r="J45" i="6"/>
  <c r="J38" i="6"/>
  <c r="J57" i="6"/>
  <c r="J77" i="6"/>
  <c r="J74" i="6"/>
  <c r="J102" i="6"/>
  <c r="J67" i="6"/>
  <c r="J21" i="6"/>
  <c r="J61" i="6"/>
  <c r="J15" i="6"/>
  <c r="J68" i="6"/>
  <c r="J50" i="6"/>
  <c r="J97" i="6"/>
  <c r="J70" i="6"/>
  <c r="J83" i="6"/>
  <c r="J9" i="6"/>
  <c r="J25" i="6"/>
  <c r="J37" i="6"/>
  <c r="J87" i="6"/>
  <c r="J64" i="6"/>
  <c r="J103" i="6"/>
  <c r="J94" i="6"/>
  <c r="BO2" i="16"/>
  <c r="BN2" i="16"/>
  <c r="BM2" i="16"/>
  <c r="BL2" i="16"/>
  <c r="BK2" i="16"/>
  <c r="BJ2" i="16"/>
  <c r="BI2" i="16"/>
  <c r="BH2" i="16"/>
  <c r="I2" i="16"/>
  <c r="G2" i="16"/>
  <c r="A2" i="16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3" i="16"/>
  <c r="I54" i="16"/>
  <c r="I55" i="16"/>
  <c r="I56" i="16"/>
  <c r="I57" i="16"/>
  <c r="I58" i="16"/>
  <c r="I59" i="16"/>
  <c r="I60" i="16"/>
  <c r="I61" i="16"/>
  <c r="I62" i="16"/>
  <c r="I63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87" i="16"/>
  <c r="I88" i="16"/>
  <c r="I89" i="16"/>
  <c r="I90" i="16"/>
  <c r="I91" i="16"/>
  <c r="I92" i="16"/>
  <c r="I93" i="16"/>
  <c r="I94" i="16"/>
  <c r="I95" i="16"/>
  <c r="I96" i="16"/>
  <c r="I97" i="16"/>
  <c r="I98" i="16"/>
  <c r="I99" i="16"/>
  <c r="I100" i="16"/>
  <c r="I101" i="16"/>
  <c r="I102" i="16"/>
  <c r="I103" i="16"/>
  <c r="I104" i="16"/>
  <c r="I105" i="16"/>
  <c r="I106" i="16"/>
  <c r="BC6" i="15"/>
  <c r="BB6" i="15"/>
  <c r="BA6" i="15"/>
  <c r="F14" i="15"/>
  <c r="BA14" i="15"/>
  <c r="BB14" i="15"/>
  <c r="E14" i="15"/>
  <c r="D14" i="15"/>
  <c r="F13" i="15"/>
  <c r="BA13" i="15"/>
  <c r="BB13" i="15"/>
  <c r="E13" i="15"/>
  <c r="D13" i="15"/>
  <c r="F12" i="15"/>
  <c r="BA12" i="15"/>
  <c r="BB12" i="15"/>
  <c r="E12" i="15"/>
  <c r="D12" i="15"/>
  <c r="F11" i="15"/>
  <c r="BA11" i="15"/>
  <c r="BB11" i="15"/>
  <c r="E11" i="15"/>
  <c r="D11" i="15"/>
  <c r="F10" i="15"/>
  <c r="BA10" i="15"/>
  <c r="BB10" i="15"/>
  <c r="E10" i="15"/>
  <c r="D10" i="15"/>
  <c r="F9" i="15"/>
  <c r="BA9" i="15"/>
  <c r="BB9" i="15"/>
  <c r="E9" i="15"/>
  <c r="D9" i="15"/>
  <c r="F8" i="15"/>
  <c r="BA8" i="15"/>
  <c r="BB8" i="15"/>
  <c r="E8" i="15"/>
  <c r="D8" i="15"/>
  <c r="F7" i="15"/>
  <c r="BA7" i="15"/>
  <c r="BB7" i="15"/>
  <c r="E7" i="15"/>
  <c r="D7" i="15"/>
  <c r="F6" i="15"/>
  <c r="E6" i="15"/>
  <c r="D6" i="15"/>
  <c r="F5" i="15"/>
  <c r="BA5" i="15"/>
  <c r="BB5" i="15"/>
  <c r="E5" i="15"/>
  <c r="D5" i="15"/>
  <c r="F4" i="15"/>
  <c r="BA4" i="15"/>
  <c r="BB4" i="15"/>
  <c r="BC4" i="15"/>
  <c r="E4" i="15"/>
  <c r="D4" i="15"/>
  <c r="F3" i="15"/>
  <c r="BA3" i="15"/>
  <c r="BB3" i="15"/>
  <c r="BC3" i="15"/>
  <c r="E3" i="15"/>
  <c r="D3" i="15"/>
  <c r="F2" i="15"/>
  <c r="BA2" i="15"/>
  <c r="BB2" i="15"/>
  <c r="BC2" i="15"/>
  <c r="E2" i="15"/>
  <c r="D2" i="15"/>
  <c r="H82" i="12"/>
  <c r="G82" i="12"/>
  <c r="H106" i="12"/>
  <c r="G106" i="12"/>
  <c r="H104" i="12"/>
  <c r="G104" i="12"/>
  <c r="H60" i="12"/>
  <c r="G60" i="12"/>
  <c r="H44" i="12"/>
  <c r="G44" i="12"/>
  <c r="H40" i="12"/>
  <c r="G40" i="12"/>
  <c r="H61" i="12"/>
  <c r="G61" i="12"/>
  <c r="H7" i="12"/>
  <c r="G7" i="12"/>
  <c r="H42" i="12"/>
  <c r="G42" i="12"/>
  <c r="H103" i="12"/>
  <c r="G103" i="12"/>
  <c r="H41" i="12"/>
  <c r="G41" i="12"/>
  <c r="H100" i="12"/>
  <c r="G100" i="12"/>
  <c r="H43" i="12"/>
  <c r="G43" i="12"/>
  <c r="H71" i="12"/>
  <c r="G71" i="12"/>
  <c r="H52" i="12"/>
  <c r="G52" i="12"/>
  <c r="H91" i="12"/>
  <c r="G91" i="12"/>
  <c r="H50" i="12"/>
  <c r="G50" i="12"/>
  <c r="H79" i="12"/>
  <c r="G79" i="12"/>
  <c r="J14" i="12"/>
  <c r="H14" i="12"/>
  <c r="G14" i="12"/>
  <c r="F14" i="12"/>
  <c r="Q2" i="10"/>
  <c r="P2" i="10"/>
  <c r="O2" i="10"/>
  <c r="N2" i="10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2" i="12"/>
  <c r="F3" i="12"/>
  <c r="F4" i="12"/>
  <c r="F5" i="12"/>
  <c r="F6" i="12"/>
  <c r="F7" i="12"/>
  <c r="F8" i="12"/>
  <c r="F9" i="12"/>
  <c r="F10" i="12"/>
  <c r="F11" i="12"/>
  <c r="F12" i="12"/>
  <c r="F13" i="12"/>
  <c r="F34" i="12"/>
  <c r="F37" i="12"/>
  <c r="F40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35" i="12"/>
  <c r="F38" i="12"/>
  <c r="F41" i="12"/>
  <c r="F36" i="12"/>
  <c r="F39" i="12"/>
  <c r="F42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2" i="12"/>
  <c r="G3" i="12"/>
  <c r="G4" i="12"/>
  <c r="G5" i="12"/>
  <c r="G6" i="12"/>
  <c r="G8" i="12"/>
  <c r="G9" i="12"/>
  <c r="G10" i="12"/>
  <c r="G11" i="12"/>
  <c r="G12" i="12"/>
  <c r="G13" i="12"/>
  <c r="G34" i="12"/>
  <c r="G37" i="12"/>
  <c r="G45" i="12"/>
  <c r="G46" i="12"/>
  <c r="G47" i="12"/>
  <c r="G48" i="12"/>
  <c r="G49" i="12"/>
  <c r="G51" i="12"/>
  <c r="G53" i="12"/>
  <c r="G54" i="12"/>
  <c r="G55" i="12"/>
  <c r="G56" i="12"/>
  <c r="G57" i="12"/>
  <c r="G58" i="12"/>
  <c r="G59" i="12"/>
  <c r="G62" i="12"/>
  <c r="G63" i="12"/>
  <c r="G64" i="12"/>
  <c r="G65" i="12"/>
  <c r="G66" i="12"/>
  <c r="G67" i="12"/>
  <c r="G68" i="12"/>
  <c r="G69" i="12"/>
  <c r="G70" i="12"/>
  <c r="G72" i="12"/>
  <c r="G73" i="12"/>
  <c r="G74" i="12"/>
  <c r="G75" i="12"/>
  <c r="G76" i="12"/>
  <c r="G77" i="12"/>
  <c r="G78" i="12"/>
  <c r="G80" i="12"/>
  <c r="G81" i="12"/>
  <c r="G83" i="12"/>
  <c r="G84" i="12"/>
  <c r="G85" i="12"/>
  <c r="G86" i="12"/>
  <c r="G87" i="12"/>
  <c r="G88" i="12"/>
  <c r="G89" i="12"/>
  <c r="G90" i="12"/>
  <c r="G92" i="12"/>
  <c r="G93" i="12"/>
  <c r="G94" i="12"/>
  <c r="G95" i="12"/>
  <c r="G96" i="12"/>
  <c r="G97" i="12"/>
  <c r="G98" i="12"/>
  <c r="G99" i="12"/>
  <c r="G101" i="12"/>
  <c r="G102" i="12"/>
  <c r="G105" i="12"/>
  <c r="G35" i="12"/>
  <c r="G38" i="12"/>
  <c r="G36" i="12"/>
  <c r="G39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2" i="12"/>
  <c r="H3" i="12"/>
  <c r="H4" i="12"/>
  <c r="H5" i="12"/>
  <c r="H6" i="12"/>
  <c r="H8" i="12"/>
  <c r="H9" i="12"/>
  <c r="H10" i="12"/>
  <c r="H11" i="12"/>
  <c r="H12" i="12"/>
  <c r="H13" i="12"/>
  <c r="H34" i="12"/>
  <c r="H37" i="12"/>
  <c r="H45" i="12"/>
  <c r="H46" i="12"/>
  <c r="H47" i="12"/>
  <c r="H48" i="12"/>
  <c r="H49" i="12"/>
  <c r="H51" i="12"/>
  <c r="H53" i="12"/>
  <c r="H54" i="12"/>
  <c r="H55" i="12"/>
  <c r="H56" i="12"/>
  <c r="H57" i="12"/>
  <c r="H58" i="12"/>
  <c r="H59" i="12"/>
  <c r="H62" i="12"/>
  <c r="H63" i="12"/>
  <c r="H64" i="12"/>
  <c r="H65" i="12"/>
  <c r="H66" i="12"/>
  <c r="H67" i="12"/>
  <c r="H68" i="12"/>
  <c r="H69" i="12"/>
  <c r="H70" i="12"/>
  <c r="H72" i="12"/>
  <c r="H73" i="12"/>
  <c r="H74" i="12"/>
  <c r="H75" i="12"/>
  <c r="H76" i="12"/>
  <c r="H77" i="12"/>
  <c r="H78" i="12"/>
  <c r="H80" i="12"/>
  <c r="H81" i="12"/>
  <c r="H83" i="12"/>
  <c r="H84" i="12"/>
  <c r="H85" i="12"/>
  <c r="H86" i="12"/>
  <c r="H87" i="12"/>
  <c r="H88" i="12"/>
  <c r="H89" i="12"/>
  <c r="H90" i="12"/>
  <c r="H92" i="12"/>
  <c r="H93" i="12"/>
  <c r="H94" i="12"/>
  <c r="H95" i="12"/>
  <c r="H96" i="12"/>
  <c r="H97" i="12"/>
  <c r="H98" i="12"/>
  <c r="H99" i="12"/>
  <c r="H101" i="12"/>
  <c r="H102" i="12"/>
  <c r="H105" i="12"/>
  <c r="H35" i="12"/>
  <c r="H38" i="12"/>
  <c r="H36" i="12"/>
  <c r="H39" i="12"/>
  <c r="J15" i="12"/>
  <c r="J16" i="12"/>
  <c r="J17" i="12"/>
  <c r="J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2" i="12"/>
  <c r="J3" i="12"/>
  <c r="J4" i="12"/>
  <c r="J5" i="12"/>
  <c r="J6" i="12"/>
  <c r="J7" i="12"/>
  <c r="J8" i="12"/>
  <c r="J9" i="12"/>
  <c r="J10" i="12"/>
  <c r="J11" i="12"/>
  <c r="J12" i="12"/>
  <c r="J13" i="12"/>
  <c r="J34" i="12"/>
  <c r="J37" i="12"/>
  <c r="J40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83" i="12"/>
  <c r="J84" i="12"/>
  <c r="J85" i="12"/>
  <c r="J86" i="12"/>
  <c r="J87" i="12"/>
  <c r="J88" i="12"/>
  <c r="J89" i="12"/>
  <c r="J90" i="12"/>
  <c r="J91" i="12"/>
  <c r="J92" i="12"/>
  <c r="J93" i="12"/>
  <c r="J94" i="12"/>
  <c r="J95" i="12"/>
  <c r="J96" i="12"/>
  <c r="J97" i="12"/>
  <c r="J98" i="12"/>
  <c r="J99" i="12"/>
  <c r="J100" i="12"/>
  <c r="J101" i="12"/>
  <c r="J102" i="12"/>
  <c r="J103" i="12"/>
  <c r="J104" i="12"/>
  <c r="J105" i="12"/>
  <c r="J106" i="12"/>
  <c r="J35" i="12"/>
  <c r="J38" i="12"/>
  <c r="J41" i="12"/>
  <c r="J36" i="12"/>
  <c r="J39" i="12"/>
  <c r="J42" i="12"/>
  <c r="N3" i="10"/>
  <c r="N4" i="10"/>
  <c r="N5" i="10"/>
  <c r="N6" i="10"/>
  <c r="N7" i="10"/>
  <c r="N8" i="10"/>
  <c r="N9" i="10"/>
  <c r="N10" i="10"/>
  <c r="N11" i="10"/>
  <c r="N12" i="10"/>
  <c r="N13" i="10"/>
  <c r="N14" i="10"/>
  <c r="N15" i="10"/>
  <c r="N16" i="10"/>
  <c r="N17" i="10"/>
  <c r="N18" i="10"/>
  <c r="N19" i="10"/>
  <c r="N20" i="10"/>
  <c r="N21" i="10"/>
  <c r="N22" i="10"/>
  <c r="N23" i="10"/>
  <c r="N24" i="10"/>
  <c r="N25" i="10"/>
  <c r="N26" i="10"/>
  <c r="N27" i="10"/>
  <c r="N28" i="10"/>
  <c r="N29" i="10"/>
  <c r="N30" i="10"/>
  <c r="N31" i="10"/>
  <c r="N32" i="10"/>
  <c r="N33" i="10"/>
  <c r="N34" i="10"/>
  <c r="N35" i="10"/>
  <c r="N36" i="10"/>
  <c r="N37" i="10"/>
  <c r="N38" i="10"/>
  <c r="N39" i="10"/>
  <c r="N40" i="10"/>
  <c r="N41" i="10"/>
  <c r="N42" i="10"/>
  <c r="N43" i="10"/>
  <c r="N44" i="10"/>
  <c r="N45" i="10"/>
  <c r="N46" i="10"/>
  <c r="N47" i="10"/>
  <c r="N48" i="10"/>
  <c r="N49" i="10"/>
  <c r="N50" i="10"/>
  <c r="N51" i="10"/>
  <c r="O3" i="10"/>
  <c r="O4" i="10"/>
  <c r="O5" i="10"/>
  <c r="O6" i="10"/>
  <c r="O7" i="10"/>
  <c r="O8" i="10"/>
  <c r="O9" i="10"/>
  <c r="O10" i="10"/>
  <c r="O11" i="10"/>
  <c r="O12" i="10"/>
  <c r="O13" i="10"/>
  <c r="O14" i="10"/>
  <c r="O15" i="10"/>
  <c r="O16" i="10"/>
  <c r="O17" i="10"/>
  <c r="O18" i="10"/>
  <c r="O19" i="10"/>
  <c r="O20" i="10"/>
  <c r="O21" i="10"/>
  <c r="O22" i="10"/>
  <c r="O23" i="10"/>
  <c r="O24" i="10"/>
  <c r="O25" i="10"/>
  <c r="O26" i="10"/>
  <c r="O27" i="10"/>
  <c r="O28" i="10"/>
  <c r="O29" i="10"/>
  <c r="O30" i="10"/>
  <c r="O31" i="10"/>
  <c r="O32" i="10"/>
  <c r="O33" i="10"/>
  <c r="O34" i="10"/>
  <c r="O35" i="10"/>
  <c r="O36" i="10"/>
  <c r="O37" i="10"/>
  <c r="O38" i="10"/>
  <c r="O39" i="10"/>
  <c r="O40" i="10"/>
  <c r="O41" i="10"/>
  <c r="O42" i="10"/>
  <c r="O43" i="10"/>
  <c r="O44" i="10"/>
  <c r="O45" i="10"/>
  <c r="O46" i="10"/>
  <c r="O47" i="10"/>
  <c r="O48" i="10"/>
  <c r="O49" i="10"/>
  <c r="O50" i="10"/>
  <c r="O51" i="10"/>
  <c r="P3" i="10"/>
  <c r="P4" i="10"/>
  <c r="P5" i="10"/>
  <c r="P6" i="10"/>
  <c r="P7" i="10"/>
  <c r="P8" i="10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P43" i="10"/>
  <c r="P44" i="10"/>
  <c r="P45" i="10"/>
  <c r="P46" i="10"/>
  <c r="P47" i="10"/>
  <c r="P48" i="10"/>
  <c r="P49" i="10"/>
  <c r="P50" i="10"/>
  <c r="P51" i="10"/>
  <c r="Q3" i="10"/>
  <c r="Q4" i="10"/>
  <c r="Q5" i="10"/>
  <c r="Q6" i="10"/>
  <c r="Q7" i="10"/>
  <c r="Q8" i="10"/>
  <c r="Q9" i="10"/>
  <c r="Q10" i="10"/>
  <c r="Q11" i="10"/>
  <c r="Q12" i="10"/>
  <c r="Q13" i="10"/>
  <c r="Q14" i="10"/>
  <c r="Q15" i="10"/>
  <c r="Q16" i="10"/>
  <c r="Q17" i="10"/>
  <c r="Q18" i="10"/>
  <c r="Q19" i="10"/>
  <c r="Q20" i="10"/>
  <c r="Q21" i="10"/>
  <c r="Q22" i="10"/>
  <c r="Q23" i="10"/>
  <c r="Q24" i="10"/>
  <c r="Q25" i="10"/>
  <c r="Q26" i="10"/>
  <c r="Q27" i="10"/>
  <c r="Q28" i="10"/>
  <c r="Q29" i="10"/>
  <c r="Q30" i="10"/>
  <c r="Q31" i="10"/>
  <c r="Q32" i="10"/>
  <c r="Q33" i="10"/>
  <c r="Q34" i="10"/>
  <c r="Q35" i="10"/>
  <c r="Q36" i="10"/>
  <c r="Q37" i="10"/>
  <c r="Q38" i="10"/>
  <c r="Q39" i="10"/>
  <c r="Q40" i="10"/>
  <c r="Q41" i="10"/>
  <c r="Q42" i="10"/>
  <c r="Q43" i="10"/>
  <c r="Q44" i="10"/>
  <c r="Q45" i="10"/>
  <c r="Q46" i="10"/>
  <c r="Q47" i="10"/>
  <c r="Q48" i="10"/>
  <c r="Q49" i="10"/>
  <c r="Q50" i="10"/>
  <c r="Q51" i="10"/>
  <c r="N3" i="12"/>
  <c r="N4" i="12"/>
  <c r="N5" i="12"/>
  <c r="N6" i="12"/>
  <c r="N7" i="12"/>
  <c r="N8" i="12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2" i="12"/>
  <c r="N23" i="12"/>
  <c r="N24" i="12"/>
  <c r="N25" i="12"/>
  <c r="N26" i="12"/>
  <c r="N27" i="12"/>
  <c r="N28" i="12"/>
  <c r="N29" i="12"/>
  <c r="N30" i="12"/>
  <c r="N31" i="12"/>
  <c r="N32" i="12"/>
  <c r="N33" i="12"/>
  <c r="N34" i="12"/>
  <c r="N35" i="12"/>
  <c r="N36" i="12"/>
  <c r="N37" i="12"/>
  <c r="N38" i="12"/>
  <c r="N39" i="12"/>
  <c r="N40" i="12"/>
  <c r="N41" i="12"/>
  <c r="N42" i="12"/>
  <c r="N43" i="12"/>
  <c r="N44" i="12"/>
  <c r="N45" i="12"/>
  <c r="N46" i="12"/>
  <c r="N47" i="12"/>
  <c r="N48" i="12"/>
  <c r="N49" i="12"/>
  <c r="N50" i="12"/>
  <c r="N51" i="12"/>
  <c r="N52" i="12"/>
  <c r="N53" i="12"/>
  <c r="N54" i="12"/>
  <c r="N55" i="12"/>
  <c r="N56" i="12"/>
  <c r="N57" i="12"/>
  <c r="N58" i="12"/>
  <c r="N59" i="12"/>
  <c r="N60" i="12"/>
  <c r="N61" i="12"/>
  <c r="N62" i="12"/>
  <c r="N63" i="12"/>
  <c r="N64" i="12"/>
  <c r="N65" i="12"/>
  <c r="N66" i="12"/>
  <c r="N67" i="12"/>
  <c r="N68" i="12"/>
  <c r="N69" i="12"/>
  <c r="N70" i="12"/>
  <c r="N71" i="12"/>
  <c r="N72" i="12"/>
  <c r="N73" i="12"/>
  <c r="N74" i="12"/>
  <c r="N75" i="12"/>
  <c r="N76" i="12"/>
  <c r="N77" i="12"/>
  <c r="N78" i="12"/>
  <c r="N79" i="12"/>
  <c r="N80" i="12"/>
  <c r="N81" i="12"/>
  <c r="N82" i="12"/>
  <c r="N83" i="12"/>
  <c r="N84" i="12"/>
  <c r="N85" i="12"/>
  <c r="N86" i="12"/>
  <c r="N87" i="12"/>
  <c r="N88" i="12"/>
  <c r="N89" i="12"/>
  <c r="N90" i="12"/>
  <c r="N91" i="12"/>
  <c r="N92" i="12"/>
  <c r="N93" i="12"/>
  <c r="N94" i="12"/>
  <c r="N95" i="12"/>
  <c r="N96" i="12"/>
  <c r="N97" i="12"/>
  <c r="N98" i="12"/>
  <c r="N99" i="12"/>
  <c r="N100" i="12"/>
  <c r="N101" i="12"/>
  <c r="N102" i="12"/>
  <c r="N103" i="12"/>
  <c r="N104" i="12"/>
  <c r="N105" i="12"/>
  <c r="N106" i="12"/>
  <c r="N2" i="12"/>
  <c r="BB1" i="6" a="1"/>
  <c r="BB1" i="6"/>
  <c r="BC1" i="6"/>
  <c r="BB2" i="6" a="1"/>
  <c r="BB2" i="6"/>
  <c r="BC2" i="6"/>
  <c r="E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</calcChain>
</file>

<file path=xl/comments1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Last name, First name
required
dropdown selection from historical data, but new value can be added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required
dropdown selection (F,P)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Num of sessions to teach this semester
Dropdown (0-4)
=RANDBETWEEN(0,4)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Required,
Dropdown selection (Open courses)
=INDEX('CCourse'!$A$2:$A$85,RANDBETWEEN(1,84))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
=IF(ROUND(RAND(),0) = 1,IF(ROUND(RAND(),0) = 1,"",ROUND(RAND()*100,0)),-100)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S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T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U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V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W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X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Y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Z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A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B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C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D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E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F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G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H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I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J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K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Required
dropdown -1 ~ -6
-1 means last semester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Last name, First name
required
dropdown selection from historical data, but new value can be added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required
dropdown selection (F,P)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Num of sessions to teach this semester
Dropdown (0-4)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Required,
Dropdown selection (Open courses)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S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T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U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V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W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X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Y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Z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A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B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C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D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E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F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G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H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I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J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K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L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</commentList>
</comments>
</file>

<file path=xl/comments3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Department Shortname +3 digits string
required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3 digits string
default entry 100,
required info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required
dropdown selection (U,G)</t>
        </r>
      </text>
    </comment>
  </commentList>
</comments>
</file>

<file path=xl/comments4.xml><?xml version="1.0" encoding="utf-8"?>
<comments xmlns="http://schemas.openxmlformats.org/spreadsheetml/2006/main">
  <authors>
    <author>Windows User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Which semester data is used. 
Current one is 0, previous one is -1, etc
range: 0 ~ -6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Preference number / total number of preferences
highest rank preference is 1
String</t>
        </r>
      </text>
    </comment>
  </commentList>
</comments>
</file>

<file path=xl/comments5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Last name, First name
required
dropdown selection from historical data, but new value can be added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required
dropdown selection (F,P)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Num of sessions to teach this semester
Dropdown (0-4)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Required,
Dropdown selection (Open courses)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</commentList>
</comments>
</file>

<file path=xl/comments6.xml><?xml version="1.0" encoding="utf-8"?>
<comments xmlns="http://schemas.openxmlformats.org/spreadsheetml/2006/main">
  <authors>
    <author>Windows User</author>
  </authors>
  <commentList>
    <comment ref="I1" authorId="0" shapeId="0">
      <text>
        <r>
          <rPr>
            <b/>
            <sz val="9"/>
            <color indexed="81"/>
            <rFont val="Tahoma"/>
            <family val="2"/>
          </rPr>
          <t>Insufficient: 2
Same: 1
Extra: 0</t>
        </r>
      </text>
    </comment>
  </commentList>
</comments>
</file>

<file path=xl/comments7.xml><?xml version="1.0" encoding="utf-8"?>
<comments xmlns="http://schemas.openxmlformats.org/spreadsheetml/2006/main">
  <authors>
    <author>Windows User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Check whether it is multiple session courses or not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>Cannot be greater than number of classrooms</t>
        </r>
      </text>
    </comment>
  </commentList>
</comments>
</file>

<file path=xl/sharedStrings.xml><?xml version="1.0" encoding="utf-8"?>
<sst xmlns="http://schemas.openxmlformats.org/spreadsheetml/2006/main" count="3445" uniqueCount="523">
  <si>
    <t>Block</t>
  </si>
  <si>
    <t>Session</t>
  </si>
  <si>
    <t>Level</t>
  </si>
  <si>
    <t>U</t>
  </si>
  <si>
    <t>F</t>
  </si>
  <si>
    <t>G</t>
  </si>
  <si>
    <t>CS100</t>
  </si>
  <si>
    <t>CS200</t>
  </si>
  <si>
    <t>CS300</t>
  </si>
  <si>
    <t>CS400</t>
  </si>
  <si>
    <t>CS500</t>
  </si>
  <si>
    <t>CS600</t>
  </si>
  <si>
    <t>CS700</t>
  </si>
  <si>
    <t>CS800</t>
  </si>
  <si>
    <t>CS900</t>
  </si>
  <si>
    <t>CS901</t>
  </si>
  <si>
    <t>CS902</t>
  </si>
  <si>
    <t>CS903</t>
  </si>
  <si>
    <t>Name</t>
  </si>
  <si>
    <t>Full/Part-time</t>
  </si>
  <si>
    <t>Preference_1</t>
  </si>
  <si>
    <t>Preference_2</t>
  </si>
  <si>
    <t>Preference_3</t>
  </si>
  <si>
    <t>Preference_4</t>
  </si>
  <si>
    <t>P</t>
  </si>
  <si>
    <t>CS100 100</t>
  </si>
  <si>
    <t>CS200 100</t>
  </si>
  <si>
    <t>CS300 100</t>
  </si>
  <si>
    <t>CS400 100</t>
  </si>
  <si>
    <t>CS500 100</t>
  </si>
  <si>
    <t>SessionPK</t>
  </si>
  <si>
    <t>AvaiProf</t>
  </si>
  <si>
    <t>Course</t>
  </si>
  <si>
    <t>F/P</t>
  </si>
  <si>
    <t>Before_Noon</t>
  </si>
  <si>
    <t>After_Noon</t>
  </si>
  <si>
    <t>Professor</t>
  </si>
  <si>
    <t>Session_1</t>
  </si>
  <si>
    <t>Session_2</t>
  </si>
  <si>
    <t>Session_3</t>
  </si>
  <si>
    <t>Session_4</t>
  </si>
  <si>
    <t>MA101</t>
  </si>
  <si>
    <t>MA102</t>
  </si>
  <si>
    <t>MA103</t>
  </si>
  <si>
    <t>MA104</t>
  </si>
  <si>
    <t>MA105</t>
  </si>
  <si>
    <t>MA106</t>
  </si>
  <si>
    <t>MA107</t>
  </si>
  <si>
    <t>MA108</t>
  </si>
  <si>
    <t>MA109</t>
  </si>
  <si>
    <t>MA110</t>
  </si>
  <si>
    <t>MA111</t>
  </si>
  <si>
    <t>MA112</t>
  </si>
  <si>
    <t>MA113</t>
  </si>
  <si>
    <t>MA114</t>
  </si>
  <si>
    <t>MA115</t>
  </si>
  <si>
    <t>MA116</t>
  </si>
  <si>
    <t>MA117</t>
  </si>
  <si>
    <t>MA118</t>
  </si>
  <si>
    <t>MA119</t>
  </si>
  <si>
    <t>MA120</t>
  </si>
  <si>
    <t>MA121</t>
  </si>
  <si>
    <t>MA122</t>
  </si>
  <si>
    <t>MA123</t>
  </si>
  <si>
    <t>MA124</t>
  </si>
  <si>
    <t>MA125</t>
  </si>
  <si>
    <t>MA126</t>
  </si>
  <si>
    <t>MA127</t>
  </si>
  <si>
    <t>MA128</t>
  </si>
  <si>
    <t>MA129</t>
  </si>
  <si>
    <t>MA130</t>
  </si>
  <si>
    <t>MA131</t>
  </si>
  <si>
    <t>MA132</t>
  </si>
  <si>
    <t>MA133</t>
  </si>
  <si>
    <t>MA134</t>
  </si>
  <si>
    <t>MA135</t>
  </si>
  <si>
    <t>MA136</t>
  </si>
  <si>
    <t>MA137</t>
  </si>
  <si>
    <t>MA138</t>
  </si>
  <si>
    <t>MA139</t>
  </si>
  <si>
    <t>MA140</t>
  </si>
  <si>
    <t>MA141</t>
  </si>
  <si>
    <t>MA142</t>
  </si>
  <si>
    <t>MA143</t>
  </si>
  <si>
    <t>MA144</t>
  </si>
  <si>
    <t>MA145</t>
  </si>
  <si>
    <t>MA146</t>
  </si>
  <si>
    <t>MA147</t>
  </si>
  <si>
    <t>MA148</t>
  </si>
  <si>
    <t>MA149</t>
  </si>
  <si>
    <t>MA150</t>
  </si>
  <si>
    <t>MA151</t>
  </si>
  <si>
    <t>MA152</t>
  </si>
  <si>
    <t>MA153</t>
  </si>
  <si>
    <t>MA154</t>
  </si>
  <si>
    <t>MA155</t>
  </si>
  <si>
    <t>MA156</t>
  </si>
  <si>
    <t>MA157</t>
  </si>
  <si>
    <t>MA158</t>
  </si>
  <si>
    <t>MA159</t>
  </si>
  <si>
    <t>MA160</t>
  </si>
  <si>
    <t>MA161</t>
  </si>
  <si>
    <t>MA162</t>
  </si>
  <si>
    <t>MA163</t>
  </si>
  <si>
    <t>MA164</t>
  </si>
  <si>
    <t>MA165</t>
  </si>
  <si>
    <t>MA166</t>
  </si>
  <si>
    <t>MA167</t>
  </si>
  <si>
    <t>SessionNum</t>
  </si>
  <si>
    <t>ID</t>
  </si>
  <si>
    <t>Preference_5</t>
  </si>
  <si>
    <t>Preference_6</t>
  </si>
  <si>
    <t>Block_1</t>
  </si>
  <si>
    <t>Block_2</t>
  </si>
  <si>
    <t>Block_3</t>
  </si>
  <si>
    <t>Block_4</t>
  </si>
  <si>
    <t>Block_5</t>
  </si>
  <si>
    <t>Block_6</t>
  </si>
  <si>
    <t>Block_7</t>
  </si>
  <si>
    <t>Block_8</t>
  </si>
  <si>
    <t>Block_9</t>
  </si>
  <si>
    <t>Block_10</t>
  </si>
  <si>
    <t>Block_11</t>
  </si>
  <si>
    <t>Block_12</t>
  </si>
  <si>
    <t>Block_13</t>
  </si>
  <si>
    <t>Block_14</t>
  </si>
  <si>
    <t>Block_15</t>
  </si>
  <si>
    <t>Block_16</t>
  </si>
  <si>
    <t>Block_17</t>
  </si>
  <si>
    <t>Block_18</t>
  </si>
  <si>
    <t>Block_19</t>
  </si>
  <si>
    <t>Block_20</t>
  </si>
  <si>
    <t>Block_21</t>
  </si>
  <si>
    <t>Block_22</t>
  </si>
  <si>
    <t>Block_23</t>
  </si>
  <si>
    <t>Block_24</t>
  </si>
  <si>
    <t>Block_25</t>
  </si>
  <si>
    <t>Block_26</t>
  </si>
  <si>
    <t>Block_27</t>
  </si>
  <si>
    <t>Block_28</t>
  </si>
  <si>
    <t>TimePrefInput</t>
  </si>
  <si>
    <t>Semester</t>
  </si>
  <si>
    <t>TimePrefNum</t>
  </si>
  <si>
    <t>FI100</t>
  </si>
  <si>
    <t>FI200</t>
  </si>
  <si>
    <t>FI300</t>
  </si>
  <si>
    <t>WORKSHEET</t>
  </si>
  <si>
    <t>MONDAY</t>
  </si>
  <si>
    <t>TUESDAY</t>
  </si>
  <si>
    <t>WEDNESDAY</t>
  </si>
  <si>
    <t>THURSDAY</t>
  </si>
  <si>
    <t>FRIDAY</t>
  </si>
  <si>
    <t>8:00-9:20</t>
  </si>
  <si>
    <t>A</t>
  </si>
  <si>
    <t>9:30-10:50</t>
  </si>
  <si>
    <t>B</t>
  </si>
  <si>
    <t>11:00-12:20</t>
  </si>
  <si>
    <t>C</t>
  </si>
  <si>
    <t>12:30-1:50</t>
  </si>
  <si>
    <t>D</t>
  </si>
  <si>
    <t>2:00-3:20</t>
  </si>
  <si>
    <t>E</t>
  </si>
  <si>
    <t>ACTIVITY PERIOD</t>
  </si>
  <si>
    <t>3:30-4:50</t>
  </si>
  <si>
    <t>5:00-6:20</t>
  </si>
  <si>
    <t>6:30-9:10</t>
  </si>
  <si>
    <t>EVENING</t>
  </si>
  <si>
    <t>5:00-7:20</t>
  </si>
  <si>
    <t>GRAD</t>
  </si>
  <si>
    <t>7:30-9:50</t>
  </si>
  <si>
    <t>#Session</t>
  </si>
  <si>
    <t>AvaiSpot</t>
  </si>
  <si>
    <t>Pref_1</t>
  </si>
  <si>
    <t>Pref_2</t>
  </si>
  <si>
    <t>Pref_3</t>
  </si>
  <si>
    <t>Pref_4</t>
  </si>
  <si>
    <t>Pref_5</t>
  </si>
  <si>
    <t>Pref_6</t>
  </si>
  <si>
    <t>Source_1</t>
  </si>
  <si>
    <t>Source_2</t>
  </si>
  <si>
    <t>Source_3</t>
  </si>
  <si>
    <t>Source_4</t>
  </si>
  <si>
    <t>FI400</t>
  </si>
  <si>
    <t>FI500</t>
  </si>
  <si>
    <t>Insufficient</t>
  </si>
  <si>
    <t>FI100 100</t>
  </si>
  <si>
    <t>FI100 200</t>
  </si>
  <si>
    <t>FI100 300</t>
  </si>
  <si>
    <t>FI100 400</t>
  </si>
  <si>
    <t>FI200 100</t>
  </si>
  <si>
    <t>FI200 200</t>
  </si>
  <si>
    <t>FI200 300</t>
  </si>
  <si>
    <t>FI200 400</t>
  </si>
  <si>
    <t>FI300 100</t>
  </si>
  <si>
    <t>FI300 200</t>
  </si>
  <si>
    <t>FI300 300</t>
  </si>
  <si>
    <t>FI300 400</t>
  </si>
  <si>
    <t>FI400 100</t>
  </si>
  <si>
    <t>FI400 200</t>
  </si>
  <si>
    <t>FI400 300</t>
  </si>
  <si>
    <t>FI400 400</t>
  </si>
  <si>
    <t>FI500 100</t>
  </si>
  <si>
    <t>FI500 200</t>
  </si>
  <si>
    <t>FI500 300</t>
  </si>
  <si>
    <t>FI500 400</t>
  </si>
  <si>
    <t>CS600 100</t>
  </si>
  <si>
    <t>CS700 100</t>
  </si>
  <si>
    <t>CS800 100</t>
  </si>
  <si>
    <t>CS900 100</t>
  </si>
  <si>
    <t>CS901 100</t>
  </si>
  <si>
    <t>CS902 100</t>
  </si>
  <si>
    <t>CS903 100</t>
  </si>
  <si>
    <t>MA101 100</t>
  </si>
  <si>
    <t>MA102 100</t>
  </si>
  <si>
    <t>MA103 100</t>
  </si>
  <si>
    <t>MA104 100</t>
  </si>
  <si>
    <t>MA105 100</t>
  </si>
  <si>
    <t>MA106 100</t>
  </si>
  <si>
    <t>MA107 100</t>
  </si>
  <si>
    <t>MA108 100</t>
  </si>
  <si>
    <t>MA109 100</t>
  </si>
  <si>
    <t>MA110 100</t>
  </si>
  <si>
    <t>MA111 100</t>
  </si>
  <si>
    <t>MA112 100</t>
  </si>
  <si>
    <t>MA113 100</t>
  </si>
  <si>
    <t>MA114 100</t>
  </si>
  <si>
    <t>MA115 100</t>
  </si>
  <si>
    <t>MA116 100</t>
  </si>
  <si>
    <t>MA117 100</t>
  </si>
  <si>
    <t>MA118 100</t>
  </si>
  <si>
    <t>MA119 100</t>
  </si>
  <si>
    <t>MA120 100</t>
  </si>
  <si>
    <t>MA121 100</t>
  </si>
  <si>
    <t>MA122 100</t>
  </si>
  <si>
    <t>MA123 100</t>
  </si>
  <si>
    <t>MA124 100</t>
  </si>
  <si>
    <t>MA125 100</t>
  </si>
  <si>
    <t>MA126 100</t>
  </si>
  <si>
    <t>MA127 100</t>
  </si>
  <si>
    <t>MA128 100</t>
  </si>
  <si>
    <t>MA129 100</t>
  </si>
  <si>
    <t>MA130 100</t>
  </si>
  <si>
    <t>MA131 100</t>
  </si>
  <si>
    <t>MA132 100</t>
  </si>
  <si>
    <t>MA133 100</t>
  </si>
  <si>
    <t>MA134 100</t>
  </si>
  <si>
    <t>MA135 100</t>
  </si>
  <si>
    <t>MA136 100</t>
  </si>
  <si>
    <t>MA137 100</t>
  </si>
  <si>
    <t>MA138 100</t>
  </si>
  <si>
    <t>MA139 100</t>
  </si>
  <si>
    <t>MA140 100</t>
  </si>
  <si>
    <t>MA141 100</t>
  </si>
  <si>
    <t>MA142 100</t>
  </si>
  <si>
    <t>MA143 100</t>
  </si>
  <si>
    <t>MA144 100</t>
  </si>
  <si>
    <t>MA145 100</t>
  </si>
  <si>
    <t>MA146 100</t>
  </si>
  <si>
    <t>MA147 100</t>
  </si>
  <si>
    <t>MA148 100</t>
  </si>
  <si>
    <t>MA149 100</t>
  </si>
  <si>
    <t>MA150 100</t>
  </si>
  <si>
    <t>MA151 100</t>
  </si>
  <si>
    <t>MA152 100</t>
  </si>
  <si>
    <t>MA153 100</t>
  </si>
  <si>
    <t>MA154 100</t>
  </si>
  <si>
    <t>MA155 100</t>
  </si>
  <si>
    <t>MA156 100</t>
  </si>
  <si>
    <t>MA157 100</t>
  </si>
  <si>
    <t>MA158 100</t>
  </si>
  <si>
    <t>MA159 100</t>
  </si>
  <si>
    <t>MA160 100</t>
  </si>
  <si>
    <t>MA161 100</t>
  </si>
  <si>
    <t>MA162 100</t>
  </si>
  <si>
    <t>MA163 100</t>
  </si>
  <si>
    <t>MA164 100</t>
  </si>
  <si>
    <t>MA165 100</t>
  </si>
  <si>
    <t>MA166 100</t>
  </si>
  <si>
    <t>MA167 100</t>
  </si>
  <si>
    <t>AvailSession</t>
  </si>
  <si>
    <t>MA101 200</t>
  </si>
  <si>
    <t>MA102 200</t>
  </si>
  <si>
    <t>MA103 200</t>
  </si>
  <si>
    <t>Decided</t>
  </si>
  <si>
    <t>NumAvaiProf</t>
  </si>
  <si>
    <t>NumAvaiSpot</t>
  </si>
  <si>
    <t>TBANum</t>
  </si>
  <si>
    <t>Faculties</t>
  </si>
  <si>
    <t>Available Spots</t>
  </si>
  <si>
    <t>MA101 300</t>
  </si>
  <si>
    <t>MA102 300</t>
  </si>
  <si>
    <t>MA103 300</t>
  </si>
  <si>
    <t>Monica Brewer</t>
  </si>
  <si>
    <t>Bryan Quinn</t>
  </si>
  <si>
    <t>Marianne Hunt</t>
  </si>
  <si>
    <t>Randy Rodriguez</t>
  </si>
  <si>
    <t>Rene Walsh</t>
  </si>
  <si>
    <t>Hubert Hampton</t>
  </si>
  <si>
    <t>Doris Rice</t>
  </si>
  <si>
    <t>Calvin Beck</t>
  </si>
  <si>
    <t>Audrey Massey</t>
  </si>
  <si>
    <t>Ronald Glover</t>
  </si>
  <si>
    <t>Bernice Carpenter</t>
  </si>
  <si>
    <t>Faye King</t>
  </si>
  <si>
    <t>Yvonne Murphy</t>
  </si>
  <si>
    <t>Wendell Morgan</t>
  </si>
  <si>
    <t>Rickey Saunders</t>
  </si>
  <si>
    <t>Marcus Hunter</t>
  </si>
  <si>
    <t>Winston Newton</t>
  </si>
  <si>
    <t>Vivian Montgomery</t>
  </si>
  <si>
    <t>Geneva Richardson</t>
  </si>
  <si>
    <t>Beverly Becker</t>
  </si>
  <si>
    <t>Emmett Byrd</t>
  </si>
  <si>
    <t>Percy Schneider</t>
  </si>
  <si>
    <t>Alma Butler</t>
  </si>
  <si>
    <t>Hector Patton</t>
  </si>
  <si>
    <t>Antonio Lamb</t>
  </si>
  <si>
    <t>Vera Watson</t>
  </si>
  <si>
    <t>Ken Barton</t>
  </si>
  <si>
    <t>Pat Harris</t>
  </si>
  <si>
    <t>Edwin Jacobs</t>
  </si>
  <si>
    <t>Dana Romero</t>
  </si>
  <si>
    <t>Arlene Morton</t>
  </si>
  <si>
    <t>Vicky Riley</t>
  </si>
  <si>
    <t>Stewart Nunez</t>
  </si>
  <si>
    <t>Teresa Zimmerman</t>
  </si>
  <si>
    <t>Marco Green</t>
  </si>
  <si>
    <t>Leticia Kelley</t>
  </si>
  <si>
    <t>Carole Lambert</t>
  </si>
  <si>
    <t>Susan Barber</t>
  </si>
  <si>
    <t>Annette Jensen</t>
  </si>
  <si>
    <t>Martha Palmer</t>
  </si>
  <si>
    <t>Jason Hubbard</t>
  </si>
  <si>
    <t>Erik Mcguire</t>
  </si>
  <si>
    <t>Jimmie Washington</t>
  </si>
  <si>
    <t>Lillian Phillips</t>
  </si>
  <si>
    <t>Curtis Miles</t>
  </si>
  <si>
    <t>Irene Copeland</t>
  </si>
  <si>
    <t>Craig Howell</t>
  </si>
  <si>
    <t>Randolph Schultz</t>
  </si>
  <si>
    <t>Gregory Lynch</t>
  </si>
  <si>
    <t>Bryant Bates</t>
  </si>
  <si>
    <t>BlockSessioNum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</si>
  <si>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</si>
  <si>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</si>
  <si>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</si>
  <si>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</si>
  <si>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</si>
  <si>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</si>
  <si>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</si>
  <si>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</si>
  <si>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</si>
  <si>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</si>
  <si>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</si>
  <si>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</si>
  <si>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</si>
  <si>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</si>
  <si>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</si>
  <si>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</si>
  <si>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</si>
  <si>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</si>
  <si>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</si>
  <si>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</si>
  <si>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</si>
  <si>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</si>
  <si>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</si>
  <si>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</si>
  <si>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</si>
  <si>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</si>
  <si>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</si>
  <si>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</si>
  <si>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Block1</t>
  </si>
  <si>
    <t>Block2</t>
  </si>
  <si>
    <t>Block3</t>
  </si>
  <si>
    <t>Block4</t>
  </si>
  <si>
    <t>Block5</t>
  </si>
  <si>
    <t>Block6</t>
  </si>
  <si>
    <t>Block7</t>
  </si>
  <si>
    <t>Block8</t>
  </si>
  <si>
    <t>Block9</t>
  </si>
  <si>
    <t>Block10</t>
  </si>
  <si>
    <t>Block11</t>
  </si>
  <si>
    <t>Block12</t>
  </si>
  <si>
    <t>Block13</t>
  </si>
  <si>
    <t>Block14</t>
  </si>
  <si>
    <t>Block15</t>
  </si>
  <si>
    <t>Block16</t>
  </si>
  <si>
    <t>Block17</t>
  </si>
  <si>
    <t>Block18</t>
  </si>
  <si>
    <t>Block19</t>
  </si>
  <si>
    <t>Block20</t>
  </si>
  <si>
    <t>Block21</t>
  </si>
  <si>
    <t>Block22</t>
  </si>
  <si>
    <t>Block23</t>
  </si>
  <si>
    <t>Block24</t>
  </si>
  <si>
    <t>Block25</t>
  </si>
  <si>
    <t>Block26</t>
  </si>
  <si>
    <t>Block27</t>
  </si>
  <si>
    <t>Block28</t>
  </si>
  <si>
    <t>InputSource</t>
  </si>
  <si>
    <t>NonBlank</t>
  </si>
  <si>
    <t>AMNum</t>
  </si>
  <si>
    <t>PMNum</t>
  </si>
  <si>
    <t>AvailableNum</t>
  </si>
  <si>
    <t>BlockSessionNum</t>
  </si>
  <si>
    <t>Score_1</t>
  </si>
  <si>
    <t>Score_2</t>
  </si>
  <si>
    <t>Score_3</t>
  </si>
  <si>
    <t>Score_4</t>
  </si>
  <si>
    <t>Score_5</t>
  </si>
  <si>
    <t>Score_6</t>
  </si>
  <si>
    <t>Score_7</t>
  </si>
  <si>
    <t>Score_8</t>
  </si>
  <si>
    <t>Score_9</t>
  </si>
  <si>
    <t>Score_10</t>
  </si>
  <si>
    <t>Score_11</t>
  </si>
  <si>
    <t>Score_12</t>
  </si>
  <si>
    <t>Score_13</t>
  </si>
  <si>
    <t>Score_14</t>
  </si>
  <si>
    <t>Score_15</t>
  </si>
  <si>
    <t>Score_16</t>
  </si>
  <si>
    <t>Score_17</t>
  </si>
  <si>
    <t>Score_18</t>
  </si>
  <si>
    <t>Score_19</t>
  </si>
  <si>
    <t>Score_20</t>
  </si>
  <si>
    <t>Faculty Assignment:</t>
  </si>
  <si>
    <t>600+ Lines of code</t>
  </si>
  <si>
    <t xml:space="preserve">Block Scheduling: </t>
  </si>
  <si>
    <t>800+ Lines of code</t>
  </si>
  <si>
    <t>PrintOut:</t>
  </si>
  <si>
    <t>Input Control:</t>
  </si>
  <si>
    <t>Session record duplication.</t>
  </si>
  <si>
    <t>Faculty record duplication.</t>
  </si>
  <si>
    <t>Required input for faculty: Name, Full/Part-time, Number of sessions to teach.</t>
  </si>
  <si>
    <t>Course preference drop-down input.</t>
  </si>
  <si>
    <t>Historical data used when no current block preference. (Up to paste  6 semesters)</t>
  </si>
  <si>
    <t>Required input for courses and session: Course name, Session ID, and Course level.</t>
  </si>
  <si>
    <t>Course preference duplication.</t>
  </si>
  <si>
    <t>1.</t>
  </si>
  <si>
    <t>2.</t>
  </si>
  <si>
    <t>3.</t>
  </si>
  <si>
    <t>4.</t>
  </si>
  <si>
    <t>5.</t>
  </si>
  <si>
    <t>6.</t>
  </si>
  <si>
    <t>7.</t>
  </si>
  <si>
    <t>Calculation:</t>
  </si>
  <si>
    <t>Faculty assignment:</t>
  </si>
  <si>
    <t>Minimize the number of courses each faculty teaches</t>
  </si>
  <si>
    <t>Number of sessions to teach (user input)</t>
  </si>
  <si>
    <t>Faculty preference (user input)</t>
  </si>
  <si>
    <t>75% classes to be taught by full-time faculties (can be reset by user)</t>
  </si>
  <si>
    <t>Block Scheduling:</t>
  </si>
  <si>
    <t>Multiple-session undergraduate courses must have at least 1 session before Noon and 1 after Noon (can be relaxed)</t>
  </si>
  <si>
    <t>Faculty preferred blocks (user input)</t>
  </si>
  <si>
    <t>Each faculty cannot hold multiple sessions in the same block (hidden)</t>
  </si>
  <si>
    <t>Evenly distribution (can be relaxed)</t>
  </si>
  <si>
    <t>Instruction:</t>
  </si>
  <si>
    <t>Input the session list in "ICourse" tab</t>
  </si>
  <si>
    <t>[DATA --&gt; Referesh ALL]</t>
  </si>
  <si>
    <t>Moving previous semester data into "HProf" tab and fixing the semester ID (-1: Last semester)</t>
  </si>
  <si>
    <t>Input faculty information and preference in "IProf" tab (Column A: D required)*</t>
  </si>
  <si>
    <t>*</t>
  </si>
  <si>
    <t>Group copy pasting available in table. Individual record input avaialbe in both table and UI.</t>
  </si>
  <si>
    <t>To manually assign one course to one faculty, remove this course from anyone else's preference list.</t>
  </si>
  <si>
    <t>**</t>
  </si>
  <si>
    <t>8.</t>
  </si>
  <si>
    <t>9.</t>
  </si>
  <si>
    <t>10.</t>
  </si>
  <si>
    <t>Review information in "InfoPreReq" tab and update the information</t>
  </si>
  <si>
    <t>Review information in "InfoBlock" tab and update the information</t>
  </si>
  <si>
    <t>100+ Lines of code</t>
  </si>
  <si>
    <t>Line of Codes:</t>
  </si>
  <si>
    <t>Yes:</t>
  </si>
  <si>
    <t>No:</t>
  </si>
  <si>
    <t>Lack of faculties for some courses</t>
  </si>
  <si>
    <t xml:space="preserve"> </t>
  </si>
  <si>
    <t>Faculty unavailable blocks (user input: -100)</t>
  </si>
  <si>
    <t>Single-session courses cannot be scheduled into one block unless they are in the same pre-requisit line (can be relaxed in user input)</t>
  </si>
  <si>
    <t>Recalculation starts.</t>
  </si>
  <si>
    <t>Issue session list generated.</t>
  </si>
  <si>
    <t>Time of Update will be stamped in left top corner.</t>
  </si>
  <si>
    <t>Sessions with block preference from historical data are highlighted in red.</t>
  </si>
  <si>
    <t>11.</t>
  </si>
  <si>
    <t>Print out to a PDF file or a printer</t>
  </si>
  <si>
    <t>Click "Faculty Assignment" button</t>
  </si>
  <si>
    <t>Click "Preparation" button (100 chips to allocate in total. -100: not available, which will be guaranteed) **</t>
  </si>
  <si>
    <t>Click "Block scheduling" button</t>
  </si>
  <si>
    <t>Click "Generate calendar" button</t>
  </si>
  <si>
    <t>Preflvl_4</t>
  </si>
  <si>
    <t>Preflvl_1</t>
  </si>
  <si>
    <t>Preflvl_2</t>
  </si>
  <si>
    <t>Preflvl_3</t>
  </si>
  <si>
    <t>To manually schedule one course to one block, change all other block's score for that session to -100 in "SCourse" tab.</t>
  </si>
  <si>
    <t>23_x000D_
CS600 100 - Bryant Bates</t>
  </si>
  <si>
    <t/>
  </si>
  <si>
    <t>1_x000D_
FI100 300 - Bryan Quinn_x000D_
FI500 200 - Alma Butler_x000D_
MA148 100 - Susan Barber_x000D_
MA159 100 - Bryant Bates</t>
  </si>
  <si>
    <t>2_x000D_
FI100 200 - Bryan Quinn_x000D_
MA103 100 - Dana Romero_x000D_
MA152 100 - Antonio Lamb_x000D_
MA162 100 - Susan Barber</t>
  </si>
  <si>
    <t>3_x000D_
FI100 400 - Bryan Quinn_x000D_
FI400 400 - Vera Watson_x000D_
MA106 100 - Martha Palmer_x000D_
MA165 100 - Rickey Saunders</t>
  </si>
  <si>
    <t>4_x000D_
FI300 300 - Audrey Massey_x000D_
MA151 100 - Hector Patton_x000D_
MA153 100 - Martha Palmer_x000D_
MA154 100 - Annette Jensen</t>
  </si>
  <si>
    <t>7_x000D_
FI200 300 - Bernice Carpenter_x000D_
MA102 100 - Jimmie Washington_x000D_
MA118 100 - Percy Schneider_x000D_
MA149 100 - Geneva Richardson</t>
  </si>
  <si>
    <t>8_x000D_
FI100 100 - Bryan Quinn_x000D_
MA112 100 - Hubert Hampton_x000D_
MA130 100 - Vivian Montgomery_x000D_
MA133 100 - Jimmie Washington_x000D_
MA141 100 - Teresa Zimmerman</t>
  </si>
  <si>
    <t>9_x000D_
FI300 100 - Audrey Massey_x000D_
MA102 300 - Jimmie Washington_x000D_
MA119 100 - Leticia Kelley_x000D_
MA142 100 - Wendell Morgan_x000D_
MA157 100 - Arlene Morton</t>
  </si>
  <si>
    <t>11_x000D_
FI500 100 - Alma Butler_x000D_
MA102 200 - Jimmie Washington_x000D_
MA109 100 - Wendell Morgan_x000D_
MA126 100 - Beverly Becker_x000D_
MA146 100 - Vivian Montgomery</t>
  </si>
  <si>
    <t>12_x000D_
FI200 100 - Bernice Carpenter_x000D_
MA105 100 - Marco Green_x000D_
MA111 100 - Vicky Riley_x000D_
MA116 100 - Marianne Hunt_x000D_
MA156 100 - Hubert Hampton</t>
  </si>
  <si>
    <t>13_x000D_
FI200 200 - Bernice Carpenter_x000D_
MA124 100 - Marco Green_x000D_
MA131 100 - Hubert Hampton_x000D_
MA132 100 - Curtis Miles_x000D_
MA161 100 - Pat Harris</t>
  </si>
  <si>
    <t>14_x000D_
MA114 100 - Irene Copeland_x000D_
MA121 100 - Rene Walsh_x000D_
MA125 100 - Jason Hubbard_x000D_
MA128 100 - Erik Mcguire_x000D_
MA136 100 - Susan Barber</t>
  </si>
  <si>
    <t>15_x000D_
FI500 400 - Alma Butler_x000D_
MA117 100 - Emmett Byrd_x000D_
MA145 100 - Rickey Saunders_x000D_
MA163 100 - Irene Copeland_x000D_
MA167 100 - Carole Lambert</t>
  </si>
  <si>
    <t>16_x000D_
FI200 400 - Bernice Carpenter_x000D_
MA103 200 - Rickey Saunders_x000D_
MA113 100 - Carole Lambert_x000D_
MA139 100 - Rene Walsh_x000D_
MA143 100 - Ken Barton</t>
  </si>
  <si>
    <t>18_x000D_
FI500 300 - Alma Butler_x000D_
MA103 300 - Dana Romero_x000D_
MA138 100 - Arlene Morton_x000D_
MA147 100 - Gregory Lynch_x000D_
MA160 100 - Marco Green</t>
  </si>
  <si>
    <t>19_x000D_
FI400 100 - Vera Watson_x000D_
MA101 200 - Gregory Lynch_x000D_
MA107 100 - Doris Rice_x000D_
MA115 100 - Arlene Morton_x000D_
MA127 100 - Faye King</t>
  </si>
  <si>
    <t>20_x000D_
FI400 300 - Vera Watson_x000D_
MA101 300 - Gregory Lynch_x000D_
MA110 100 - Vicky Riley_x000D_
MA150 100 - Lillian Phillips_x000D_
MA155 100 - Edwin Jacobs</t>
  </si>
  <si>
    <t>21_x000D_
CS500 100 - Edwin Jacobs</t>
  </si>
  <si>
    <t>22_x000D_
CS100 100 - Curtis Miles</t>
  </si>
  <si>
    <t>24_x000D_
CS902 100 - Lillian Phillips</t>
  </si>
  <si>
    <t>25_x000D_
CS200 100 - Erik Mcguire_x000D_
CS400 100 - Faye King</t>
  </si>
  <si>
    <t>26_x000D_
CS800 100 - Marianne Hunt_x000D_
CS903 100 - Stewart Nunez</t>
  </si>
  <si>
    <t>27_x000D_
CS900 100 - Randolph Schultz_x000D_
CS901 100 - Winston Newton</t>
  </si>
  <si>
    <t>28_x000D_
CS300 100 - Jason Hubbard_x000D_
CS700 100 - Craig Howell</t>
  </si>
  <si>
    <r>
      <t xml:space="preserve">5_x000D_
FI300 400 - Audrey Massey_x000D_
</t>
    </r>
    <r>
      <rPr>
        <sz val="11"/>
        <color rgb="FFFF0000"/>
        <rFont val="Calibri"/>
        <family val="2"/>
        <scheme val="minor"/>
      </rPr>
      <t>~MA120 100 - Yvonne Murphy~</t>
    </r>
    <r>
      <rPr>
        <sz val="11"/>
        <color rgb="FF000000"/>
        <rFont val="Calibri"/>
        <family val="2"/>
        <scheme val="minor"/>
      </rPr>
      <t>_x000D_
MA140 100 - Pat Harris_x000D_
MA144 100 - Percy Schneider_x000D_
MA158 100 - Hector Patton</t>
    </r>
  </si>
  <si>
    <r>
      <t xml:space="preserve">6_x000D_
FI300 200 - Audrey Massey_x000D_
MA101 100 - Gregory Lynch_x000D_
MA108 100 - Teresa Zimmerman_x000D_
MA135 100 - Antonio Lamb_x000D_
</t>
    </r>
    <r>
      <rPr>
        <sz val="11"/>
        <color rgb="FFFF0000"/>
        <rFont val="Calibri"/>
        <family val="2"/>
        <scheme val="minor"/>
      </rPr>
      <t>~MA164 100 - Yvonne Murphy~</t>
    </r>
  </si>
  <si>
    <r>
      <t xml:space="preserve">10_x000D_
FI400 200 - Vera Watson_x000D_
</t>
    </r>
    <r>
      <rPr>
        <sz val="11"/>
        <color rgb="FFFF0000"/>
        <rFont val="Calibri"/>
        <family val="2"/>
        <scheme val="minor"/>
      </rPr>
      <t>~MA104 100 - Yvonne Murphy~</t>
    </r>
    <r>
      <rPr>
        <sz val="11"/>
        <color rgb="FF000000"/>
        <rFont val="Calibri"/>
        <family val="2"/>
        <scheme val="minor"/>
      </rPr>
      <t>_x000D_
MA137 100 - Doris Rice_x000D_
MA166 100 - Randy Rodriguez</t>
    </r>
  </si>
  <si>
    <r>
      <t xml:space="preserve">17_x000D_
</t>
    </r>
    <r>
      <rPr>
        <sz val="11"/>
        <color rgb="FFFF0000"/>
        <rFont val="Calibri"/>
        <family val="2"/>
        <scheme val="minor"/>
      </rPr>
      <t>~MA122 100 - Yvonne Murphy~</t>
    </r>
    <r>
      <rPr>
        <sz val="11"/>
        <color rgb="FF000000"/>
        <rFont val="Calibri"/>
        <family val="2"/>
        <scheme val="minor"/>
      </rPr>
      <t>_x000D_
MA123 100 - Beverly Becker_x000D_
MA129 100 - Ronald Glover_x000D_
MA134 100 - Marianne Hunt</t>
    </r>
  </si>
  <si>
    <t>Updated 4/5/2017 6:57:53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</si>
</sst>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_(* #,##0_);_(* \(#,##0\);_(* &quot;-&quot;??_);_(@_)"/>
    <numFmt numFmtId="165" formatCode="_(* #,##0.0000_);_(* \(#,##0.0000\);_(* &quot;-&quot;??_);_(@_)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u val="double"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theme="1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43" fontId="1" fillId="0" borderId="0" applyFont="0" applyFill="0" applyBorder="0" applyAlignment="0" applyProtection="0"/>
  </cellStyleXfs>
  <cellXfs count="61">
    <xf numFmtId="0" fontId="0" fillId="0" borderId="0" xfId="0"/>
    <xf numFmtId="0" fontId="4" fillId="0" borderId="0" xfId="0" applyFont="1" applyFill="1"/>
    <xf numFmtId="0" fontId="5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Fill="1"/>
    <xf numFmtId="0" fontId="5" fillId="0" borderId="0" xfId="1" applyFont="1" applyFill="1" applyBorder="1" applyAlignment="1">
      <alignment horizontal="center"/>
    </xf>
    <xf numFmtId="0" fontId="5" fillId="0" borderId="0" xfId="0" applyFont="1" applyFill="1" applyBorder="1"/>
    <xf numFmtId="0" fontId="5" fillId="0" borderId="0" xfId="0" applyFont="1" applyFill="1"/>
    <xf numFmtId="0" fontId="7" fillId="0" borderId="4" xfId="0" applyFont="1" applyBorder="1" applyAlignment="1">
      <alignment horizontal="center" vertical="top"/>
    </xf>
    <xf numFmtId="0" fontId="7" fillId="0" borderId="5" xfId="0" applyFont="1" applyBorder="1" applyAlignment="1">
      <alignment horizontal="center" vertical="top"/>
    </xf>
    <xf numFmtId="0" fontId="0" fillId="0" borderId="6" xfId="0" applyBorder="1" applyAlignment="1">
      <alignment vertical="top"/>
    </xf>
    <xf numFmtId="0" fontId="0" fillId="0" borderId="7" xfId="0" applyBorder="1" applyAlignment="1">
      <alignment vertical="top"/>
    </xf>
    <xf numFmtId="20" fontId="0" fillId="0" borderId="6" xfId="0" applyNumberFormat="1" applyBorder="1" applyAlignment="1">
      <alignment vertical="top"/>
    </xf>
    <xf numFmtId="20" fontId="0" fillId="0" borderId="7" xfId="0" applyNumberFormat="1" applyBorder="1" applyAlignment="1">
      <alignment vertical="top"/>
    </xf>
    <xf numFmtId="0" fontId="0" fillId="0" borderId="10" xfId="0" applyBorder="1" applyAlignment="1">
      <alignment vertical="top"/>
    </xf>
    <xf numFmtId="0" fontId="0" fillId="0" borderId="11" xfId="0" applyBorder="1" applyAlignment="1">
      <alignment vertical="top"/>
    </xf>
    <xf numFmtId="0" fontId="3" fillId="5" borderId="14" xfId="0" applyFont="1" applyFill="1" applyBorder="1"/>
    <xf numFmtId="0" fontId="4" fillId="3" borderId="0" xfId="0" applyFont="1" applyFill="1"/>
    <xf numFmtId="0" fontId="7" fillId="0" borderId="0" xfId="0" applyFont="1"/>
    <xf numFmtId="0" fontId="0" fillId="0" borderId="0" xfId="0" applyNumberFormat="1"/>
    <xf numFmtId="164" fontId="0" fillId="0" borderId="0" xfId="2" applyNumberFormat="1" applyFont="1"/>
    <xf numFmtId="1" fontId="0" fillId="0" borderId="0" xfId="2" applyNumberFormat="1" applyFont="1"/>
    <xf numFmtId="165" fontId="0" fillId="0" borderId="0" xfId="2" applyNumberFormat="1" applyFont="1"/>
    <xf numFmtId="0" fontId="0" fillId="0" borderId="0" xfId="2" applyNumberFormat="1" applyFont="1"/>
    <xf numFmtId="0" fontId="7" fillId="0" borderId="0" xfId="0" applyFont="1" applyAlignment="1"/>
    <xf numFmtId="0" fontId="0" fillId="6" borderId="0" xfId="0" applyFill="1"/>
    <xf numFmtId="0" fontId="0" fillId="6" borderId="0" xfId="0" applyFill="1" applyAlignment="1">
      <alignment horizontal="right"/>
    </xf>
    <xf numFmtId="0" fontId="0" fillId="7" borderId="0" xfId="0" applyFill="1"/>
    <xf numFmtId="0" fontId="0" fillId="0" borderId="0" xfId="0" applyAlignment="1">
      <alignment horizontal="left" indent="1"/>
    </xf>
    <xf numFmtId="0" fontId="9" fillId="7" borderId="0" xfId="0" applyFont="1" applyFill="1" applyAlignment="1">
      <alignment horizontal="left" indent="1"/>
    </xf>
    <xf numFmtId="0" fontId="0" fillId="8" borderId="0" xfId="0" applyFill="1"/>
    <xf numFmtId="0" fontId="9" fillId="6" borderId="0" xfId="0" quotePrefix="1" applyFont="1" applyFill="1" applyAlignment="1">
      <alignment horizontal="right"/>
    </xf>
    <xf numFmtId="0" fontId="10" fillId="7" borderId="0" xfId="0" applyFont="1" applyFill="1" applyAlignment="1">
      <alignment horizontal="left" indent="1"/>
    </xf>
    <xf numFmtId="0" fontId="0" fillId="7" borderId="0" xfId="0" applyFill="1" applyAlignment="1">
      <alignment horizontal="left" indent="1"/>
    </xf>
    <xf numFmtId="0" fontId="11" fillId="0" borderId="0" xfId="0" applyFont="1"/>
    <xf numFmtId="0" fontId="0" fillId="9" borderId="0" xfId="0" applyFill="1"/>
    <xf numFmtId="0" fontId="9" fillId="8" borderId="0" xfId="0" quotePrefix="1" applyFont="1" applyFill="1" applyAlignment="1">
      <alignment horizontal="right"/>
    </xf>
    <xf numFmtId="0" fontId="9" fillId="9" borderId="0" xfId="0" applyFont="1" applyFill="1" applyAlignment="1">
      <alignment horizontal="left" indent="1"/>
    </xf>
    <xf numFmtId="0" fontId="9" fillId="0" borderId="0" xfId="0" quotePrefix="1" applyFont="1" applyFill="1" applyAlignment="1">
      <alignment horizontal="right"/>
    </xf>
    <xf numFmtId="0" fontId="9" fillId="0" borderId="0" xfId="0" applyFont="1" applyFill="1" applyAlignment="1">
      <alignment horizontal="left" indent="1"/>
    </xf>
    <xf numFmtId="0" fontId="10" fillId="7" borderId="0" xfId="0" applyFont="1" applyFill="1" applyAlignment="1">
      <alignment horizontal="right"/>
    </xf>
    <xf numFmtId="0" fontId="10" fillId="7" borderId="0" xfId="0" applyFont="1" applyFill="1" applyAlignment="1">
      <alignment horizontal="right" indent="1"/>
    </xf>
    <xf numFmtId="0" fontId="7" fillId="6" borderId="0" xfId="0" applyFont="1" applyFill="1"/>
    <xf numFmtId="0" fontId="7" fillId="6" borderId="0" xfId="0" applyFont="1" applyFill="1" applyAlignment="1">
      <alignment horizontal="right"/>
    </xf>
    <xf numFmtId="0" fontId="7" fillId="0" borderId="3" xfId="0" applyFont="1" applyBorder="1" applyAlignment="1">
      <alignment horizontal="center"/>
    </xf>
    <xf numFmtId="0" fontId="12" fillId="0" borderId="8" xfId="0" applyFont="1" applyBorder="1" applyAlignment="1">
      <alignment horizontal="left" vertical="top" wrapText="1" justifyLastLine="1"/>
    </xf>
    <xf numFmtId="0" fontId="12" fillId="4" borderId="8" xfId="0" applyFont="1" applyFill="1" applyBorder="1" applyAlignment="1">
      <alignment horizontal="left" vertical="top" wrapText="1" justifyLastLine="1"/>
    </xf>
    <xf numFmtId="0" fontId="12" fillId="0" borderId="9" xfId="0" applyFont="1" applyBorder="1" applyAlignment="1">
      <alignment horizontal="left" vertical="top" wrapText="1" justifyLastLine="1"/>
    </xf>
    <xf numFmtId="0" fontId="12" fillId="0" borderId="8" xfId="0" applyFont="1" applyBorder="1" applyAlignment="1">
      <alignment horizontal="left" vertical="top" wrapText="1"/>
    </xf>
    <xf numFmtId="0" fontId="12" fillId="0" borderId="9" xfId="0" applyFont="1" applyBorder="1" applyAlignment="1">
      <alignment horizontal="left" vertical="top" wrapText="1"/>
    </xf>
    <xf numFmtId="0" fontId="12" fillId="4" borderId="8" xfId="0" applyFont="1" applyFill="1" applyBorder="1" applyAlignment="1">
      <alignment horizontal="left" vertical="top" wrapText="1"/>
    </xf>
    <xf numFmtId="0" fontId="12" fillId="4" borderId="8" xfId="0" applyFont="1" applyFill="1" applyBorder="1" applyAlignment="1">
      <alignment horizontal="left" vertical="top"/>
    </xf>
    <xf numFmtId="0" fontId="12" fillId="4" borderId="9" xfId="0" applyFont="1" applyFill="1" applyBorder="1" applyAlignment="1">
      <alignment horizontal="left" vertical="top" wrapText="1"/>
    </xf>
    <xf numFmtId="0" fontId="12" fillId="0" borderId="12" xfId="0" applyFont="1" applyBorder="1" applyAlignment="1">
      <alignment horizontal="left" vertical="top" wrapText="1"/>
    </xf>
    <xf numFmtId="0" fontId="12" fillId="0" borderId="13" xfId="0" applyFont="1" applyBorder="1" applyAlignment="1">
      <alignment horizontal="left" vertical="top"/>
    </xf>
    <xf numFmtId="0" fontId="13" fillId="0" borderId="0" xfId="0" applyFont="1"/>
    <xf numFmtId="0" fontId="7" fillId="0" borderId="3" xfId="0" applyFont="1" applyBorder="1" applyAlignment="1"/>
    <xf numFmtId="0" fontId="7" fillId="0" borderId="1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</cellXfs>
  <cellStyles count="3">
    <cellStyle name="Comma" xfId="2" builtinId="3"/>
    <cellStyle name="Good" xfId="1" builtinId="26"/>
    <cellStyle name="Normal" xfId="0" builtinId="0"/>
  </cellStyles>
  <dxfs count="2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_(* #,##0_);_(* \(#,##0\);_(* &quot;-&quot;??_);_(@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</dxf>
    <dxf>
      <fill>
        <patternFill patternType="solid">
          <bgColor theme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29021</xdr:colOff>
      <xdr:row>7</xdr:row>
      <xdr:rowOff>38308</xdr:rowOff>
    </xdr:from>
    <xdr:to>
      <xdr:col>8</xdr:col>
      <xdr:colOff>514350</xdr:colOff>
      <xdr:row>15</xdr:row>
      <xdr:rowOff>180975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067"/>
        <a:stretch/>
      </xdr:blipFill>
      <xdr:spPr>
        <a:xfrm>
          <a:off x="2134046" y="819358"/>
          <a:ext cx="3533329" cy="166666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</xdr:col>
      <xdr:colOff>0</xdr:colOff>
      <xdr:row>17</xdr:row>
      <xdr:rowOff>57379</xdr:rowOff>
    </xdr:from>
    <xdr:to>
      <xdr:col>10</xdr:col>
      <xdr:colOff>161371</xdr:colOff>
      <xdr:row>26</xdr:row>
      <xdr:rowOff>133350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2084"/>
        <a:stretch/>
      </xdr:blipFill>
      <xdr:spPr>
        <a:xfrm>
          <a:off x="2105025" y="2743429"/>
          <a:ext cx="4428571" cy="179047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</xdr:col>
      <xdr:colOff>0</xdr:colOff>
      <xdr:row>28</xdr:row>
      <xdr:rowOff>76200</xdr:rowOff>
    </xdr:from>
    <xdr:to>
      <xdr:col>4</xdr:col>
      <xdr:colOff>428495</xdr:colOff>
      <xdr:row>35</xdr:row>
      <xdr:rowOff>142700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05025" y="4857750"/>
          <a:ext cx="1038095" cy="140000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37</xdr:row>
      <xdr:rowOff>19050</xdr:rowOff>
    </xdr:from>
    <xdr:to>
      <xdr:col>8</xdr:col>
      <xdr:colOff>523429</xdr:colOff>
      <xdr:row>44</xdr:row>
      <xdr:rowOff>180782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3087"/>
        <a:stretch/>
      </xdr:blipFill>
      <xdr:spPr>
        <a:xfrm>
          <a:off x="2105025" y="1371600"/>
          <a:ext cx="3571429" cy="149523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</xdr:col>
      <xdr:colOff>0</xdr:colOff>
      <xdr:row>47</xdr:row>
      <xdr:rowOff>190</xdr:rowOff>
    </xdr:from>
    <xdr:to>
      <xdr:col>10</xdr:col>
      <xdr:colOff>294705</xdr:colOff>
      <xdr:row>55</xdr:row>
      <xdr:rowOff>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05025" y="8401240"/>
          <a:ext cx="4561905" cy="152381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</xdr:col>
      <xdr:colOff>0</xdr:colOff>
      <xdr:row>56</xdr:row>
      <xdr:rowOff>28785</xdr:rowOff>
    </xdr:from>
    <xdr:to>
      <xdr:col>8</xdr:col>
      <xdr:colOff>599619</xdr:colOff>
      <xdr:row>64</xdr:row>
      <xdr:rowOff>180975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05025" y="10715835"/>
          <a:ext cx="3647619" cy="167619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9</xdr:col>
      <xdr:colOff>361950</xdr:colOff>
      <xdr:row>84</xdr:row>
      <xdr:rowOff>9524</xdr:rowOff>
    </xdr:from>
    <xdr:to>
      <xdr:col>13</xdr:col>
      <xdr:colOff>190217</xdr:colOff>
      <xdr:row>89</xdr:row>
      <xdr:rowOff>114163</xdr:rowOff>
    </xdr:to>
    <xdr:pic>
      <xdr:nvPicPr>
        <xdr:cNvPr id="9" name="Picture 8"/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t="2631"/>
        <a:stretch/>
      </xdr:blipFill>
      <xdr:spPr>
        <a:xfrm>
          <a:off x="6124575" y="16040099"/>
          <a:ext cx="2266667" cy="1057139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</xdr:col>
      <xdr:colOff>0</xdr:colOff>
      <xdr:row>90</xdr:row>
      <xdr:rowOff>0</xdr:rowOff>
    </xdr:from>
    <xdr:to>
      <xdr:col>8</xdr:col>
      <xdr:colOff>294857</xdr:colOff>
      <xdr:row>95</xdr:row>
      <xdr:rowOff>152400</xdr:rowOff>
    </xdr:to>
    <xdr:pic>
      <xdr:nvPicPr>
        <xdr:cNvPr id="10" name="Picture 9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2509"/>
        <a:stretch/>
      </xdr:blipFill>
      <xdr:spPr>
        <a:xfrm>
          <a:off x="2105025" y="2695575"/>
          <a:ext cx="3342857" cy="11049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2</xdr:col>
      <xdr:colOff>47625</xdr:colOff>
      <xdr:row>84</xdr:row>
      <xdr:rowOff>9525</xdr:rowOff>
    </xdr:from>
    <xdr:to>
      <xdr:col>9</xdr:col>
      <xdr:colOff>313758</xdr:colOff>
      <xdr:row>89</xdr:row>
      <xdr:rowOff>114168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43050" y="1562100"/>
          <a:ext cx="4533333" cy="105714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</xdr:col>
      <xdr:colOff>0</xdr:colOff>
      <xdr:row>96</xdr:row>
      <xdr:rowOff>28574</xdr:rowOff>
    </xdr:from>
    <xdr:to>
      <xdr:col>10</xdr:col>
      <xdr:colOff>237562</xdr:colOff>
      <xdr:row>109</xdr:row>
      <xdr:rowOff>95249</xdr:rowOff>
    </xdr:to>
    <xdr:pic>
      <xdr:nvPicPr>
        <xdr:cNvPr id="12" name="Picture 11"/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t="2185"/>
        <a:stretch/>
      </xdr:blipFill>
      <xdr:spPr>
        <a:xfrm>
          <a:off x="2105025" y="5581649"/>
          <a:ext cx="4504762" cy="254317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</xdr:col>
      <xdr:colOff>0</xdr:colOff>
      <xdr:row>66</xdr:row>
      <xdr:rowOff>28575</xdr:rowOff>
    </xdr:from>
    <xdr:to>
      <xdr:col>8</xdr:col>
      <xdr:colOff>85333</xdr:colOff>
      <xdr:row>72</xdr:row>
      <xdr:rowOff>104619</xdr:rowOff>
    </xdr:to>
    <xdr:pic>
      <xdr:nvPicPr>
        <xdr:cNvPr id="8" name="Picture 7"/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t="2290"/>
        <a:stretch/>
      </xdr:blipFill>
      <xdr:spPr>
        <a:xfrm>
          <a:off x="2105025" y="12049125"/>
          <a:ext cx="3133333" cy="1219044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76</xdr:row>
      <xdr:rowOff>19167</xdr:rowOff>
    </xdr:from>
    <xdr:to>
      <xdr:col>4</xdr:col>
      <xdr:colOff>352305</xdr:colOff>
      <xdr:row>80</xdr:row>
      <xdr:rowOff>152400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l="2971" b="4082"/>
        <a:stretch/>
      </xdr:blipFill>
      <xdr:spPr>
        <a:xfrm>
          <a:off x="2133600" y="1190742"/>
          <a:ext cx="933330" cy="89523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0</xdr:colOff>
      <xdr:row>113</xdr:row>
      <xdr:rowOff>0</xdr:rowOff>
    </xdr:from>
    <xdr:to>
      <xdr:col>5</xdr:col>
      <xdr:colOff>609371</xdr:colOff>
      <xdr:row>118</xdr:row>
      <xdr:rowOff>133211</xdr:rowOff>
    </xdr:to>
    <xdr:pic>
      <xdr:nvPicPr>
        <xdr:cNvPr id="14" name="Picture 13"/>
        <xdr:cNvPicPr>
          <a:picLocks noChangeAspect="1"/>
        </xdr:cNvPicPr>
      </xdr:nvPicPr>
      <xdr:blipFill rotWithShape="1">
        <a:blip xmlns:r="http://schemas.openxmlformats.org/officeDocument/2006/relationships" r:embed="rId13"/>
        <a:srcRect t="2565"/>
        <a:stretch/>
      </xdr:blipFill>
      <xdr:spPr>
        <a:xfrm>
          <a:off x="2105025" y="21745575"/>
          <a:ext cx="1828571" cy="108571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6</xdr:col>
      <xdr:colOff>133350</xdr:colOff>
      <xdr:row>113</xdr:row>
      <xdr:rowOff>0</xdr:rowOff>
    </xdr:from>
    <xdr:to>
      <xdr:col>13</xdr:col>
      <xdr:colOff>104245</xdr:colOff>
      <xdr:row>118</xdr:row>
      <xdr:rowOff>133197</xdr:rowOff>
    </xdr:to>
    <xdr:pic>
      <xdr:nvPicPr>
        <xdr:cNvPr id="15" name="Picture 14"/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t="10940"/>
        <a:stretch/>
      </xdr:blipFill>
      <xdr:spPr>
        <a:xfrm>
          <a:off x="4067175" y="21745575"/>
          <a:ext cx="4238095" cy="108569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</xdr:col>
      <xdr:colOff>0</xdr:colOff>
      <xdr:row>136</xdr:row>
      <xdr:rowOff>0</xdr:rowOff>
    </xdr:from>
    <xdr:to>
      <xdr:col>9</xdr:col>
      <xdr:colOff>485252</xdr:colOff>
      <xdr:row>141</xdr:row>
      <xdr:rowOff>142738</xdr:rowOff>
    </xdr:to>
    <xdr:pic>
      <xdr:nvPicPr>
        <xdr:cNvPr id="17" name="Picture 16"/>
        <xdr:cNvPicPr>
          <a:picLocks noChangeAspect="1"/>
        </xdr:cNvPicPr>
      </xdr:nvPicPr>
      <xdr:blipFill rotWithShape="1">
        <a:blip xmlns:r="http://schemas.openxmlformats.org/officeDocument/2006/relationships" r:embed="rId15"/>
        <a:srcRect l="912"/>
        <a:stretch/>
      </xdr:blipFill>
      <xdr:spPr>
        <a:xfrm>
          <a:off x="2105025" y="26508075"/>
          <a:ext cx="4142852" cy="1095238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6</xdr:col>
      <xdr:colOff>104775</xdr:colOff>
      <xdr:row>119</xdr:row>
      <xdr:rowOff>0</xdr:rowOff>
    </xdr:from>
    <xdr:to>
      <xdr:col>13</xdr:col>
      <xdr:colOff>371475</xdr:colOff>
      <xdr:row>134</xdr:row>
      <xdr:rowOff>161925</xdr:rowOff>
    </xdr:to>
    <xdr:grpSp>
      <xdr:nvGrpSpPr>
        <xdr:cNvPr id="23" name="Group 22"/>
        <xdr:cNvGrpSpPr/>
      </xdr:nvGrpSpPr>
      <xdr:grpSpPr>
        <a:xfrm>
          <a:off x="4038600" y="981075"/>
          <a:ext cx="4533900" cy="0"/>
          <a:chOff x="4038600" y="22888575"/>
          <a:chExt cx="4533900" cy="3019425"/>
        </a:xfrm>
      </xdr:grpSpPr>
      <xdr:grpSp>
        <xdr:nvGrpSpPr>
          <xdr:cNvPr id="20" name="Group 19"/>
          <xdr:cNvGrpSpPr/>
        </xdr:nvGrpSpPr>
        <xdr:grpSpPr>
          <a:xfrm>
            <a:off x="4067175" y="22917548"/>
            <a:ext cx="4485714" cy="2990448"/>
            <a:chOff x="4067175" y="22917551"/>
            <a:chExt cx="4485714" cy="3009318"/>
          </a:xfrm>
        </xdr:grpSpPr>
        <xdr:pic>
          <xdr:nvPicPr>
            <xdr:cNvPr id="16" name="Picture 15"/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16"/>
            <a:srcRect t="79819"/>
            <a:stretch/>
          </xdr:blipFill>
          <xdr:spPr>
            <a:xfrm>
              <a:off x="4067175" y="25279169"/>
              <a:ext cx="4485714" cy="647700"/>
            </a:xfrm>
            <a:prstGeom prst="rect">
              <a:avLst/>
            </a:prstGeom>
            <a:ln>
              <a:solidFill>
                <a:schemeClr val="bg1"/>
              </a:solidFill>
            </a:ln>
          </xdr:spPr>
        </xdr:pic>
        <xdr:pic>
          <xdr:nvPicPr>
            <xdr:cNvPr id="18" name="Picture 17"/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16"/>
            <a:srcRect b="25522"/>
            <a:stretch/>
          </xdr:blipFill>
          <xdr:spPr>
            <a:xfrm>
              <a:off x="4067175" y="22917551"/>
              <a:ext cx="4485714" cy="2390374"/>
            </a:xfrm>
            <a:prstGeom prst="rect">
              <a:avLst/>
            </a:prstGeom>
            <a:ln>
              <a:solidFill>
                <a:schemeClr val="bg1"/>
              </a:solidFill>
            </a:ln>
          </xdr:spPr>
        </xdr:pic>
      </xdr:grpSp>
      <xdr:sp macro="" textlink="">
        <xdr:nvSpPr>
          <xdr:cNvPr id="22" name="Rectangle 21"/>
          <xdr:cNvSpPr/>
        </xdr:nvSpPr>
        <xdr:spPr>
          <a:xfrm>
            <a:off x="4038600" y="22888575"/>
            <a:ext cx="4533900" cy="3019425"/>
          </a:xfrm>
          <a:prstGeom prst="rect">
            <a:avLst/>
          </a:prstGeom>
          <a:noFill/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149</xdr:row>
          <xdr:rowOff>57150</xdr:rowOff>
        </xdr:from>
        <xdr:to>
          <xdr:col>1</xdr:col>
          <xdr:colOff>352426</xdr:colOff>
          <xdr:row>155</xdr:row>
          <xdr:rowOff>142875</xdr:rowOff>
        </xdr:to>
        <xdr:grpSp>
          <xdr:nvGrpSpPr>
            <xdr:cNvPr id="24" name="Group 23"/>
            <xdr:cNvGrpSpPr/>
          </xdr:nvGrpSpPr>
          <xdr:grpSpPr>
            <a:xfrm>
              <a:off x="47625" y="1428750"/>
              <a:ext cx="1190626" cy="1228725"/>
              <a:chOff x="2895599" y="95250"/>
              <a:chExt cx="1190626" cy="1228725"/>
            </a:xfrm>
          </xdr:grpSpPr>
          <xdr:sp macro="" textlink="">
            <xdr:nvSpPr>
              <xdr:cNvPr id="15361" name="Button 1" hidden="1">
                <a:extLst>
                  <a:ext uri="{63B3BB69-23CF-44E3-9099-C40C66FF867C}">
                    <a14:compatExt spid="_x0000_s15361"/>
                  </a:ext>
                </a:extLst>
              </xdr:cNvPr>
              <xdr:cNvSpPr/>
            </xdr:nvSpPr>
            <xdr:spPr bwMode="auto">
              <a:xfrm>
                <a:off x="2895600" y="342900"/>
                <a:ext cx="119062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Faculty Assignment</a:t>
                </a:r>
              </a:p>
            </xdr:txBody>
          </xdr:sp>
          <xdr:sp macro="" textlink="">
            <xdr:nvSpPr>
              <xdr:cNvPr id="15362" name="Button 2" hidden="1">
                <a:extLst>
                  <a:ext uri="{63B3BB69-23CF-44E3-9099-C40C66FF867C}">
                    <a14:compatExt spid="_x0000_s15362"/>
                  </a:ext>
                </a:extLst>
              </xdr:cNvPr>
              <xdr:cNvSpPr/>
            </xdr:nvSpPr>
            <xdr:spPr bwMode="auto">
              <a:xfrm>
                <a:off x="2895600" y="590550"/>
                <a:ext cx="119062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Preparation</a:t>
                </a:r>
              </a:p>
            </xdr:txBody>
          </xdr:sp>
          <xdr:sp macro="" textlink="">
            <xdr:nvSpPr>
              <xdr:cNvPr id="15363" name="Button 3" hidden="1">
                <a:extLst>
                  <a:ext uri="{63B3BB69-23CF-44E3-9099-C40C66FF867C}">
                    <a14:compatExt spid="_x0000_s15363"/>
                  </a:ext>
                </a:extLst>
              </xdr:cNvPr>
              <xdr:cNvSpPr/>
            </xdr:nvSpPr>
            <xdr:spPr bwMode="auto">
              <a:xfrm>
                <a:off x="2895600" y="838200"/>
                <a:ext cx="119062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Block Scheduling</a:t>
                </a:r>
              </a:p>
            </xdr:txBody>
          </xdr:sp>
          <xdr:sp macro="" textlink="">
            <xdr:nvSpPr>
              <xdr:cNvPr id="15364" name="Button 4" hidden="1">
                <a:extLst>
                  <a:ext uri="{63B3BB69-23CF-44E3-9099-C40C66FF867C}">
                    <a14:compatExt spid="_x0000_s15364"/>
                  </a:ext>
                </a:extLst>
              </xdr:cNvPr>
              <xdr:cNvSpPr/>
            </xdr:nvSpPr>
            <xdr:spPr bwMode="auto">
              <a:xfrm>
                <a:off x="2895600" y="1085850"/>
                <a:ext cx="1190625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Generate Calendar</a:t>
                </a:r>
              </a:p>
            </xdr:txBody>
          </xdr:sp>
          <xdr:sp macro="" textlink="">
            <xdr:nvSpPr>
              <xdr:cNvPr id="15365" name="Button 5" hidden="1">
                <a:extLst>
                  <a:ext uri="{63B3BB69-23CF-44E3-9099-C40C66FF867C}">
                    <a14:compatExt spid="_x0000_s15365"/>
                  </a:ext>
                </a:extLst>
              </xdr:cNvPr>
              <xdr:cNvSpPr/>
            </xdr:nvSpPr>
            <xdr:spPr bwMode="auto">
              <a:xfrm>
                <a:off x="2895599" y="95250"/>
                <a:ext cx="1188720" cy="238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Show UI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User" refreshedDate="42830.784010995369" createdVersion="5" refreshedVersion="5" minRefreshableVersion="3" recordCount="105">
  <cacheSource type="worksheet">
    <worksheetSource name="Course"/>
  </cacheSource>
  <cacheFields count="3">
    <cacheField name="Course" numFmtId="0">
      <sharedItems count="89">
        <s v="FI100"/>
        <s v="FI200"/>
        <s v="FI300"/>
        <s v="FI400"/>
        <s v="FI500"/>
        <s v="CS100"/>
        <s v="CS200"/>
        <s v="CS300"/>
        <s v="CS400"/>
        <s v="CS500"/>
        <s v="CS600"/>
        <s v="CS700"/>
        <s v="CS800"/>
        <s v="CS900"/>
        <s v="CS901"/>
        <s v="CS902"/>
        <s v="CS903"/>
        <s v="MA101"/>
        <s v="MA102"/>
        <s v="MA103"/>
        <s v="MA104"/>
        <s v="MA105"/>
        <s v="MA106"/>
        <s v="MA107"/>
        <s v="MA108"/>
        <s v="MA109"/>
        <s v="MA110"/>
        <s v="MA111"/>
        <s v="MA112"/>
        <s v="MA113"/>
        <s v="MA114"/>
        <s v="MA115"/>
        <s v="MA116"/>
        <s v="MA117"/>
        <s v="MA118"/>
        <s v="MA119"/>
        <s v="MA120"/>
        <s v="MA121"/>
        <s v="MA122"/>
        <s v="MA123"/>
        <s v="MA124"/>
        <s v="MA125"/>
        <s v="MA126"/>
        <s v="MA127"/>
        <s v="MA128"/>
        <s v="MA129"/>
        <s v="MA130"/>
        <s v="MA131"/>
        <s v="MA132"/>
        <s v="MA133"/>
        <s v="MA134"/>
        <s v="MA135"/>
        <s v="MA136"/>
        <s v="MA137"/>
        <s v="MA138"/>
        <s v="MA139"/>
        <s v="MA140"/>
        <s v="MA141"/>
        <s v="MA142"/>
        <s v="MA143"/>
        <s v="MA144"/>
        <s v="MA145"/>
        <s v="MA146"/>
        <s v="MA147"/>
        <s v="MA148"/>
        <s v="MA149"/>
        <s v="MA150"/>
        <s v="MA151"/>
        <s v="MA152"/>
        <s v="MA153"/>
        <s v="MA154"/>
        <s v="MA155"/>
        <s v="MA156"/>
        <s v="MA157"/>
        <s v="MA158"/>
        <s v="MA159"/>
        <s v="MA160"/>
        <s v="MA161"/>
        <s v="MA162"/>
        <s v="MA163"/>
        <s v="MA164"/>
        <s v="MA165"/>
        <s v="MA166"/>
        <s v="MA167"/>
        <s v="FIN500" u="1"/>
        <s v="FIN400" u="1"/>
        <s v="FIN300" u="1"/>
        <s v="FIN200" u="1"/>
        <s v="FIN100" u="1"/>
      </sharedItems>
    </cacheField>
    <cacheField name="Session" numFmtId="0">
      <sharedItems containsSemiMixedTypes="0" containsString="0" containsNumber="1" containsInteger="1" minValue="100" maxValue="400"/>
    </cacheField>
    <cacheField name="Leve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5">
  <r>
    <x v="0"/>
    <n v="100"/>
    <s v="U"/>
  </r>
  <r>
    <x v="0"/>
    <n v="200"/>
    <s v="U"/>
  </r>
  <r>
    <x v="0"/>
    <n v="300"/>
    <s v="U"/>
  </r>
  <r>
    <x v="0"/>
    <n v="400"/>
    <s v="U"/>
  </r>
  <r>
    <x v="1"/>
    <n v="100"/>
    <s v="U"/>
  </r>
  <r>
    <x v="1"/>
    <n v="200"/>
    <s v="U"/>
  </r>
  <r>
    <x v="1"/>
    <n v="300"/>
    <s v="U"/>
  </r>
  <r>
    <x v="1"/>
    <n v="400"/>
    <s v="U"/>
  </r>
  <r>
    <x v="2"/>
    <n v="100"/>
    <s v="U"/>
  </r>
  <r>
    <x v="2"/>
    <n v="200"/>
    <s v="U"/>
  </r>
  <r>
    <x v="2"/>
    <n v="300"/>
    <s v="U"/>
  </r>
  <r>
    <x v="2"/>
    <n v="400"/>
    <s v="U"/>
  </r>
  <r>
    <x v="3"/>
    <n v="100"/>
    <s v="U"/>
  </r>
  <r>
    <x v="3"/>
    <n v="200"/>
    <s v="U"/>
  </r>
  <r>
    <x v="3"/>
    <n v="300"/>
    <s v="U"/>
  </r>
  <r>
    <x v="3"/>
    <n v="400"/>
    <s v="U"/>
  </r>
  <r>
    <x v="4"/>
    <n v="100"/>
    <s v="U"/>
  </r>
  <r>
    <x v="4"/>
    <n v="200"/>
    <s v="U"/>
  </r>
  <r>
    <x v="4"/>
    <n v="300"/>
    <s v="U"/>
  </r>
  <r>
    <x v="4"/>
    <n v="400"/>
    <s v="U"/>
  </r>
  <r>
    <x v="5"/>
    <n v="100"/>
    <s v="G"/>
  </r>
  <r>
    <x v="6"/>
    <n v="100"/>
    <s v="G"/>
  </r>
  <r>
    <x v="7"/>
    <n v="100"/>
    <s v="G"/>
  </r>
  <r>
    <x v="8"/>
    <n v="100"/>
    <s v="G"/>
  </r>
  <r>
    <x v="9"/>
    <n v="100"/>
    <s v="G"/>
  </r>
  <r>
    <x v="10"/>
    <n v="100"/>
    <s v="G"/>
  </r>
  <r>
    <x v="11"/>
    <n v="100"/>
    <s v="G"/>
  </r>
  <r>
    <x v="12"/>
    <n v="100"/>
    <s v="G"/>
  </r>
  <r>
    <x v="13"/>
    <n v="100"/>
    <s v="G"/>
  </r>
  <r>
    <x v="14"/>
    <n v="100"/>
    <s v="G"/>
  </r>
  <r>
    <x v="15"/>
    <n v="100"/>
    <s v="G"/>
  </r>
  <r>
    <x v="16"/>
    <n v="100"/>
    <s v="G"/>
  </r>
  <r>
    <x v="17"/>
    <n v="100"/>
    <s v="U"/>
  </r>
  <r>
    <x v="18"/>
    <n v="100"/>
    <s v="U"/>
  </r>
  <r>
    <x v="19"/>
    <n v="100"/>
    <s v="U"/>
  </r>
  <r>
    <x v="20"/>
    <n v="100"/>
    <s v="U"/>
  </r>
  <r>
    <x v="21"/>
    <n v="100"/>
    <s v="U"/>
  </r>
  <r>
    <x v="22"/>
    <n v="100"/>
    <s v="U"/>
  </r>
  <r>
    <x v="23"/>
    <n v="100"/>
    <s v="U"/>
  </r>
  <r>
    <x v="24"/>
    <n v="100"/>
    <s v="U"/>
  </r>
  <r>
    <x v="25"/>
    <n v="100"/>
    <s v="U"/>
  </r>
  <r>
    <x v="26"/>
    <n v="100"/>
    <s v="U"/>
  </r>
  <r>
    <x v="27"/>
    <n v="100"/>
    <s v="U"/>
  </r>
  <r>
    <x v="28"/>
    <n v="100"/>
    <s v="U"/>
  </r>
  <r>
    <x v="29"/>
    <n v="100"/>
    <s v="U"/>
  </r>
  <r>
    <x v="30"/>
    <n v="100"/>
    <s v="U"/>
  </r>
  <r>
    <x v="31"/>
    <n v="100"/>
    <s v="U"/>
  </r>
  <r>
    <x v="32"/>
    <n v="100"/>
    <s v="U"/>
  </r>
  <r>
    <x v="33"/>
    <n v="100"/>
    <s v="U"/>
  </r>
  <r>
    <x v="34"/>
    <n v="100"/>
    <s v="U"/>
  </r>
  <r>
    <x v="35"/>
    <n v="100"/>
    <s v="U"/>
  </r>
  <r>
    <x v="36"/>
    <n v="100"/>
    <s v="U"/>
  </r>
  <r>
    <x v="37"/>
    <n v="100"/>
    <s v="U"/>
  </r>
  <r>
    <x v="38"/>
    <n v="100"/>
    <s v="U"/>
  </r>
  <r>
    <x v="39"/>
    <n v="100"/>
    <s v="U"/>
  </r>
  <r>
    <x v="40"/>
    <n v="100"/>
    <s v="U"/>
  </r>
  <r>
    <x v="41"/>
    <n v="100"/>
    <s v="U"/>
  </r>
  <r>
    <x v="42"/>
    <n v="100"/>
    <s v="U"/>
  </r>
  <r>
    <x v="43"/>
    <n v="100"/>
    <s v="U"/>
  </r>
  <r>
    <x v="44"/>
    <n v="100"/>
    <s v="U"/>
  </r>
  <r>
    <x v="45"/>
    <n v="100"/>
    <s v="U"/>
  </r>
  <r>
    <x v="46"/>
    <n v="100"/>
    <s v="U"/>
  </r>
  <r>
    <x v="47"/>
    <n v="100"/>
    <s v="U"/>
  </r>
  <r>
    <x v="48"/>
    <n v="100"/>
    <s v="U"/>
  </r>
  <r>
    <x v="49"/>
    <n v="100"/>
    <s v="U"/>
  </r>
  <r>
    <x v="50"/>
    <n v="100"/>
    <s v="U"/>
  </r>
  <r>
    <x v="51"/>
    <n v="100"/>
    <s v="U"/>
  </r>
  <r>
    <x v="52"/>
    <n v="100"/>
    <s v="U"/>
  </r>
  <r>
    <x v="53"/>
    <n v="100"/>
    <s v="U"/>
  </r>
  <r>
    <x v="54"/>
    <n v="100"/>
    <s v="U"/>
  </r>
  <r>
    <x v="55"/>
    <n v="100"/>
    <s v="U"/>
  </r>
  <r>
    <x v="56"/>
    <n v="100"/>
    <s v="U"/>
  </r>
  <r>
    <x v="57"/>
    <n v="100"/>
    <s v="U"/>
  </r>
  <r>
    <x v="58"/>
    <n v="100"/>
    <s v="U"/>
  </r>
  <r>
    <x v="59"/>
    <n v="100"/>
    <s v="U"/>
  </r>
  <r>
    <x v="60"/>
    <n v="100"/>
    <s v="U"/>
  </r>
  <r>
    <x v="61"/>
    <n v="100"/>
    <s v="U"/>
  </r>
  <r>
    <x v="62"/>
    <n v="100"/>
    <s v="U"/>
  </r>
  <r>
    <x v="63"/>
    <n v="100"/>
    <s v="U"/>
  </r>
  <r>
    <x v="64"/>
    <n v="100"/>
    <s v="U"/>
  </r>
  <r>
    <x v="65"/>
    <n v="100"/>
    <s v="U"/>
  </r>
  <r>
    <x v="66"/>
    <n v="100"/>
    <s v="U"/>
  </r>
  <r>
    <x v="67"/>
    <n v="100"/>
    <s v="U"/>
  </r>
  <r>
    <x v="68"/>
    <n v="100"/>
    <s v="U"/>
  </r>
  <r>
    <x v="69"/>
    <n v="100"/>
    <s v="U"/>
  </r>
  <r>
    <x v="70"/>
    <n v="100"/>
    <s v="U"/>
  </r>
  <r>
    <x v="71"/>
    <n v="100"/>
    <s v="U"/>
  </r>
  <r>
    <x v="72"/>
    <n v="100"/>
    <s v="U"/>
  </r>
  <r>
    <x v="73"/>
    <n v="100"/>
    <s v="U"/>
  </r>
  <r>
    <x v="74"/>
    <n v="100"/>
    <s v="U"/>
  </r>
  <r>
    <x v="75"/>
    <n v="100"/>
    <s v="U"/>
  </r>
  <r>
    <x v="76"/>
    <n v="100"/>
    <s v="U"/>
  </r>
  <r>
    <x v="77"/>
    <n v="100"/>
    <s v="U"/>
  </r>
  <r>
    <x v="78"/>
    <n v="100"/>
    <s v="U"/>
  </r>
  <r>
    <x v="79"/>
    <n v="100"/>
    <s v="U"/>
  </r>
  <r>
    <x v="80"/>
    <n v="100"/>
    <s v="U"/>
  </r>
  <r>
    <x v="81"/>
    <n v="100"/>
    <s v="U"/>
  </r>
  <r>
    <x v="82"/>
    <n v="100"/>
    <s v="U"/>
  </r>
  <r>
    <x v="83"/>
    <n v="100"/>
    <s v="U"/>
  </r>
  <r>
    <x v="17"/>
    <n v="200"/>
    <s v="U"/>
  </r>
  <r>
    <x v="18"/>
    <n v="200"/>
    <s v="U"/>
  </r>
  <r>
    <x v="19"/>
    <n v="200"/>
    <s v="U"/>
  </r>
  <r>
    <x v="17"/>
    <n v="300"/>
    <s v="U"/>
  </r>
  <r>
    <x v="18"/>
    <n v="300"/>
    <s v="U"/>
  </r>
  <r>
    <x v="19"/>
    <n v="300"/>
    <s v="U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CourseList" cacheId="114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outline="1" outlineData="1" multipleFieldFilters="0" rowHeaderCaption="Course">
  <location ref="A1:A85" firstHeaderRow="1" firstDataRow="1" firstDataCol="1"/>
  <pivotFields count="3">
    <pivotField axis="axisRow" showAll="0">
      <items count="90"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m="1" x="88"/>
        <item m="1" x="87"/>
        <item m="1" x="86"/>
        <item m="1" x="85"/>
        <item m="1" x="84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0"/>
        <item x="1"/>
        <item x="2"/>
        <item x="3"/>
        <item x="4"/>
        <item t="default"/>
      </items>
    </pivotField>
    <pivotField showAll="0"/>
    <pivotField showAll="0"/>
  </pivotFields>
  <rowFields count="1">
    <field x="0"/>
  </rowFields>
  <rowItems count="8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</rowItems>
  <colItems count="1">
    <i/>
  </colItems>
  <formats count="2">
    <format dxfId="116">
      <pivotArea field="0" type="button" dataOnly="0" labelOnly="1" outline="0" axis="axisRow" fieldPosition="0"/>
    </format>
    <format dxfId="115">
      <pivotArea field="0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Prof" displayName="Prof" ref="A1:AK51" totalsRowShown="0" headerRowDxfId="209" dataDxfId="208">
  <autoFilter ref="A1:AK51"/>
  <tableColumns count="37">
    <tableColumn id="1" name="Name" dataDxfId="207"/>
    <tableColumn id="2" name="Full/Part-time" dataDxfId="206"/>
    <tableColumn id="20" name="#Session" dataDxfId="205"/>
    <tableColumn id="3" name="Preference_1" dataDxfId="204"/>
    <tableColumn id="4" name="Preference_2" dataDxfId="203"/>
    <tableColumn id="5" name="Preference_3" dataDxfId="202"/>
    <tableColumn id="6" name="Preference_4" dataDxfId="201"/>
    <tableColumn id="24" name="Preference_5" dataDxfId="200"/>
    <tableColumn id="19" name="Preference_6" dataDxfId="199"/>
    <tableColumn id="7" name="Block_1" dataDxfId="198"/>
    <tableColumn id="8" name="Block_2" dataDxfId="197"/>
    <tableColumn id="9" name="Block_3" dataDxfId="196"/>
    <tableColumn id="10" name="Block_4" dataDxfId="195"/>
    <tableColumn id="11" name="Block_5" dataDxfId="194"/>
    <tableColumn id="12" name="Block_6" dataDxfId="193"/>
    <tableColumn id="13" name="Block_7" dataDxfId="192"/>
    <tableColumn id="18" name="Block_8" dataDxfId="191"/>
    <tableColumn id="14" name="Block_9" dataDxfId="190"/>
    <tableColumn id="15" name="Block_10" dataDxfId="189"/>
    <tableColumn id="16" name="Block_11" dataDxfId="188"/>
    <tableColumn id="17" name="Block_12" dataDxfId="187"/>
    <tableColumn id="25" name="Block_13" dataDxfId="186"/>
    <tableColumn id="26" name="Block_14" dataDxfId="185"/>
    <tableColumn id="27" name="Block_15" dataDxfId="184"/>
    <tableColumn id="28" name="Block_16" dataDxfId="183"/>
    <tableColumn id="29" name="Block_17" dataDxfId="182"/>
    <tableColumn id="30" name="Block_18" dataDxfId="181"/>
    <tableColumn id="31" name="Block_19" dataDxfId="180"/>
    <tableColumn id="32" name="Block_20" dataDxfId="179"/>
    <tableColumn id="33" name="Block_21" dataDxfId="178"/>
    <tableColumn id="34" name="Block_22" dataDxfId="177"/>
    <tableColumn id="35" name="Block_23" dataDxfId="176"/>
    <tableColumn id="36" name="Block_24" dataDxfId="175"/>
    <tableColumn id="37" name="Block_25" dataDxfId="174"/>
    <tableColumn id="38" name="Block_26" dataDxfId="173"/>
    <tableColumn id="39" name="Block_27" dataDxfId="172"/>
    <tableColumn id="40" name="Block_28" dataDxfId="17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5" name="HProf" displayName="HProf" ref="A1:AL2" totalsRowShown="0" headerRowDxfId="170" dataDxfId="169">
  <autoFilter ref="A1:AL2"/>
  <tableColumns count="38">
    <tableColumn id="1" name="Semester" dataDxfId="168"/>
    <tableColumn id="2" name="Name" dataDxfId="167"/>
    <tableColumn id="3" name="Full/Part-time" dataDxfId="166"/>
    <tableColumn id="38" name="#Session" dataDxfId="165"/>
    <tableColumn id="4" name="Preference_1" dataDxfId="164"/>
    <tableColumn id="5" name="Preference_2" dataDxfId="163"/>
    <tableColumn id="6" name="Preference_3" dataDxfId="162"/>
    <tableColumn id="7" name="Preference_4" dataDxfId="161"/>
    <tableColumn id="8" name="Preference_5" dataDxfId="160"/>
    <tableColumn id="9" name="Preference_6" dataDxfId="159"/>
    <tableColumn id="10" name="Block_1" dataDxfId="158"/>
    <tableColumn id="11" name="Block_2" dataDxfId="157"/>
    <tableColumn id="12" name="Block_3" dataDxfId="156"/>
    <tableColumn id="13" name="Block_4" dataDxfId="155"/>
    <tableColumn id="14" name="Block_5" dataDxfId="154"/>
    <tableColumn id="15" name="Block_6" dataDxfId="153"/>
    <tableColumn id="16" name="Block_7" dataDxfId="152"/>
    <tableColumn id="17" name="Block_8" dataDxfId="151"/>
    <tableColumn id="18" name="Block_9" dataDxfId="150"/>
    <tableColumn id="19" name="Block_10" dataDxfId="149"/>
    <tableColumn id="20" name="Block_11" dataDxfId="148"/>
    <tableColumn id="21" name="Block_12" dataDxfId="147"/>
    <tableColumn id="22" name="Block_13" dataDxfId="146"/>
    <tableColumn id="23" name="Block_14" dataDxfId="145"/>
    <tableColumn id="24" name="Block_15" dataDxfId="144"/>
    <tableColumn id="25" name="Block_16" dataDxfId="143"/>
    <tableColumn id="26" name="Block_17" dataDxfId="142"/>
    <tableColumn id="27" name="Block_18" dataDxfId="141"/>
    <tableColumn id="28" name="Block_19" dataDxfId="140"/>
    <tableColumn id="29" name="Block_20" dataDxfId="139"/>
    <tableColumn id="30" name="Block_21" dataDxfId="138"/>
    <tableColumn id="31" name="Block_22" dataDxfId="137"/>
    <tableColumn id="32" name="Block_23" dataDxfId="136"/>
    <tableColumn id="33" name="Block_24" dataDxfId="135"/>
    <tableColumn id="34" name="Block_25" dataDxfId="134"/>
    <tableColumn id="35" name="Block_26" dataDxfId="133"/>
    <tableColumn id="36" name="Block_27" dataDxfId="132"/>
    <tableColumn id="37" name="Block_28" dataDxfId="131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Course" displayName="Course" ref="A1:C106" totalsRowShown="0" headerRowDxfId="130" dataDxfId="129">
  <tableColumns count="3">
    <tableColumn id="2" name="Course" dataDxfId="128"/>
    <tableColumn id="3" name="Session" dataDxfId="127"/>
    <tableColumn id="4" name="Level" dataDxfId="126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1" name="Block" displayName="Block" ref="A1:E29" totalsRowShown="0">
  <autoFilter ref="A1:E29"/>
  <tableColumns count="5">
    <tableColumn id="1" name="Block"/>
    <tableColumn id="3" name="Level"/>
    <tableColumn id="7" name="Before_Noon"/>
    <tableColumn id="8" name="After_Noon"/>
    <tableColumn id="2" name="SessionNum" dataDxfId="125">
      <calculatedColumnFormula>COUNTA(OFFSET(Block[[#This Row],[Block]],0,6,1,2000))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8" name="CProf" displayName="CProf" ref="A1:Q51" totalsRowShown="0" headerRowDxfId="124" headerRowBorderDxfId="123" tableBorderDxfId="122" totalsRowBorderDxfId="121">
  <autoFilter ref="A1:Q51"/>
  <tableColumns count="17">
    <tableColumn id="1" name="Name"/>
    <tableColumn id="2" name="Full/Part-time"/>
    <tableColumn id="3" name="AvailSession"/>
    <tableColumn id="4" name="Pref_1"/>
    <tableColumn id="5" name="Pref_2"/>
    <tableColumn id="6" name="Pref_3"/>
    <tableColumn id="7" name="Pref_4"/>
    <tableColumn id="8" name="Pref_5"/>
    <tableColumn id="9" name="Pref_6"/>
    <tableColumn id="38" name="Session_1"/>
    <tableColumn id="39" name="Session_2"/>
    <tableColumn id="40" name="Session_3"/>
    <tableColumn id="41" name="Session_4"/>
    <tableColumn id="42" name="Source_1" dataDxfId="120">
      <calculatedColumnFormula>IFERROR(MATCH(LEFT(CProf[[#This Row],[Session_1]],5),CProf[[#This Row],[Pref_1]:[Pref_6]],0),"")</calculatedColumnFormula>
    </tableColumn>
    <tableColumn id="43" name="Source_2" dataDxfId="119">
      <calculatedColumnFormula>IFERROR(MATCH(LEFT(CProf[[#This Row],[Session_2]],5),CProf[[#This Row],[Pref_1]:[Pref_6]],0),"")</calculatedColumnFormula>
    </tableColumn>
    <tableColumn id="44" name="Source_3" dataDxfId="118">
      <calculatedColumnFormula>IFERROR(MATCH(LEFT(CProf[[#This Row],[Session_3]],5),CProf[[#This Row],[Pref_1]:[Pref_6]],0),"")</calculatedColumnFormula>
    </tableColumn>
    <tableColumn id="45" name="Source_4" dataDxfId="117">
      <calculatedColumnFormula>IFERROR(MATCH(LEFT(CProf[[#This Row],[Session_4]],5),CProf[[#This Row],[Pref_1]:[Pref_6]],0),"")</calculatedColumnFormula>
    </tableColumn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id="7" name="CCourse" displayName="CCourse" ref="B1:L106" totalsRowShown="0">
  <autoFilter ref="B1:L106"/>
  <tableColumns count="11">
    <tableColumn id="1" name="Course"/>
    <tableColumn id="2" name="Session"/>
    <tableColumn id="3" name="Level"/>
    <tableColumn id="4" name="SessionPK" dataDxfId="33"/>
    <tableColumn id="5" name="AvaiProf" dataDxfId="114">
      <calculatedColumnFormula>COUNTIF(CProf[[Pref_1]:[Pref_6]],CCourse[[#This Row],[Course]])</calculatedColumnFormula>
    </tableColumn>
    <tableColumn id="6" name="AvaiSpot" dataDxfId="113">
      <calculatedColumnFormula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calculatedColumnFormula>
    </tableColumn>
    <tableColumn id="9" name="SessionNum" dataDxfId="112">
      <calculatedColumnFormula>COUNTIF(CCourse[Course],CCourse[[#This Row],[Course]])-COUNTIF(CProf[[Session_1]:[Session_4]],CCourse[[#This Row],[Course]]&amp;"*")</calculatedColumnFormula>
    </tableColumn>
    <tableColumn id="10" name="Insufficient" dataDxfId="111">
      <calculatedColumnFormula>IF(ISBLANK(CCourse[[#This Row],[Professor]]),IF(CCourse[[#This Row],[SessionNum]]&gt;CCourse[[#This Row],[AvaiSpot]],2,IF(CCourse[[#This Row],[AvaiSpot]]=CCourse[[#This Row],[SessionNum]],1,0)),10)</calculatedColumnFormula>
    </tableColumn>
    <tableColumn id="8" name="F/P" dataDxfId="110">
      <calculatedColumnFormula>IFERROR(INDEX(CProf[Full/Part-time],MATCH(CCourse[[#This Row],[Professor]],CProf[Name],0)),"")</calculatedColumnFormula>
    </tableColumn>
    <tableColumn id="7" name="Professor"/>
    <tableColumn id="13" name="ID" dataDxfId="32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id="4" name="SCourse" displayName="SCourse" ref="A1:BO106" totalsRowShown="0">
  <autoFilter ref="A1:BO106"/>
  <tableColumns count="67">
    <tableColumn id="65" name="ID" dataDxfId="109" dataCellStyle="Comma">
      <calculatedColumnFormula>1</calculatedColumnFormula>
    </tableColumn>
    <tableColumn id="1" name="Course"/>
    <tableColumn id="2" name="Session"/>
    <tableColumn id="3" name="Level" dataDxfId="108"/>
    <tableColumn id="5" name="SessionPK"/>
    <tableColumn id="4" name="Professor"/>
    <tableColumn id="6" name="SessionNum" dataDxfId="107">
      <calculatedColumnFormula>COUNTIF(SCourse[Course],SCourse[[#This Row],[Course]])</calculatedColumnFormula>
    </tableColumn>
    <tableColumn id="7" name="Block"/>
    <tableColumn id="8" name="BlockSessioNum" dataDxfId="106">
      <calculatedColumnFormula>COUNTIF(SCourse[Block],SCourse[[#This Row],[Block]])</calculatedColumnFormula>
    </tableColumn>
    <tableColumn id="66" name="NonBlank" dataDxfId="31"/>
    <tableColumn id="67" name="InputSource" dataDxfId="30"/>
    <tableColumn id="9" name="Block1" dataDxfId="29"/>
    <tableColumn id="10" name="Block2" dataDxfId="28"/>
    <tableColumn id="11" name="Block3" dataDxfId="27"/>
    <tableColumn id="12" name="Block4" dataDxfId="26"/>
    <tableColumn id="13" name="Block5" dataDxfId="25"/>
    <tableColumn id="14" name="Block6" dataDxfId="24"/>
    <tableColumn id="15" name="Block7" dataDxfId="23"/>
    <tableColumn id="16" name="Block8" dataDxfId="22"/>
    <tableColumn id="17" name="Block9" dataDxfId="21"/>
    <tableColumn id="18" name="Block10" dataDxfId="20"/>
    <tableColumn id="19" name="Block11" dataDxfId="19"/>
    <tableColumn id="20" name="Block12" dataDxfId="18"/>
    <tableColumn id="21" name="Block13" dataDxfId="17"/>
    <tableColumn id="22" name="Block14" dataDxfId="16"/>
    <tableColumn id="23" name="Block15" dataDxfId="15"/>
    <tableColumn id="24" name="Block16" dataDxfId="14"/>
    <tableColumn id="25" name="Block17" dataDxfId="13"/>
    <tableColumn id="26" name="Block18" dataDxfId="12"/>
    <tableColumn id="27" name="Block19" dataDxfId="11"/>
    <tableColumn id="28" name="Block20" dataDxfId="10"/>
    <tableColumn id="29" name="Block21" dataDxfId="9"/>
    <tableColumn id="30" name="Block22" dataDxfId="8"/>
    <tableColumn id="31" name="Block23" dataDxfId="7"/>
    <tableColumn id="32" name="Block24" dataDxfId="6"/>
    <tableColumn id="33" name="Block25" dataDxfId="5"/>
    <tableColumn id="34" name="Block26" dataDxfId="4"/>
    <tableColumn id="35" name="Block27" dataDxfId="3"/>
    <tableColumn id="36" name="Block28" dataDxfId="2"/>
    <tableColumn id="37" name="1" dataDxfId="61" dataCellStyle="Comma"/>
    <tableColumn id="38" name="2" dataDxfId="60" dataCellStyle="Comma"/>
    <tableColumn id="39" name="3" dataDxfId="59" dataCellStyle="Comma"/>
    <tableColumn id="40" name="4" dataDxfId="58" dataCellStyle="Comma"/>
    <tableColumn id="41" name="5" dataDxfId="57" dataCellStyle="Comma"/>
    <tableColumn id="42" name="6" dataDxfId="56" dataCellStyle="Comma"/>
    <tableColumn id="43" name="7" dataDxfId="55" dataCellStyle="Comma"/>
    <tableColumn id="44" name="8" dataDxfId="54" dataCellStyle="Comma"/>
    <tableColumn id="45" name="9" dataDxfId="53" dataCellStyle="Comma"/>
    <tableColumn id="46" name="10" dataDxfId="52" dataCellStyle="Comma"/>
    <tableColumn id="47" name="11" dataDxfId="51" dataCellStyle="Comma"/>
    <tableColumn id="48" name="12" dataDxfId="50" dataCellStyle="Comma"/>
    <tableColumn id="49" name="13" dataDxfId="49" dataCellStyle="Comma"/>
    <tableColumn id="50" name="14" dataDxfId="48" dataCellStyle="Comma"/>
    <tableColumn id="51" name="15" dataDxfId="47" dataCellStyle="Comma"/>
    <tableColumn id="52" name="16" dataDxfId="46" dataCellStyle="Comma"/>
    <tableColumn id="53" name="17" dataDxfId="45" dataCellStyle="Comma"/>
    <tableColumn id="54" name="18" dataDxfId="44" dataCellStyle="Comma"/>
    <tableColumn id="55" name="19" dataDxfId="43" dataCellStyle="Comma"/>
    <tableColumn id="56" name="20" dataDxfId="42" dataCellStyle="Comma"/>
    <tableColumn id="57" name="21" dataDxfId="41" dataCellStyle="Comma"/>
    <tableColumn id="58" name="22" dataDxfId="40" dataCellStyle="Comma"/>
    <tableColumn id="59" name="23" dataDxfId="39" dataCellStyle="Comma"/>
    <tableColumn id="60" name="24" dataDxfId="38" dataCellStyle="Comma"/>
    <tableColumn id="61" name="25" dataDxfId="37" dataCellStyle="Comma"/>
    <tableColumn id="62" name="26" dataDxfId="36" dataCellStyle="Comma"/>
    <tableColumn id="63" name="27" dataDxfId="35" dataCellStyle="Comma"/>
    <tableColumn id="64" name="28" dataDxfId="34" dataCellStyle="Comma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6" name="SCD" displayName="SCD" ref="A1:AZ106" totalsRowShown="0">
  <autoFilter ref="A1:AZ106"/>
  <tableColumns count="52">
    <tableColumn id="1" name="Course"/>
    <tableColumn id="2" name="Session"/>
    <tableColumn id="3" name="Level"/>
    <tableColumn id="4" name="SessionPK"/>
    <tableColumn id="5" name="Professor"/>
    <tableColumn id="6" name="SessionNum" dataDxfId="105">
      <calculatedColumnFormula>COUNTIF(SCD[Course],SCD[[#This Row],[Course]])</calculatedColumnFormula>
    </tableColumn>
    <tableColumn id="7" name="Block"/>
    <tableColumn id="8" name="BlockSessionNum" dataDxfId="104">
      <calculatedColumnFormula>COUNTIF(SCD[Block],SCD[[#This Row],[Block]])</calculatedColumnFormula>
    </tableColumn>
    <tableColumn id="9" name="AMNum" dataDxfId="103">
      <calculatedColumnFormula>COUNTIFS(SCD[Course],SCD[[#This Row],[Course]],SCD[Block],"&lt;=7",SCD[Block],"&gt;=1") + COUNTIFS(SCD[Course],SCD[[#This Row],[Course]],SCD[Block],10)</calculatedColumnFormula>
    </tableColumn>
    <tableColumn id="10" name="PMNum" dataDxfId="102">
      <calculatedColumnFormula>COUNTIFS(SCD[Course],SCD[[#This Row],[Course]],SCD[Block],"&gt;7")</calculatedColumnFormula>
    </tableColumn>
    <tableColumn id="11" name="AvailableNum" dataDxfId="0">
      <calculatedColumnFormula>COUNT(SCD[[#This Row],[1]:[20]])</calculatedColumnFormula>
    </tableColumn>
    <tableColumn id="12" name="1" dataDxfId="101"/>
    <tableColumn id="13" name="2" dataDxfId="100"/>
    <tableColumn id="14" name="3" dataDxfId="99"/>
    <tableColumn id="15" name="4" dataDxfId="98"/>
    <tableColumn id="16" name="5" dataDxfId="97"/>
    <tableColumn id="17" name="6" dataDxfId="96"/>
    <tableColumn id="18" name="7" dataDxfId="95"/>
    <tableColumn id="19" name="8" dataDxfId="94"/>
    <tableColumn id="20" name="9" dataDxfId="93"/>
    <tableColumn id="21" name="10" dataDxfId="92"/>
    <tableColumn id="22" name="11" dataDxfId="91"/>
    <tableColumn id="23" name="12" dataDxfId="90"/>
    <tableColumn id="24" name="13" dataDxfId="89"/>
    <tableColumn id="25" name="14" dataDxfId="88"/>
    <tableColumn id="26" name="15" dataDxfId="87"/>
    <tableColumn id="27" name="16" dataDxfId="86"/>
    <tableColumn id="28" name="17" dataDxfId="85"/>
    <tableColumn id="29" name="18" dataDxfId="84"/>
    <tableColumn id="30" name="19" dataDxfId="83"/>
    <tableColumn id="31" name="20" dataDxfId="82"/>
    <tableColumn id="32" name="Score_1" dataDxfId="81" dataCellStyle="Comma"/>
    <tableColumn id="33" name="Score_2" dataDxfId="80" dataCellStyle="Comma"/>
    <tableColumn id="34" name="Score_3" dataDxfId="79" dataCellStyle="Comma"/>
    <tableColumn id="35" name="Score_4" dataDxfId="78" dataCellStyle="Comma"/>
    <tableColumn id="36" name="Score_5" dataDxfId="77" dataCellStyle="Comma"/>
    <tableColumn id="37" name="Score_6" dataDxfId="76" dataCellStyle="Comma"/>
    <tableColumn id="38" name="Score_7" dataDxfId="75" dataCellStyle="Comma"/>
    <tableColumn id="39" name="Score_8" dataDxfId="74" dataCellStyle="Comma"/>
    <tableColumn id="40" name="Score_9" dataDxfId="73" dataCellStyle="Comma"/>
    <tableColumn id="41" name="Score_10" dataDxfId="72" dataCellStyle="Comma"/>
    <tableColumn id="42" name="Score_11" dataDxfId="71" dataCellStyle="Comma"/>
    <tableColumn id="43" name="Score_12" dataDxfId="70" dataCellStyle="Comma"/>
    <tableColumn id="44" name="Score_13" dataDxfId="69" dataCellStyle="Comma"/>
    <tableColumn id="45" name="Score_14" dataDxfId="68" dataCellStyle="Comma"/>
    <tableColumn id="46" name="Score_15" dataDxfId="67" dataCellStyle="Comma"/>
    <tableColumn id="47" name="Score_16" dataDxfId="66" dataCellStyle="Comma"/>
    <tableColumn id="48" name="Score_17" dataDxfId="65" dataCellStyle="Comma"/>
    <tableColumn id="49" name="Score_18" dataDxfId="64" dataCellStyle="Comma"/>
    <tableColumn id="50" name="Score_19" dataDxfId="63" dataCellStyle="Comma"/>
    <tableColumn id="51" name="Score_20" dataDxfId="62" dataCellStyle="Comma"/>
    <tableColumn id="52" name="ID" dataDxfId="1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5" Type="http://schemas.openxmlformats.org/officeDocument/2006/relationships/comments" Target="../comments6.xml"/><Relationship Id="rId4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8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  <outlinePr summaryBelow="0"/>
  </sheetPr>
  <dimension ref="A1:O164"/>
  <sheetViews>
    <sheetView showGridLines="0" tabSelected="1" workbookViewId="0"/>
  </sheetViews>
  <sheetFormatPr defaultRowHeight="15" outlineLevelRow="2" x14ac:dyDescent="0.25"/>
  <cols>
    <col min="1" max="1" width="13.28515625" customWidth="1"/>
    <col min="3" max="3" width="9.140625" style="30"/>
  </cols>
  <sheetData>
    <row r="1" spans="1:15" ht="15.75" collapsed="1" x14ac:dyDescent="0.25">
      <c r="A1" s="36" t="s">
        <v>471</v>
      </c>
    </row>
    <row r="2" spans="1:15" hidden="1" outlineLevel="1" x14ac:dyDescent="0.25">
      <c r="A2" s="27"/>
      <c r="B2" s="28" t="s">
        <v>425</v>
      </c>
      <c r="C2" s="31" t="s">
        <v>426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</row>
    <row r="3" spans="1:15" hidden="1" outlineLevel="1" x14ac:dyDescent="0.25">
      <c r="A3" s="27"/>
      <c r="B3" s="28" t="s">
        <v>427</v>
      </c>
      <c r="C3" s="31" t="s">
        <v>428</v>
      </c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</row>
    <row r="4" spans="1:15" hidden="1" outlineLevel="1" x14ac:dyDescent="0.25">
      <c r="A4" s="27"/>
      <c r="B4" s="28" t="s">
        <v>429</v>
      </c>
      <c r="C4" s="31" t="s">
        <v>470</v>
      </c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</row>
    <row r="6" spans="1:15" ht="15.75" collapsed="1" x14ac:dyDescent="0.25">
      <c r="A6" s="36" t="s">
        <v>430</v>
      </c>
    </row>
    <row r="7" spans="1:15" hidden="1" outlineLevel="1" collapsed="1" x14ac:dyDescent="0.25">
      <c r="A7" s="27"/>
      <c r="B7" s="33" t="s">
        <v>438</v>
      </c>
      <c r="C7" s="31" t="s">
        <v>432</v>
      </c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</row>
    <row r="8" spans="1:15" hidden="1" outlineLevel="2" x14ac:dyDescent="0.25">
      <c r="A8" s="27"/>
      <c r="B8" s="33"/>
      <c r="C8" s="31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</row>
    <row r="9" spans="1:15" hidden="1" outlineLevel="2" x14ac:dyDescent="0.25">
      <c r="A9" s="27"/>
      <c r="B9" s="33"/>
      <c r="C9" s="31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</row>
    <row r="10" spans="1:15" hidden="1" outlineLevel="2" x14ac:dyDescent="0.25">
      <c r="A10" s="27"/>
      <c r="B10" s="33"/>
      <c r="C10" s="31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</row>
    <row r="11" spans="1:15" hidden="1" outlineLevel="2" x14ac:dyDescent="0.25">
      <c r="A11" s="27"/>
      <c r="B11" s="33"/>
      <c r="C11" s="31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</row>
    <row r="12" spans="1:15" hidden="1" outlineLevel="2" x14ac:dyDescent="0.25">
      <c r="A12" s="27"/>
      <c r="B12" s="33"/>
      <c r="C12" s="31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</row>
    <row r="13" spans="1:15" hidden="1" outlineLevel="2" x14ac:dyDescent="0.25">
      <c r="A13" s="27"/>
      <c r="B13" s="33"/>
      <c r="C13" s="31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</row>
    <row r="14" spans="1:15" hidden="1" outlineLevel="2" x14ac:dyDescent="0.25">
      <c r="A14" s="27"/>
      <c r="B14" s="33"/>
      <c r="C14" s="31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</row>
    <row r="15" spans="1:15" hidden="1" outlineLevel="2" x14ac:dyDescent="0.25">
      <c r="A15" s="27"/>
      <c r="B15" s="33"/>
      <c r="C15" s="31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</row>
    <row r="16" spans="1:15" hidden="1" outlineLevel="2" x14ac:dyDescent="0.25">
      <c r="A16" s="27"/>
      <c r="B16" s="33"/>
      <c r="C16" s="31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</row>
    <row r="17" spans="1:15" hidden="1" outlineLevel="1" collapsed="1" x14ac:dyDescent="0.25">
      <c r="A17" s="27"/>
      <c r="B17" s="33" t="s">
        <v>439</v>
      </c>
      <c r="C17" s="31" t="s">
        <v>433</v>
      </c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</row>
    <row r="18" spans="1:15" hidden="1" outlineLevel="2" x14ac:dyDescent="0.25">
      <c r="A18" s="27"/>
      <c r="B18" s="33"/>
      <c r="C18" s="31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</row>
    <row r="19" spans="1:15" hidden="1" outlineLevel="2" x14ac:dyDescent="0.25">
      <c r="A19" s="27"/>
      <c r="B19" s="33"/>
      <c r="C19" s="31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</row>
    <row r="20" spans="1:15" hidden="1" outlineLevel="2" x14ac:dyDescent="0.25">
      <c r="A20" s="27"/>
      <c r="B20" s="33"/>
      <c r="C20" s="31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</row>
    <row r="21" spans="1:15" hidden="1" outlineLevel="2" x14ac:dyDescent="0.25">
      <c r="A21" s="27"/>
      <c r="B21" s="33"/>
      <c r="C21" s="31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</row>
    <row r="22" spans="1:15" hidden="1" outlineLevel="2" x14ac:dyDescent="0.25">
      <c r="A22" s="27"/>
      <c r="B22" s="33"/>
      <c r="C22" s="31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</row>
    <row r="23" spans="1:15" hidden="1" outlineLevel="2" x14ac:dyDescent="0.25">
      <c r="A23" s="27"/>
      <c r="B23" s="33"/>
      <c r="C23" s="31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</row>
    <row r="24" spans="1:15" hidden="1" outlineLevel="2" x14ac:dyDescent="0.25">
      <c r="A24" s="27"/>
      <c r="B24" s="33"/>
      <c r="C24" s="31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</row>
    <row r="25" spans="1:15" hidden="1" outlineLevel="2" x14ac:dyDescent="0.25">
      <c r="A25" s="27"/>
      <c r="B25" s="33"/>
      <c r="C25" s="31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</row>
    <row r="26" spans="1:15" hidden="1" outlineLevel="2" x14ac:dyDescent="0.25">
      <c r="A26" s="27"/>
      <c r="B26" s="33"/>
      <c r="C26" s="31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</row>
    <row r="27" spans="1:15" hidden="1" outlineLevel="2" x14ac:dyDescent="0.25">
      <c r="A27" s="27"/>
      <c r="B27" s="33"/>
      <c r="C27" s="31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</row>
    <row r="28" spans="1:15" hidden="1" outlineLevel="1" collapsed="1" x14ac:dyDescent="0.25">
      <c r="A28" s="27"/>
      <c r="B28" s="33" t="s">
        <v>440</v>
      </c>
      <c r="C28" s="31" t="s">
        <v>434</v>
      </c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</row>
    <row r="29" spans="1:15" hidden="1" outlineLevel="2" x14ac:dyDescent="0.25">
      <c r="A29" s="27"/>
      <c r="B29" s="33"/>
      <c r="C29" s="31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</row>
    <row r="30" spans="1:15" hidden="1" outlineLevel="2" x14ac:dyDescent="0.25">
      <c r="A30" s="27"/>
      <c r="B30" s="33"/>
      <c r="C30" s="31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</row>
    <row r="31" spans="1:15" hidden="1" outlineLevel="2" x14ac:dyDescent="0.25">
      <c r="A31" s="27"/>
      <c r="B31" s="33"/>
      <c r="C31" s="31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</row>
    <row r="32" spans="1:15" hidden="1" outlineLevel="2" x14ac:dyDescent="0.25">
      <c r="A32" s="27"/>
      <c r="B32" s="33"/>
      <c r="C32" s="31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</row>
    <row r="33" spans="1:15" hidden="1" outlineLevel="2" x14ac:dyDescent="0.25">
      <c r="A33" s="27"/>
      <c r="B33" s="33"/>
      <c r="C33" s="31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</row>
    <row r="34" spans="1:15" hidden="1" outlineLevel="2" x14ac:dyDescent="0.25">
      <c r="A34" s="27"/>
      <c r="B34" s="33"/>
      <c r="C34" s="31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</row>
    <row r="35" spans="1:15" hidden="1" outlineLevel="2" x14ac:dyDescent="0.25">
      <c r="A35" s="27"/>
      <c r="B35" s="33"/>
      <c r="C35" s="31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</row>
    <row r="36" spans="1:15" hidden="1" outlineLevel="2" x14ac:dyDescent="0.25">
      <c r="A36" s="27"/>
      <c r="B36" s="33"/>
      <c r="C36" s="31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</row>
    <row r="37" spans="1:15" hidden="1" outlineLevel="1" collapsed="1" x14ac:dyDescent="0.25">
      <c r="A37" s="27"/>
      <c r="B37" s="33" t="s">
        <v>441</v>
      </c>
      <c r="C37" s="31" t="s">
        <v>437</v>
      </c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</row>
    <row r="38" spans="1:15" hidden="1" outlineLevel="2" x14ac:dyDescent="0.25">
      <c r="A38" s="27"/>
      <c r="B38" s="33"/>
      <c r="C38" s="31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</row>
    <row r="39" spans="1:15" hidden="1" outlineLevel="2" x14ac:dyDescent="0.25">
      <c r="A39" s="27"/>
      <c r="B39" s="33"/>
      <c r="C39" s="31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</row>
    <row r="40" spans="1:15" hidden="1" outlineLevel="2" x14ac:dyDescent="0.25">
      <c r="A40" s="27"/>
      <c r="B40" s="33"/>
      <c r="C40" s="31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</row>
    <row r="41" spans="1:15" hidden="1" outlineLevel="2" x14ac:dyDescent="0.25">
      <c r="A41" s="27"/>
      <c r="B41" s="33"/>
      <c r="C41" s="31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</row>
    <row r="42" spans="1:15" hidden="1" outlineLevel="2" x14ac:dyDescent="0.25">
      <c r="A42" s="27"/>
      <c r="B42" s="33"/>
      <c r="C42" s="31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</row>
    <row r="43" spans="1:15" hidden="1" outlineLevel="2" x14ac:dyDescent="0.25">
      <c r="A43" s="27"/>
      <c r="B43" s="33"/>
      <c r="C43" s="31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</row>
    <row r="44" spans="1:15" hidden="1" outlineLevel="2" x14ac:dyDescent="0.25">
      <c r="A44" s="27"/>
      <c r="B44" s="33"/>
      <c r="C44" s="31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</row>
    <row r="45" spans="1:15" hidden="1" outlineLevel="2" x14ac:dyDescent="0.25">
      <c r="A45" s="27"/>
      <c r="B45" s="33"/>
      <c r="C45" s="31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</row>
    <row r="46" spans="1:15" hidden="1" outlineLevel="1" x14ac:dyDescent="0.25">
      <c r="A46" s="27"/>
      <c r="B46" s="33" t="s">
        <v>442</v>
      </c>
      <c r="C46" s="31" t="s">
        <v>435</v>
      </c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</row>
    <row r="47" spans="1:15" hidden="1" outlineLevel="1" collapsed="1" x14ac:dyDescent="0.25">
      <c r="A47" s="27"/>
      <c r="B47" s="33" t="s">
        <v>443</v>
      </c>
      <c r="C47" s="31" t="s">
        <v>431</v>
      </c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</row>
    <row r="48" spans="1:15" hidden="1" outlineLevel="2" x14ac:dyDescent="0.25">
      <c r="A48" s="27"/>
      <c r="B48" s="33"/>
      <c r="C48" s="31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</row>
    <row r="49" spans="1:15" hidden="1" outlineLevel="2" x14ac:dyDescent="0.25">
      <c r="A49" s="27"/>
      <c r="B49" s="33"/>
      <c r="C49" s="31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</row>
    <row r="50" spans="1:15" hidden="1" outlineLevel="2" x14ac:dyDescent="0.25">
      <c r="A50" s="27"/>
      <c r="B50" s="33"/>
      <c r="C50" s="31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</row>
    <row r="51" spans="1:15" hidden="1" outlineLevel="2" x14ac:dyDescent="0.25">
      <c r="A51" s="27"/>
      <c r="B51" s="33"/>
      <c r="C51" s="31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</row>
    <row r="52" spans="1:15" hidden="1" outlineLevel="2" x14ac:dyDescent="0.25">
      <c r="A52" s="27"/>
      <c r="B52" s="33"/>
      <c r="C52" s="31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</row>
    <row r="53" spans="1:15" hidden="1" outlineLevel="2" x14ac:dyDescent="0.25">
      <c r="A53" s="27"/>
      <c r="B53" s="33"/>
      <c r="C53" s="31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</row>
    <row r="54" spans="1:15" hidden="1" outlineLevel="2" x14ac:dyDescent="0.25">
      <c r="A54" s="27"/>
      <c r="B54" s="33"/>
      <c r="C54" s="31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</row>
    <row r="55" spans="1:15" hidden="1" outlineLevel="2" x14ac:dyDescent="0.25">
      <c r="A55" s="27"/>
      <c r="B55" s="33"/>
      <c r="C55" s="31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</row>
    <row r="56" spans="1:15" hidden="1" outlineLevel="1" collapsed="1" x14ac:dyDescent="0.25">
      <c r="A56" s="27"/>
      <c r="B56" s="33" t="s">
        <v>444</v>
      </c>
      <c r="C56" s="31" t="s">
        <v>436</v>
      </c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</row>
    <row r="57" spans="1:15" hidden="1" outlineLevel="2" x14ac:dyDescent="0.25">
      <c r="A57" s="27"/>
      <c r="B57" s="33"/>
      <c r="C57" s="31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</row>
    <row r="58" spans="1:15" hidden="1" outlineLevel="2" x14ac:dyDescent="0.25">
      <c r="A58" s="27"/>
      <c r="B58" s="33"/>
      <c r="C58" s="31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</row>
    <row r="59" spans="1:15" hidden="1" outlineLevel="2" x14ac:dyDescent="0.25">
      <c r="A59" s="27"/>
      <c r="B59" s="33"/>
      <c r="C59" s="31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</row>
    <row r="60" spans="1:15" hidden="1" outlineLevel="2" x14ac:dyDescent="0.25">
      <c r="A60" s="27"/>
      <c r="B60" s="33"/>
      <c r="C60" s="31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</row>
    <row r="61" spans="1:15" hidden="1" outlineLevel="2" x14ac:dyDescent="0.25">
      <c r="A61" s="27"/>
      <c r="B61" s="33"/>
      <c r="C61" s="31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</row>
    <row r="62" spans="1:15" hidden="1" outlineLevel="2" x14ac:dyDescent="0.25">
      <c r="A62" s="27"/>
      <c r="B62" s="33"/>
      <c r="C62" s="31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</row>
    <row r="63" spans="1:15" hidden="1" outlineLevel="2" x14ac:dyDescent="0.25">
      <c r="A63" s="27"/>
      <c r="B63" s="33"/>
      <c r="C63" s="31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</row>
    <row r="64" spans="1:15" hidden="1" outlineLevel="2" x14ac:dyDescent="0.25">
      <c r="A64" s="27"/>
      <c r="B64" s="33"/>
      <c r="C64" s="31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</row>
    <row r="65" spans="1:15" hidden="1" outlineLevel="2" x14ac:dyDescent="0.25">
      <c r="A65" s="27"/>
      <c r="B65" s="33"/>
      <c r="C65" s="31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</row>
    <row r="66" spans="1:15" hidden="1" outlineLevel="1" collapsed="1" x14ac:dyDescent="0.25">
      <c r="A66" s="27"/>
      <c r="B66" s="33" t="s">
        <v>465</v>
      </c>
      <c r="C66" s="31" t="s">
        <v>474</v>
      </c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</row>
    <row r="67" spans="1:15" hidden="1" outlineLevel="2" x14ac:dyDescent="0.25">
      <c r="A67" s="27"/>
      <c r="B67" s="33"/>
      <c r="C67" s="31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</row>
    <row r="68" spans="1:15" hidden="1" outlineLevel="2" x14ac:dyDescent="0.25">
      <c r="A68" s="27"/>
      <c r="B68" s="33"/>
      <c r="C68" s="31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</row>
    <row r="69" spans="1:15" hidden="1" outlineLevel="2" x14ac:dyDescent="0.25">
      <c r="A69" s="27"/>
      <c r="B69" s="33"/>
      <c r="C69" s="31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</row>
    <row r="70" spans="1:15" hidden="1" outlineLevel="2" x14ac:dyDescent="0.25">
      <c r="A70" s="27"/>
      <c r="B70" s="33"/>
      <c r="C70" s="31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</row>
    <row r="71" spans="1:15" hidden="1" outlineLevel="2" x14ac:dyDescent="0.25">
      <c r="A71" s="27"/>
      <c r="B71" s="33"/>
      <c r="C71" s="31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</row>
    <row r="72" spans="1:15" hidden="1" outlineLevel="2" x14ac:dyDescent="0.25">
      <c r="A72" s="27"/>
      <c r="B72" s="33"/>
      <c r="C72" s="31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</row>
    <row r="73" spans="1:15" hidden="1" outlineLevel="2" x14ac:dyDescent="0.25">
      <c r="A73" s="27"/>
      <c r="B73" s="33"/>
      <c r="C73" s="31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</row>
    <row r="74" spans="1:15" s="6" customFormat="1" x14ac:dyDescent="0.25">
      <c r="B74" s="40"/>
      <c r="C74" s="41"/>
    </row>
    <row r="75" spans="1:15" ht="15.75" collapsed="1" x14ac:dyDescent="0.25">
      <c r="A75" s="36" t="s">
        <v>445</v>
      </c>
    </row>
    <row r="76" spans="1:15" hidden="1" outlineLevel="1" collapsed="1" x14ac:dyDescent="0.25">
      <c r="A76" s="27"/>
      <c r="B76" s="45" t="s">
        <v>446</v>
      </c>
      <c r="C76" s="31" t="s">
        <v>448</v>
      </c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</row>
    <row r="77" spans="1:15" hidden="1" outlineLevel="2" x14ac:dyDescent="0.25">
      <c r="A77" s="27"/>
      <c r="B77" s="28"/>
      <c r="C77" s="31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</row>
    <row r="78" spans="1:15" hidden="1" outlineLevel="2" x14ac:dyDescent="0.25">
      <c r="A78" s="27"/>
      <c r="B78" s="28"/>
      <c r="C78" s="31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</row>
    <row r="79" spans="1:15" hidden="1" outlineLevel="2" x14ac:dyDescent="0.25">
      <c r="A79" s="27"/>
      <c r="B79" s="28"/>
      <c r="C79" s="31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</row>
    <row r="80" spans="1:15" hidden="1" outlineLevel="2" x14ac:dyDescent="0.25">
      <c r="A80" s="27"/>
      <c r="B80" s="28"/>
      <c r="C80" s="31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 t="s">
        <v>475</v>
      </c>
      <c r="O80" s="29" t="s">
        <v>475</v>
      </c>
    </row>
    <row r="81" spans="1:15" hidden="1" outlineLevel="2" x14ac:dyDescent="0.25">
      <c r="A81" s="27"/>
      <c r="B81" s="28"/>
      <c r="C81" s="31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</row>
    <row r="82" spans="1:15" hidden="1" outlineLevel="1" x14ac:dyDescent="0.25">
      <c r="A82" s="27"/>
      <c r="B82" s="27"/>
      <c r="C82" s="31" t="s">
        <v>447</v>
      </c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</row>
    <row r="83" spans="1:15" hidden="1" outlineLevel="1" x14ac:dyDescent="0.25">
      <c r="A83" s="27"/>
      <c r="B83" s="27"/>
      <c r="C83" s="31" t="s">
        <v>449</v>
      </c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</row>
    <row r="84" spans="1:15" hidden="1" outlineLevel="1" collapsed="1" x14ac:dyDescent="0.25">
      <c r="A84" s="27"/>
      <c r="B84" s="27"/>
      <c r="C84" s="34" t="s">
        <v>450</v>
      </c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</row>
    <row r="85" spans="1:15" hidden="1" outlineLevel="2" x14ac:dyDescent="0.25">
      <c r="A85" s="27"/>
      <c r="B85" s="27"/>
      <c r="C85" s="34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</row>
    <row r="86" spans="1:15" hidden="1" outlineLevel="2" x14ac:dyDescent="0.25">
      <c r="A86" s="27"/>
      <c r="B86" s="27"/>
      <c r="C86" s="34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</row>
    <row r="87" spans="1:15" hidden="1" outlineLevel="2" x14ac:dyDescent="0.25">
      <c r="A87" s="27"/>
      <c r="B87" s="27"/>
      <c r="C87" s="34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</row>
    <row r="88" spans="1:15" hidden="1" outlineLevel="2" x14ac:dyDescent="0.25">
      <c r="A88" s="27"/>
      <c r="B88" s="27"/>
      <c r="C88" s="34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</row>
    <row r="89" spans="1:15" hidden="1" outlineLevel="2" x14ac:dyDescent="0.25">
      <c r="A89" s="27"/>
      <c r="B89" s="27"/>
      <c r="C89" s="34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</row>
    <row r="90" spans="1:15" hidden="1" outlineLevel="2" x14ac:dyDescent="0.25">
      <c r="A90" s="27"/>
      <c r="B90" s="27"/>
      <c r="C90" s="34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</row>
    <row r="91" spans="1:15" hidden="1" outlineLevel="2" x14ac:dyDescent="0.25">
      <c r="A91" s="27"/>
      <c r="B91" s="27"/>
      <c r="C91" s="34" t="s">
        <v>472</v>
      </c>
      <c r="D91" s="29"/>
      <c r="E91" s="29"/>
      <c r="F91" s="29"/>
      <c r="G91" s="29"/>
      <c r="H91" s="29"/>
      <c r="I91" s="42"/>
      <c r="J91" s="29"/>
      <c r="K91" s="29"/>
      <c r="L91" s="29"/>
      <c r="M91" s="29"/>
      <c r="N91" s="29"/>
      <c r="O91" s="29"/>
    </row>
    <row r="92" spans="1:15" hidden="1" outlineLevel="2" x14ac:dyDescent="0.25">
      <c r="A92" s="27"/>
      <c r="B92" s="27"/>
      <c r="C92" s="34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</row>
    <row r="93" spans="1:15" hidden="1" outlineLevel="2" x14ac:dyDescent="0.25">
      <c r="A93" s="27"/>
      <c r="B93" s="27"/>
      <c r="C93" s="34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</row>
    <row r="94" spans="1:15" hidden="1" outlineLevel="2" x14ac:dyDescent="0.25">
      <c r="A94" s="27"/>
      <c r="B94" s="27"/>
      <c r="C94" s="34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</row>
    <row r="95" spans="1:15" hidden="1" outlineLevel="2" x14ac:dyDescent="0.25">
      <c r="A95" s="27"/>
      <c r="B95" s="27"/>
      <c r="C95" s="34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</row>
    <row r="96" spans="1:15" hidden="1" outlineLevel="2" x14ac:dyDescent="0.25">
      <c r="A96" s="27"/>
      <c r="B96" s="27"/>
      <c r="C96" s="34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</row>
    <row r="97" spans="1:15" hidden="1" outlineLevel="2" x14ac:dyDescent="0.25">
      <c r="A97" s="27"/>
      <c r="B97" s="27"/>
      <c r="C97" s="34" t="s">
        <v>473</v>
      </c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</row>
    <row r="98" spans="1:15" hidden="1" outlineLevel="2" x14ac:dyDescent="0.25">
      <c r="A98" s="27"/>
      <c r="B98" s="27"/>
      <c r="C98" s="35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</row>
    <row r="99" spans="1:15" hidden="1" outlineLevel="2" x14ac:dyDescent="0.25">
      <c r="A99" s="27"/>
      <c r="B99" s="27"/>
      <c r="C99" s="35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</row>
    <row r="100" spans="1:15" hidden="1" outlineLevel="2" x14ac:dyDescent="0.25">
      <c r="A100" s="27"/>
      <c r="B100" s="27"/>
      <c r="C100" s="35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</row>
    <row r="101" spans="1:15" hidden="1" outlineLevel="2" x14ac:dyDescent="0.25">
      <c r="A101" s="27"/>
      <c r="B101" s="27"/>
      <c r="C101" s="35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</row>
    <row r="102" spans="1:15" hidden="1" outlineLevel="2" x14ac:dyDescent="0.25">
      <c r="A102" s="27"/>
      <c r="B102" s="27"/>
      <c r="C102" s="35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</row>
    <row r="103" spans="1:15" hidden="1" outlineLevel="2" x14ac:dyDescent="0.25">
      <c r="A103" s="27"/>
      <c r="B103" s="27"/>
      <c r="C103" s="35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</row>
    <row r="104" spans="1:15" hidden="1" outlineLevel="2" x14ac:dyDescent="0.25">
      <c r="A104" s="27"/>
      <c r="B104" s="27"/>
      <c r="C104" s="35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</row>
    <row r="105" spans="1:15" hidden="1" outlineLevel="2" x14ac:dyDescent="0.25">
      <c r="A105" s="27"/>
      <c r="B105" s="27"/>
      <c r="C105" s="35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</row>
    <row r="106" spans="1:15" hidden="1" outlineLevel="2" x14ac:dyDescent="0.25">
      <c r="A106" s="27"/>
      <c r="B106" s="27"/>
      <c r="C106" s="35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</row>
    <row r="107" spans="1:15" hidden="1" outlineLevel="2" x14ac:dyDescent="0.25">
      <c r="A107" s="27"/>
      <c r="B107" s="27"/>
      <c r="C107" s="35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</row>
    <row r="108" spans="1:15" hidden="1" outlineLevel="2" x14ac:dyDescent="0.25">
      <c r="A108" s="27"/>
      <c r="B108" s="27"/>
      <c r="C108" s="35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</row>
    <row r="109" spans="1:15" hidden="1" outlineLevel="2" x14ac:dyDescent="0.25">
      <c r="A109" s="27"/>
      <c r="B109" s="27"/>
      <c r="C109" s="35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</row>
    <row r="110" spans="1:15" hidden="1" outlineLevel="2" x14ac:dyDescent="0.25">
      <c r="A110" s="27"/>
      <c r="B110" s="27"/>
      <c r="C110" s="35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</row>
    <row r="111" spans="1:15" hidden="1" outlineLevel="1" x14ac:dyDescent="0.25">
      <c r="A111" s="27"/>
      <c r="B111" s="45" t="s">
        <v>451</v>
      </c>
      <c r="C111" s="31" t="s">
        <v>476</v>
      </c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</row>
    <row r="112" spans="1:15" hidden="1" outlineLevel="1" x14ac:dyDescent="0.25">
      <c r="A112" s="27"/>
      <c r="B112" s="27"/>
      <c r="C112" s="34" t="s">
        <v>477</v>
      </c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</row>
    <row r="113" spans="1:15" hidden="1" outlineLevel="1" collapsed="1" x14ac:dyDescent="0.25">
      <c r="A113" s="27"/>
      <c r="B113" s="27"/>
      <c r="C113" s="34" t="s">
        <v>452</v>
      </c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</row>
    <row r="114" spans="1:15" hidden="1" outlineLevel="2" x14ac:dyDescent="0.25">
      <c r="A114" s="27"/>
      <c r="B114" s="27"/>
      <c r="C114" s="34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</row>
    <row r="115" spans="1:15" hidden="1" outlineLevel="2" x14ac:dyDescent="0.25">
      <c r="A115" s="27"/>
      <c r="B115" s="27"/>
      <c r="C115" s="34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</row>
    <row r="116" spans="1:15" hidden="1" outlineLevel="2" x14ac:dyDescent="0.25">
      <c r="A116" s="27"/>
      <c r="B116" s="27"/>
      <c r="C116" s="34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</row>
    <row r="117" spans="1:15" hidden="1" outlineLevel="2" x14ac:dyDescent="0.25">
      <c r="A117" s="27"/>
      <c r="B117" s="27"/>
      <c r="C117" s="34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</row>
    <row r="118" spans="1:15" hidden="1" outlineLevel="2" x14ac:dyDescent="0.25">
      <c r="A118" s="27"/>
      <c r="B118" s="27"/>
      <c r="C118" s="34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</row>
    <row r="119" spans="1:15" hidden="1" outlineLevel="2" x14ac:dyDescent="0.25">
      <c r="A119" s="27"/>
      <c r="B119" s="27"/>
      <c r="C119" s="34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</row>
    <row r="120" spans="1:15" hidden="1" outlineLevel="2" x14ac:dyDescent="0.25">
      <c r="A120" s="27"/>
      <c r="B120" s="27"/>
      <c r="C120" s="34" t="s">
        <v>472</v>
      </c>
      <c r="D120" s="29" t="s">
        <v>478</v>
      </c>
      <c r="E120" s="29"/>
      <c r="F120" s="42" t="s">
        <v>473</v>
      </c>
      <c r="G120" s="29"/>
      <c r="H120" s="29"/>
      <c r="I120" s="29"/>
      <c r="J120" s="29"/>
      <c r="K120" s="29"/>
      <c r="L120" s="29"/>
      <c r="M120" s="29"/>
      <c r="N120" s="29"/>
      <c r="O120" s="29"/>
    </row>
    <row r="121" spans="1:15" hidden="1" outlineLevel="2" x14ac:dyDescent="0.25">
      <c r="A121" s="27"/>
      <c r="B121" s="27"/>
      <c r="C121" s="34"/>
      <c r="D121" s="29"/>
      <c r="E121" s="29"/>
      <c r="F121" s="42"/>
      <c r="G121" s="29"/>
      <c r="H121" s="29"/>
      <c r="I121" s="29"/>
      <c r="J121" s="29"/>
      <c r="K121" s="29"/>
      <c r="L121" s="29"/>
      <c r="M121" s="29"/>
      <c r="N121" s="29"/>
      <c r="O121" s="29"/>
    </row>
    <row r="122" spans="1:15" hidden="1" outlineLevel="2" x14ac:dyDescent="0.25">
      <c r="A122" s="27"/>
      <c r="B122" s="27"/>
      <c r="C122" s="34"/>
      <c r="D122" s="29"/>
      <c r="E122" s="29"/>
      <c r="F122" s="42"/>
      <c r="G122" s="29"/>
      <c r="H122" s="29"/>
      <c r="I122" s="29"/>
      <c r="J122" s="29"/>
      <c r="K122" s="29"/>
      <c r="L122" s="29"/>
      <c r="M122" s="29"/>
      <c r="N122" s="29"/>
      <c r="O122" s="29"/>
    </row>
    <row r="123" spans="1:15" hidden="1" outlineLevel="2" x14ac:dyDescent="0.25">
      <c r="A123" s="27"/>
      <c r="B123" s="27"/>
      <c r="C123" s="34"/>
      <c r="D123" s="29"/>
      <c r="E123" s="29"/>
      <c r="F123" s="42"/>
      <c r="G123" s="29"/>
      <c r="H123" s="29"/>
      <c r="I123" s="29"/>
      <c r="J123" s="29"/>
      <c r="K123" s="29"/>
      <c r="L123" s="29"/>
      <c r="M123" s="29"/>
      <c r="N123" s="29"/>
      <c r="O123" s="29"/>
    </row>
    <row r="124" spans="1:15" hidden="1" outlineLevel="2" x14ac:dyDescent="0.25">
      <c r="A124" s="27"/>
      <c r="B124" s="27"/>
      <c r="C124" s="34"/>
      <c r="D124" s="29"/>
      <c r="E124" s="29"/>
      <c r="F124" s="42"/>
      <c r="G124" s="29"/>
      <c r="H124" s="29"/>
      <c r="I124" s="29"/>
      <c r="J124" s="29"/>
      <c r="K124" s="29"/>
      <c r="L124" s="29"/>
      <c r="M124" s="29"/>
      <c r="N124" s="29"/>
      <c r="O124" s="29"/>
    </row>
    <row r="125" spans="1:15" hidden="1" outlineLevel="2" x14ac:dyDescent="0.25">
      <c r="A125" s="27"/>
      <c r="B125" s="27"/>
      <c r="C125" s="34"/>
      <c r="D125" s="29"/>
      <c r="E125" s="29"/>
      <c r="F125" s="42"/>
      <c r="G125" s="29"/>
      <c r="H125" s="29"/>
      <c r="I125" s="29"/>
      <c r="J125" s="29"/>
      <c r="K125" s="29"/>
      <c r="L125" s="29"/>
      <c r="M125" s="29"/>
      <c r="N125" s="29"/>
      <c r="O125" s="29"/>
    </row>
    <row r="126" spans="1:15" hidden="1" outlineLevel="2" x14ac:dyDescent="0.25">
      <c r="A126" s="27"/>
      <c r="B126" s="27"/>
      <c r="C126" s="34"/>
      <c r="D126" s="29"/>
      <c r="E126" s="29"/>
      <c r="F126" s="42"/>
      <c r="G126" s="29"/>
      <c r="H126" s="29"/>
      <c r="I126" s="29"/>
      <c r="J126" s="29"/>
      <c r="K126" s="29"/>
      <c r="L126" s="29"/>
      <c r="M126" s="29"/>
      <c r="N126" s="29"/>
      <c r="O126" s="29"/>
    </row>
    <row r="127" spans="1:15" hidden="1" outlineLevel="2" x14ac:dyDescent="0.25">
      <c r="A127" s="27"/>
      <c r="B127" s="27"/>
      <c r="C127" s="34"/>
      <c r="D127" s="29"/>
      <c r="E127" s="29"/>
      <c r="F127" s="42"/>
      <c r="G127" s="29"/>
      <c r="H127" s="29"/>
      <c r="I127" s="29"/>
      <c r="J127" s="29"/>
      <c r="K127" s="29"/>
      <c r="L127" s="29"/>
      <c r="M127" s="29"/>
      <c r="N127" s="29"/>
      <c r="O127" s="29"/>
    </row>
    <row r="128" spans="1:15" hidden="1" outlineLevel="2" x14ac:dyDescent="0.25">
      <c r="A128" s="27"/>
      <c r="B128" s="27"/>
      <c r="C128" s="34"/>
      <c r="D128" s="29"/>
      <c r="E128" s="29"/>
      <c r="F128" s="42"/>
      <c r="G128" s="29"/>
      <c r="H128" s="29"/>
      <c r="I128" s="29"/>
      <c r="J128" s="29"/>
      <c r="K128" s="29"/>
      <c r="L128" s="29"/>
      <c r="M128" s="29"/>
      <c r="N128" s="29"/>
      <c r="O128" s="29"/>
    </row>
    <row r="129" spans="1:15" hidden="1" outlineLevel="2" x14ac:dyDescent="0.25">
      <c r="A129" s="27"/>
      <c r="B129" s="27"/>
      <c r="C129" s="34"/>
      <c r="D129" s="29"/>
      <c r="E129" s="29"/>
      <c r="F129" s="42"/>
      <c r="G129" s="29"/>
      <c r="H129" s="29"/>
      <c r="I129" s="29"/>
      <c r="J129" s="29"/>
      <c r="K129" s="29"/>
      <c r="L129" s="29"/>
      <c r="M129" s="29"/>
      <c r="N129" s="29"/>
      <c r="O129" s="29"/>
    </row>
    <row r="130" spans="1:15" hidden="1" outlineLevel="2" x14ac:dyDescent="0.25">
      <c r="A130" s="27"/>
      <c r="B130" s="27"/>
      <c r="C130" s="34"/>
      <c r="D130" s="29"/>
      <c r="E130" s="29"/>
      <c r="F130" s="42"/>
      <c r="G130" s="29"/>
      <c r="H130" s="29"/>
      <c r="I130" s="29"/>
      <c r="J130" s="29"/>
      <c r="K130" s="29"/>
      <c r="L130" s="29"/>
      <c r="M130" s="29"/>
      <c r="N130" s="29"/>
      <c r="O130" s="29"/>
    </row>
    <row r="131" spans="1:15" hidden="1" outlineLevel="2" x14ac:dyDescent="0.25">
      <c r="A131" s="27"/>
      <c r="B131" s="27"/>
      <c r="C131" s="34"/>
      <c r="D131" s="29"/>
      <c r="E131" s="29"/>
      <c r="F131" s="42"/>
      <c r="G131" s="29"/>
      <c r="H131" s="29"/>
      <c r="I131" s="29"/>
      <c r="J131" s="29"/>
      <c r="K131" s="29"/>
      <c r="L131" s="29"/>
      <c r="M131" s="29"/>
      <c r="N131" s="29"/>
      <c r="O131" s="29"/>
    </row>
    <row r="132" spans="1:15" hidden="1" outlineLevel="2" x14ac:dyDescent="0.25">
      <c r="A132" s="27"/>
      <c r="B132" s="27"/>
      <c r="C132" s="34"/>
      <c r="D132" s="29"/>
      <c r="E132" s="29"/>
      <c r="F132" s="42"/>
      <c r="G132" s="29"/>
      <c r="H132" s="29"/>
      <c r="I132" s="29"/>
      <c r="J132" s="29"/>
      <c r="K132" s="29"/>
      <c r="L132" s="29"/>
      <c r="M132" s="29"/>
      <c r="N132" s="29"/>
      <c r="O132" s="29"/>
    </row>
    <row r="133" spans="1:15" hidden="1" outlineLevel="2" x14ac:dyDescent="0.25">
      <c r="A133" s="27"/>
      <c r="B133" s="27"/>
      <c r="C133" s="34"/>
      <c r="D133" s="29"/>
      <c r="E133" s="29"/>
      <c r="F133" s="42"/>
      <c r="G133" s="29"/>
      <c r="H133" s="29"/>
      <c r="I133" s="29"/>
      <c r="J133" s="29"/>
      <c r="K133" s="29"/>
      <c r="L133" s="29"/>
      <c r="M133" s="29"/>
      <c r="N133" s="29"/>
      <c r="O133" s="29"/>
    </row>
    <row r="134" spans="1:15" hidden="1" outlineLevel="2" x14ac:dyDescent="0.25">
      <c r="A134" s="27"/>
      <c r="B134" s="27"/>
      <c r="C134" s="34"/>
      <c r="D134" s="29"/>
      <c r="E134" s="29"/>
      <c r="F134" s="42"/>
      <c r="G134" s="29"/>
      <c r="H134" s="29"/>
      <c r="I134" s="29"/>
      <c r="J134" s="29"/>
      <c r="K134" s="29"/>
      <c r="L134" s="29"/>
      <c r="M134" s="29"/>
      <c r="N134" s="29"/>
      <c r="O134" s="29"/>
    </row>
    <row r="135" spans="1:15" hidden="1" outlineLevel="2" x14ac:dyDescent="0.25">
      <c r="A135" s="27"/>
      <c r="B135" s="27"/>
      <c r="C135" s="34"/>
      <c r="D135" s="29"/>
      <c r="E135" s="29"/>
      <c r="F135" s="42"/>
      <c r="G135" s="29"/>
      <c r="H135" s="29"/>
      <c r="I135" s="29"/>
      <c r="J135" s="29"/>
      <c r="K135" s="29"/>
      <c r="L135" s="29"/>
      <c r="M135" s="29"/>
      <c r="N135" s="29"/>
      <c r="O135" s="29"/>
    </row>
    <row r="136" spans="1:15" hidden="1" outlineLevel="1" collapsed="1" x14ac:dyDescent="0.25">
      <c r="A136" s="27"/>
      <c r="B136" s="27"/>
      <c r="C136" s="34" t="s">
        <v>455</v>
      </c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</row>
    <row r="137" spans="1:15" hidden="1" outlineLevel="2" x14ac:dyDescent="0.25">
      <c r="A137" s="27"/>
      <c r="B137" s="27"/>
      <c r="C137" s="34"/>
      <c r="D137" s="29"/>
      <c r="E137" s="29"/>
      <c r="F137" s="29"/>
      <c r="G137" s="29"/>
      <c r="H137" s="29"/>
      <c r="I137" s="29"/>
      <c r="J137" s="29"/>
      <c r="K137" s="43" t="s">
        <v>472</v>
      </c>
      <c r="L137" s="29" t="s">
        <v>478</v>
      </c>
      <c r="M137" s="29"/>
      <c r="N137" s="29"/>
      <c r="O137" s="29"/>
    </row>
    <row r="138" spans="1:15" hidden="1" outlineLevel="2" x14ac:dyDescent="0.25">
      <c r="A138" s="27"/>
      <c r="B138" s="27"/>
      <c r="C138" s="34"/>
      <c r="D138" s="29"/>
      <c r="E138" s="29"/>
      <c r="F138" s="29"/>
      <c r="G138" s="29"/>
      <c r="H138" s="29"/>
      <c r="I138" s="29"/>
      <c r="J138" s="29"/>
      <c r="K138" s="43" t="s">
        <v>473</v>
      </c>
      <c r="L138" s="29" t="s">
        <v>479</v>
      </c>
      <c r="M138" s="29"/>
      <c r="N138" s="29"/>
      <c r="O138" s="29"/>
    </row>
    <row r="139" spans="1:15" hidden="1" outlineLevel="2" x14ac:dyDescent="0.25">
      <c r="A139" s="27"/>
      <c r="B139" s="27"/>
      <c r="C139" s="34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</row>
    <row r="140" spans="1:15" hidden="1" outlineLevel="2" x14ac:dyDescent="0.25">
      <c r="A140" s="27"/>
      <c r="B140" s="27"/>
      <c r="C140" s="34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</row>
    <row r="141" spans="1:15" hidden="1" outlineLevel="2" x14ac:dyDescent="0.25">
      <c r="A141" s="27"/>
      <c r="B141" s="27"/>
      <c r="C141" s="34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</row>
    <row r="142" spans="1:15" hidden="1" outlineLevel="2" x14ac:dyDescent="0.25">
      <c r="A142" s="27"/>
      <c r="B142" s="27"/>
      <c r="C142" s="34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</row>
    <row r="143" spans="1:15" hidden="1" outlineLevel="1" x14ac:dyDescent="0.25">
      <c r="A143" s="27"/>
      <c r="B143" s="27"/>
      <c r="C143" s="31" t="s">
        <v>453</v>
      </c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</row>
    <row r="144" spans="1:15" hidden="1" outlineLevel="1" x14ac:dyDescent="0.25">
      <c r="A144" s="27"/>
      <c r="B144" s="27"/>
      <c r="C144" s="31" t="s">
        <v>454</v>
      </c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</row>
    <row r="145" spans="1:15" hidden="1" outlineLevel="1" x14ac:dyDescent="0.25">
      <c r="A145" s="27"/>
      <c r="B145" s="27"/>
      <c r="C145" s="31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</row>
    <row r="146" spans="1:15" hidden="1" outlineLevel="1" x14ac:dyDescent="0.25">
      <c r="A146" s="27"/>
      <c r="B146" s="44" t="s">
        <v>429</v>
      </c>
      <c r="C146" s="31" t="s">
        <v>481</v>
      </c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</row>
    <row r="147" spans="1:15" hidden="1" outlineLevel="1" x14ac:dyDescent="0.25">
      <c r="A147" s="27"/>
      <c r="B147" s="44"/>
      <c r="C147" s="31" t="s">
        <v>480</v>
      </c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</row>
    <row r="149" spans="1:15" ht="15.75" x14ac:dyDescent="0.25">
      <c r="A149" s="36" t="s">
        <v>456</v>
      </c>
    </row>
    <row r="150" spans="1:15" outlineLevel="1" x14ac:dyDescent="0.25">
      <c r="A150" s="32"/>
      <c r="B150" s="38" t="s">
        <v>438</v>
      </c>
      <c r="C150" s="39" t="s">
        <v>459</v>
      </c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</row>
    <row r="151" spans="1:15" outlineLevel="1" x14ac:dyDescent="0.25">
      <c r="A151" s="32"/>
      <c r="B151" s="38" t="s">
        <v>439</v>
      </c>
      <c r="C151" s="39" t="s">
        <v>457</v>
      </c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</row>
    <row r="152" spans="1:15" outlineLevel="1" x14ac:dyDescent="0.25">
      <c r="A152" s="32"/>
      <c r="B152" s="38" t="s">
        <v>440</v>
      </c>
      <c r="C152" s="39" t="s">
        <v>468</v>
      </c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</row>
    <row r="153" spans="1:15" outlineLevel="1" x14ac:dyDescent="0.25">
      <c r="A153" s="32"/>
      <c r="B153" s="38" t="s">
        <v>441</v>
      </c>
      <c r="C153" s="39" t="s">
        <v>469</v>
      </c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</row>
    <row r="154" spans="1:15" outlineLevel="1" x14ac:dyDescent="0.25">
      <c r="A154" s="32"/>
      <c r="B154" s="38" t="s">
        <v>442</v>
      </c>
      <c r="C154" s="39" t="s">
        <v>458</v>
      </c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</row>
    <row r="155" spans="1:15" outlineLevel="1" x14ac:dyDescent="0.25">
      <c r="A155" s="32"/>
      <c r="B155" s="38" t="s">
        <v>443</v>
      </c>
      <c r="C155" s="39" t="s">
        <v>460</v>
      </c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</row>
    <row r="156" spans="1:15" outlineLevel="1" x14ac:dyDescent="0.25">
      <c r="A156" s="32"/>
      <c r="B156" s="38" t="s">
        <v>444</v>
      </c>
      <c r="C156" s="39" t="s">
        <v>484</v>
      </c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</row>
    <row r="157" spans="1:15" outlineLevel="1" x14ac:dyDescent="0.25">
      <c r="A157" s="32"/>
      <c r="B157" s="38" t="s">
        <v>465</v>
      </c>
      <c r="C157" s="39" t="s">
        <v>485</v>
      </c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</row>
    <row r="158" spans="1:15" outlineLevel="1" x14ac:dyDescent="0.25">
      <c r="A158" s="32"/>
      <c r="B158" s="38" t="s">
        <v>466</v>
      </c>
      <c r="C158" s="39" t="s">
        <v>486</v>
      </c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</row>
    <row r="159" spans="1:15" outlineLevel="1" x14ac:dyDescent="0.25">
      <c r="A159" s="32"/>
      <c r="B159" s="38" t="s">
        <v>467</v>
      </c>
      <c r="C159" s="39" t="s">
        <v>487</v>
      </c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</row>
    <row r="160" spans="1:15" outlineLevel="1" x14ac:dyDescent="0.25">
      <c r="A160" s="32"/>
      <c r="B160" s="38" t="s">
        <v>482</v>
      </c>
      <c r="C160" s="39" t="s">
        <v>483</v>
      </c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</row>
    <row r="161" spans="1:15" outlineLevel="1" x14ac:dyDescent="0.25">
      <c r="A161" s="32"/>
      <c r="B161" s="38" t="s">
        <v>461</v>
      </c>
      <c r="C161" s="39" t="s">
        <v>462</v>
      </c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</row>
    <row r="162" spans="1:15" outlineLevel="1" x14ac:dyDescent="0.25">
      <c r="A162" s="32"/>
      <c r="B162" s="38"/>
      <c r="C162" s="39" t="s">
        <v>463</v>
      </c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</row>
    <row r="163" spans="1:15" outlineLevel="1" x14ac:dyDescent="0.25">
      <c r="A163" s="32"/>
      <c r="B163" s="38" t="s">
        <v>464</v>
      </c>
      <c r="C163" s="39" t="s">
        <v>492</v>
      </c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</row>
    <row r="164" spans="1:15" s="6" customFormat="1" x14ac:dyDescent="0.25">
      <c r="B164" s="40"/>
      <c r="C164" s="41"/>
    </row>
  </sheetData>
  <pageMargins left="0.7" right="0.7" top="0.75" bottom="0.75" header="0.3" footer="0.3"/>
  <ignoredErrors>
    <ignoredError sqref="B56 B150:B160 B7 B17 B28 B37 B46:B47 B66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FacultyAssignments.FacultyAssignments">
                <anchor moveWithCells="1">
                  <from>
                    <xdr:col>0</xdr:col>
                    <xdr:colOff>47625</xdr:colOff>
                    <xdr:row>150</xdr:row>
                    <xdr:rowOff>114300</xdr:rowOff>
                  </from>
                  <to>
                    <xdr:col>1</xdr:col>
                    <xdr:colOff>352425</xdr:colOff>
                    <xdr:row>151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Preparation">
                <anchor moveWithCells="1">
                  <from>
                    <xdr:col>0</xdr:col>
                    <xdr:colOff>47625</xdr:colOff>
                    <xdr:row>151</xdr:row>
                    <xdr:rowOff>171450</xdr:rowOff>
                  </from>
                  <to>
                    <xdr:col>1</xdr:col>
                    <xdr:colOff>352425</xdr:colOff>
                    <xdr:row>153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BlockScheduling.BlockScheduling">
                <anchor moveWithCells="1">
                  <from>
                    <xdr:col>0</xdr:col>
                    <xdr:colOff>47625</xdr:colOff>
                    <xdr:row>153</xdr:row>
                    <xdr:rowOff>38100</xdr:rowOff>
                  </from>
                  <to>
                    <xdr:col>1</xdr:col>
                    <xdr:colOff>352425</xdr:colOff>
                    <xdr:row>154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6" name="Button 4">
              <controlPr defaultSize="0" print="0" autoFill="0" autoPict="0" macro="[0]!printoutMacro">
                <anchor moveWithCells="1">
                  <from>
                    <xdr:col>0</xdr:col>
                    <xdr:colOff>47625</xdr:colOff>
                    <xdr:row>154</xdr:row>
                    <xdr:rowOff>95250</xdr:rowOff>
                  </from>
                  <to>
                    <xdr:col>1</xdr:col>
                    <xdr:colOff>352425</xdr:colOff>
                    <xdr:row>155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7" name="Button 5">
              <controlPr defaultSize="0" print="0" autoFill="0" autoPict="0">
                <anchor moveWithCells="1">
                  <from>
                    <xdr:col>0</xdr:col>
                    <xdr:colOff>47625</xdr:colOff>
                    <xdr:row>149</xdr:row>
                    <xdr:rowOff>57150</xdr:rowOff>
                  </from>
                  <to>
                    <xdr:col>1</xdr:col>
                    <xdr:colOff>352425</xdr:colOff>
                    <xdr:row>150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50"/>
  </sheetPr>
  <dimension ref="A1:AK51"/>
  <sheetViews>
    <sheetView workbookViewId="0">
      <selection activeCell="C15" sqref="C15"/>
    </sheetView>
  </sheetViews>
  <sheetFormatPr defaultRowHeight="15" x14ac:dyDescent="0.25"/>
  <cols>
    <col min="1" max="1" width="19.140625" style="6" bestFit="1" customWidth="1"/>
    <col min="2" max="2" width="9.140625" style="6"/>
    <col min="3" max="3" width="11.5703125" style="6" customWidth="1"/>
    <col min="4" max="7" width="12.85546875" style="6" bestFit="1" customWidth="1"/>
    <col min="8" max="9" width="12.85546875" style="6" customWidth="1"/>
    <col min="10" max="10" width="11.28515625" style="6" customWidth="1"/>
    <col min="11" max="18" width="7.7109375" style="6" bestFit="1" customWidth="1"/>
    <col min="19" max="37" width="8.7109375" style="6" bestFit="1" customWidth="1"/>
    <col min="38" max="16384" width="9.140625" style="6"/>
  </cols>
  <sheetData>
    <row r="1" spans="1:37" x14ac:dyDescent="0.25">
      <c r="A1" s="6" t="s">
        <v>18</v>
      </c>
      <c r="B1" s="6" t="s">
        <v>19</v>
      </c>
      <c r="C1" s="6" t="s">
        <v>170</v>
      </c>
      <c r="D1" s="6" t="s">
        <v>20</v>
      </c>
      <c r="E1" s="6" t="s">
        <v>21</v>
      </c>
      <c r="F1" s="6" t="s">
        <v>22</v>
      </c>
      <c r="G1" s="6" t="s">
        <v>23</v>
      </c>
      <c r="H1" s="6" t="s">
        <v>110</v>
      </c>
      <c r="I1" s="6" t="s">
        <v>111</v>
      </c>
      <c r="J1" s="6" t="s">
        <v>112</v>
      </c>
      <c r="K1" s="6" t="s">
        <v>113</v>
      </c>
      <c r="L1" s="6" t="s">
        <v>114</v>
      </c>
      <c r="M1" s="6" t="s">
        <v>115</v>
      </c>
      <c r="N1" s="6" t="s">
        <v>116</v>
      </c>
      <c r="O1" s="6" t="s">
        <v>117</v>
      </c>
      <c r="P1" s="6" t="s">
        <v>118</v>
      </c>
      <c r="Q1" s="6" t="s">
        <v>119</v>
      </c>
      <c r="R1" s="6" t="s">
        <v>120</v>
      </c>
      <c r="S1" s="6" t="s">
        <v>121</v>
      </c>
      <c r="T1" s="6" t="s">
        <v>122</v>
      </c>
      <c r="U1" s="6" t="s">
        <v>123</v>
      </c>
      <c r="V1" s="6" t="s">
        <v>124</v>
      </c>
      <c r="W1" s="6" t="s">
        <v>125</v>
      </c>
      <c r="X1" s="6" t="s">
        <v>126</v>
      </c>
      <c r="Y1" s="6" t="s">
        <v>127</v>
      </c>
      <c r="Z1" s="6" t="s">
        <v>128</v>
      </c>
      <c r="AA1" s="6" t="s">
        <v>129</v>
      </c>
      <c r="AB1" s="6" t="s">
        <v>130</v>
      </c>
      <c r="AC1" s="6" t="s">
        <v>131</v>
      </c>
      <c r="AD1" s="6" t="s">
        <v>132</v>
      </c>
      <c r="AE1" s="6" t="s">
        <v>133</v>
      </c>
      <c r="AF1" s="6" t="s">
        <v>134</v>
      </c>
      <c r="AG1" s="6" t="s">
        <v>135</v>
      </c>
      <c r="AH1" s="6" t="s">
        <v>136</v>
      </c>
      <c r="AI1" s="6" t="s">
        <v>137</v>
      </c>
      <c r="AJ1" s="6" t="s">
        <v>138</v>
      </c>
      <c r="AK1" s="6" t="s">
        <v>139</v>
      </c>
    </row>
    <row r="2" spans="1:37" x14ac:dyDescent="0.25">
      <c r="A2" s="6" t="s">
        <v>314</v>
      </c>
      <c r="B2" s="6" t="s">
        <v>24</v>
      </c>
      <c r="C2" s="6">
        <v>4</v>
      </c>
      <c r="D2" s="6" t="s">
        <v>183</v>
      </c>
      <c r="E2" s="6" t="s">
        <v>91</v>
      </c>
      <c r="F2" s="6" t="s">
        <v>86</v>
      </c>
      <c r="G2" s="6" t="s">
        <v>92</v>
      </c>
      <c r="H2" s="6" t="s">
        <v>90</v>
      </c>
      <c r="K2" s="6">
        <v>-100</v>
      </c>
      <c r="T2" s="6">
        <v>50</v>
      </c>
      <c r="X2" s="6">
        <v>50</v>
      </c>
    </row>
    <row r="3" spans="1:37" x14ac:dyDescent="0.25">
      <c r="A3" s="6" t="s">
        <v>330</v>
      </c>
      <c r="B3" s="6" t="s">
        <v>4</v>
      </c>
      <c r="C3" s="6">
        <v>4</v>
      </c>
      <c r="D3" s="6" t="s">
        <v>94</v>
      </c>
      <c r="E3" s="6" t="s">
        <v>61</v>
      </c>
      <c r="F3" s="6" t="s">
        <v>43</v>
      </c>
      <c r="N3" s="6">
        <v>-100</v>
      </c>
      <c r="Q3" s="6">
        <v>20</v>
      </c>
      <c r="V3" s="6">
        <v>20</v>
      </c>
      <c r="AB3" s="6">
        <v>20</v>
      </c>
      <c r="AF3" s="6">
        <v>20</v>
      </c>
      <c r="AK3" s="6">
        <v>20</v>
      </c>
    </row>
    <row r="4" spans="1:37" x14ac:dyDescent="0.25">
      <c r="A4" s="6" t="s">
        <v>316</v>
      </c>
      <c r="B4" s="6" t="s">
        <v>24</v>
      </c>
      <c r="C4" s="6">
        <v>4</v>
      </c>
      <c r="D4" s="6" t="s">
        <v>75</v>
      </c>
      <c r="E4" s="6" t="s">
        <v>101</v>
      </c>
      <c r="F4" s="6" t="s">
        <v>50</v>
      </c>
      <c r="G4" s="6" t="s">
        <v>99</v>
      </c>
      <c r="H4" s="6" t="s">
        <v>92</v>
      </c>
      <c r="M4" s="6">
        <v>-100</v>
      </c>
    </row>
    <row r="5" spans="1:37" x14ac:dyDescent="0.25">
      <c r="A5" s="6" t="s">
        <v>322</v>
      </c>
      <c r="B5" s="6" t="s">
        <v>4</v>
      </c>
      <c r="C5" s="6">
        <v>4</v>
      </c>
      <c r="D5" s="6" t="s">
        <v>55</v>
      </c>
      <c r="E5" s="6" t="s">
        <v>78</v>
      </c>
      <c r="F5" s="6" t="s">
        <v>64</v>
      </c>
      <c r="G5" s="6" t="s">
        <v>97</v>
      </c>
      <c r="H5" s="6" t="s">
        <v>74</v>
      </c>
      <c r="I5" s="6" t="s">
        <v>83</v>
      </c>
      <c r="S5" s="6">
        <v>-100</v>
      </c>
    </row>
    <row r="6" spans="1:37" x14ac:dyDescent="0.25">
      <c r="A6" s="6" t="s">
        <v>300</v>
      </c>
      <c r="B6" s="6" t="s">
        <v>4</v>
      </c>
      <c r="C6" s="6">
        <v>4</v>
      </c>
      <c r="D6" s="6" t="s">
        <v>95</v>
      </c>
      <c r="E6" s="6" t="s">
        <v>97</v>
      </c>
      <c r="F6" s="6" t="s">
        <v>8</v>
      </c>
      <c r="G6" s="6" t="s">
        <v>145</v>
      </c>
      <c r="H6" s="6" t="s">
        <v>86</v>
      </c>
      <c r="I6" s="6" t="s">
        <v>98</v>
      </c>
      <c r="Q6" s="6">
        <v>-100</v>
      </c>
    </row>
    <row r="7" spans="1:37" x14ac:dyDescent="0.25">
      <c r="A7" s="6" t="s">
        <v>302</v>
      </c>
      <c r="B7" s="6" t="s">
        <v>4</v>
      </c>
      <c r="C7" s="6">
        <v>4</v>
      </c>
      <c r="D7" s="6" t="s">
        <v>43</v>
      </c>
      <c r="E7" s="6" t="s">
        <v>58</v>
      </c>
      <c r="F7" s="6" t="s">
        <v>87</v>
      </c>
      <c r="G7" s="6" t="s">
        <v>50</v>
      </c>
      <c r="H7" s="6" t="s">
        <v>75</v>
      </c>
      <c r="I7" s="6" t="s">
        <v>144</v>
      </c>
      <c r="O7" s="6">
        <v>-100</v>
      </c>
    </row>
    <row r="8" spans="1:37" x14ac:dyDescent="0.25">
      <c r="A8" s="6" t="s">
        <v>311</v>
      </c>
      <c r="B8" s="6" t="s">
        <v>24</v>
      </c>
      <c r="C8" s="6">
        <v>4</v>
      </c>
      <c r="D8" s="6" t="s">
        <v>43</v>
      </c>
      <c r="E8" s="6" t="s">
        <v>66</v>
      </c>
      <c r="F8" s="6" t="s">
        <v>80</v>
      </c>
      <c r="G8" s="6" t="s">
        <v>63</v>
      </c>
      <c r="H8" s="6" t="s">
        <v>70</v>
      </c>
      <c r="L8" s="6">
        <v>-100</v>
      </c>
    </row>
    <row r="9" spans="1:37" x14ac:dyDescent="0.25">
      <c r="A9" s="6" t="s">
        <v>293</v>
      </c>
      <c r="B9" s="6" t="s">
        <v>4</v>
      </c>
      <c r="C9" s="6">
        <v>4</v>
      </c>
      <c r="D9" s="6" t="s">
        <v>72</v>
      </c>
      <c r="E9" s="6" t="s">
        <v>67</v>
      </c>
      <c r="F9" s="6" t="s">
        <v>143</v>
      </c>
      <c r="G9" s="6" t="s">
        <v>89</v>
      </c>
      <c r="H9" s="6" t="s">
        <v>51</v>
      </c>
      <c r="P9" s="6">
        <v>-100</v>
      </c>
    </row>
    <row r="10" spans="1:37" x14ac:dyDescent="0.25">
      <c r="A10" s="6" t="s">
        <v>341</v>
      </c>
      <c r="B10" s="6" t="s">
        <v>4</v>
      </c>
      <c r="C10" s="6">
        <v>3</v>
      </c>
      <c r="D10" s="6" t="s">
        <v>104</v>
      </c>
      <c r="E10" s="6" t="s">
        <v>11</v>
      </c>
      <c r="F10" s="6" t="s">
        <v>49</v>
      </c>
      <c r="G10" s="6" t="s">
        <v>99</v>
      </c>
      <c r="H10" s="6" t="s">
        <v>73</v>
      </c>
      <c r="R10" s="6">
        <v>-100</v>
      </c>
    </row>
    <row r="11" spans="1:37" x14ac:dyDescent="0.25">
      <c r="A11" s="6" t="s">
        <v>299</v>
      </c>
      <c r="B11" s="6" t="s">
        <v>24</v>
      </c>
      <c r="C11" s="6">
        <v>3</v>
      </c>
      <c r="D11" s="6" t="s">
        <v>80</v>
      </c>
      <c r="E11" s="6" t="s">
        <v>69</v>
      </c>
      <c r="F11" s="6" t="s">
        <v>104</v>
      </c>
      <c r="G11" s="6" t="s">
        <v>70</v>
      </c>
      <c r="H11" s="6" t="s">
        <v>92</v>
      </c>
      <c r="T11" s="6">
        <v>-100</v>
      </c>
    </row>
    <row r="12" spans="1:37" x14ac:dyDescent="0.25">
      <c r="A12" s="6" t="s">
        <v>328</v>
      </c>
      <c r="B12" s="6" t="s">
        <v>4</v>
      </c>
      <c r="C12" s="6">
        <v>2</v>
      </c>
      <c r="D12" s="6" t="s">
        <v>53</v>
      </c>
      <c r="E12" s="6" t="s">
        <v>107</v>
      </c>
      <c r="U12" s="6">
        <v>-100</v>
      </c>
    </row>
    <row r="13" spans="1:37" x14ac:dyDescent="0.25">
      <c r="A13" s="6" t="s">
        <v>338</v>
      </c>
      <c r="B13" s="6" t="s">
        <v>4</v>
      </c>
      <c r="C13" s="6">
        <v>3</v>
      </c>
      <c r="D13" s="6" t="s">
        <v>183</v>
      </c>
      <c r="E13" s="6" t="s">
        <v>12</v>
      </c>
      <c r="F13" s="6" t="s">
        <v>14</v>
      </c>
      <c r="G13" s="6" t="s">
        <v>64</v>
      </c>
      <c r="H13" s="6" t="s">
        <v>144</v>
      </c>
      <c r="L13" s="6">
        <v>60</v>
      </c>
      <c r="P13" s="6">
        <v>40</v>
      </c>
      <c r="V13" s="6">
        <v>-100</v>
      </c>
    </row>
    <row r="14" spans="1:37" x14ac:dyDescent="0.25">
      <c r="A14" s="6" t="s">
        <v>336</v>
      </c>
      <c r="B14" s="6" t="s">
        <v>4</v>
      </c>
      <c r="C14" s="6">
        <v>2</v>
      </c>
      <c r="D14" s="6" t="s">
        <v>72</v>
      </c>
      <c r="E14" s="6" t="s">
        <v>6</v>
      </c>
      <c r="F14" s="6" t="s">
        <v>10</v>
      </c>
      <c r="W14" s="6">
        <v>-100</v>
      </c>
    </row>
    <row r="15" spans="1:37" x14ac:dyDescent="0.25">
      <c r="A15" s="6" t="s">
        <v>321</v>
      </c>
      <c r="B15" s="6" t="s">
        <v>4</v>
      </c>
      <c r="C15" s="6">
        <v>4</v>
      </c>
      <c r="D15" s="6" t="s">
        <v>43</v>
      </c>
      <c r="E15" s="6" t="s">
        <v>77</v>
      </c>
      <c r="F15" s="6" t="s">
        <v>66</v>
      </c>
      <c r="G15" s="6" t="s">
        <v>13</v>
      </c>
      <c r="H15" s="6" t="s">
        <v>104</v>
      </c>
      <c r="I15" s="6" t="s">
        <v>17</v>
      </c>
      <c r="X15" s="6">
        <v>-100</v>
      </c>
    </row>
    <row r="16" spans="1:37" x14ac:dyDescent="0.25">
      <c r="A16" s="6" t="s">
        <v>298</v>
      </c>
      <c r="B16" s="6" t="s">
        <v>24</v>
      </c>
      <c r="C16" s="6">
        <v>3</v>
      </c>
      <c r="D16" s="6" t="s">
        <v>77</v>
      </c>
      <c r="E16" s="6" t="s">
        <v>47</v>
      </c>
      <c r="F16" s="6" t="s">
        <v>89</v>
      </c>
      <c r="G16" s="6" t="s">
        <v>11</v>
      </c>
      <c r="H16" s="6" t="s">
        <v>68</v>
      </c>
      <c r="I16" s="6" t="s">
        <v>84</v>
      </c>
      <c r="Y16" s="6">
        <v>-100</v>
      </c>
    </row>
    <row r="17" spans="1:37" x14ac:dyDescent="0.25">
      <c r="A17" s="6" t="s">
        <v>320</v>
      </c>
      <c r="B17" s="6" t="s">
        <v>4</v>
      </c>
      <c r="C17" s="6">
        <v>2</v>
      </c>
      <c r="D17" s="6" t="s">
        <v>10</v>
      </c>
      <c r="E17" s="6" t="s">
        <v>44</v>
      </c>
      <c r="F17" s="6" t="s">
        <v>95</v>
      </c>
      <c r="G17" s="6" t="s">
        <v>59</v>
      </c>
      <c r="H17" s="6" t="s">
        <v>143</v>
      </c>
      <c r="I17" s="6" t="s">
        <v>83</v>
      </c>
      <c r="Z17" s="6">
        <v>-100</v>
      </c>
    </row>
    <row r="18" spans="1:37" x14ac:dyDescent="0.25">
      <c r="A18" s="6" t="s">
        <v>312</v>
      </c>
      <c r="B18" s="6" t="s">
        <v>24</v>
      </c>
      <c r="C18" s="6">
        <v>1</v>
      </c>
      <c r="D18" s="6" t="s">
        <v>57</v>
      </c>
      <c r="E18" s="6" t="s">
        <v>83</v>
      </c>
      <c r="F18" s="6" t="s">
        <v>106</v>
      </c>
      <c r="G18" s="6" t="s">
        <v>71</v>
      </c>
      <c r="H18" s="6" t="s">
        <v>78</v>
      </c>
      <c r="AA18" s="6">
        <v>-100</v>
      </c>
    </row>
    <row r="19" spans="1:37" x14ac:dyDescent="0.25">
      <c r="A19" s="6" t="s">
        <v>333</v>
      </c>
      <c r="B19" s="6" t="s">
        <v>4</v>
      </c>
      <c r="C19" s="6">
        <v>4</v>
      </c>
      <c r="D19" s="6" t="s">
        <v>68</v>
      </c>
      <c r="E19" s="6" t="s">
        <v>107</v>
      </c>
      <c r="F19" s="6" t="s">
        <v>7</v>
      </c>
      <c r="G19" s="6" t="s">
        <v>81</v>
      </c>
      <c r="H19" s="6" t="s">
        <v>89</v>
      </c>
      <c r="I19" s="6" t="s">
        <v>11</v>
      </c>
      <c r="O19" s="6">
        <v>30</v>
      </c>
      <c r="S19" s="6">
        <v>30</v>
      </c>
      <c r="W19" s="6">
        <v>40</v>
      </c>
      <c r="AB19" s="6">
        <v>-100</v>
      </c>
    </row>
    <row r="20" spans="1:37" x14ac:dyDescent="0.25">
      <c r="A20" s="6" t="s">
        <v>303</v>
      </c>
      <c r="B20" s="6" t="s">
        <v>4</v>
      </c>
      <c r="C20" s="6">
        <v>2</v>
      </c>
      <c r="D20" s="6" t="s">
        <v>9</v>
      </c>
      <c r="E20" s="6" t="s">
        <v>45</v>
      </c>
      <c r="F20" s="6" t="s">
        <v>67</v>
      </c>
      <c r="G20" s="6" t="s">
        <v>81</v>
      </c>
      <c r="H20" s="6" t="s">
        <v>77</v>
      </c>
      <c r="I20" s="6" t="s">
        <v>182</v>
      </c>
      <c r="AC20" s="6">
        <v>-100</v>
      </c>
    </row>
    <row r="21" spans="1:37" x14ac:dyDescent="0.25">
      <c r="A21" s="6" t="s">
        <v>310</v>
      </c>
      <c r="B21" s="6" t="s">
        <v>24</v>
      </c>
      <c r="C21" s="6">
        <v>1</v>
      </c>
      <c r="D21" s="6" t="s">
        <v>93</v>
      </c>
      <c r="E21" s="6" t="s">
        <v>89</v>
      </c>
      <c r="F21" s="6" t="s">
        <v>101</v>
      </c>
      <c r="G21" s="6" t="s">
        <v>182</v>
      </c>
      <c r="H21" s="6" t="s">
        <v>67</v>
      </c>
      <c r="AD21" s="6">
        <v>-100</v>
      </c>
    </row>
    <row r="22" spans="1:37" x14ac:dyDescent="0.25">
      <c r="A22" s="6" t="s">
        <v>340</v>
      </c>
      <c r="B22" s="6" t="s">
        <v>4</v>
      </c>
      <c r="C22" s="6">
        <v>4</v>
      </c>
      <c r="D22" s="6" t="s">
        <v>72</v>
      </c>
      <c r="E22" s="6" t="s">
        <v>77</v>
      </c>
      <c r="F22" s="6" t="s">
        <v>11</v>
      </c>
      <c r="G22" s="6" t="s">
        <v>87</v>
      </c>
      <c r="H22" s="6" t="s">
        <v>41</v>
      </c>
      <c r="AE22" s="6">
        <v>-100</v>
      </c>
    </row>
    <row r="23" spans="1:37" x14ac:dyDescent="0.25">
      <c r="A23" s="6" t="s">
        <v>315</v>
      </c>
      <c r="B23" s="6" t="s">
        <v>24</v>
      </c>
      <c r="C23" s="6">
        <v>3</v>
      </c>
      <c r="D23" s="6" t="s">
        <v>80</v>
      </c>
      <c r="E23" s="6" t="s">
        <v>93</v>
      </c>
      <c r="F23" s="6" t="s">
        <v>50</v>
      </c>
      <c r="G23" s="6" t="s">
        <v>98</v>
      </c>
      <c r="H23" s="6" t="s">
        <v>91</v>
      </c>
      <c r="AF23" s="6">
        <v>-100</v>
      </c>
    </row>
    <row r="24" spans="1:37" x14ac:dyDescent="0.25">
      <c r="A24" s="6" t="s">
        <v>297</v>
      </c>
      <c r="B24" s="6" t="s">
        <v>4</v>
      </c>
      <c r="C24" s="6">
        <v>3</v>
      </c>
      <c r="D24" s="6" t="s">
        <v>52</v>
      </c>
      <c r="E24" s="6" t="s">
        <v>96</v>
      </c>
      <c r="F24" s="6" t="s">
        <v>66</v>
      </c>
      <c r="G24" s="6" t="s">
        <v>183</v>
      </c>
      <c r="H24" s="6" t="s">
        <v>107</v>
      </c>
      <c r="I24" s="6" t="s">
        <v>71</v>
      </c>
      <c r="AG24" s="6">
        <v>-100</v>
      </c>
    </row>
    <row r="25" spans="1:37" x14ac:dyDescent="0.25">
      <c r="A25" s="6" t="s">
        <v>337</v>
      </c>
      <c r="B25" s="6" t="s">
        <v>4</v>
      </c>
      <c r="C25" s="6">
        <v>4</v>
      </c>
      <c r="D25" s="6" t="s">
        <v>103</v>
      </c>
      <c r="E25" s="6" t="s">
        <v>54</v>
      </c>
      <c r="F25" s="6" t="s">
        <v>56</v>
      </c>
      <c r="G25" s="6" t="s">
        <v>8</v>
      </c>
      <c r="H25" s="6" t="s">
        <v>50</v>
      </c>
      <c r="AH25" s="6">
        <v>-100</v>
      </c>
    </row>
    <row r="26" spans="1:37" x14ac:dyDescent="0.25">
      <c r="A26" s="6" t="s">
        <v>332</v>
      </c>
      <c r="B26" s="6" t="s">
        <v>4</v>
      </c>
      <c r="C26" s="6">
        <v>4</v>
      </c>
      <c r="D26" s="6" t="s">
        <v>8</v>
      </c>
      <c r="E26" s="6" t="s">
        <v>65</v>
      </c>
      <c r="AI26" s="6">
        <v>-100</v>
      </c>
    </row>
    <row r="27" spans="1:37" x14ac:dyDescent="0.25">
      <c r="A27" s="6" t="s">
        <v>334</v>
      </c>
      <c r="B27" s="6" t="s">
        <v>4</v>
      </c>
      <c r="C27" s="6">
        <v>4</v>
      </c>
      <c r="D27" s="6" t="s">
        <v>42</v>
      </c>
      <c r="E27" s="6" t="s">
        <v>73</v>
      </c>
      <c r="F27" s="6" t="s">
        <v>95</v>
      </c>
      <c r="G27" s="6" t="s">
        <v>67</v>
      </c>
      <c r="H27" s="6" t="s">
        <v>41</v>
      </c>
      <c r="I27" s="6" t="s">
        <v>63</v>
      </c>
      <c r="AJ27" s="6">
        <v>-100</v>
      </c>
    </row>
    <row r="28" spans="1:37" x14ac:dyDescent="0.25">
      <c r="A28" s="6" t="s">
        <v>318</v>
      </c>
      <c r="B28" s="6" t="s">
        <v>4</v>
      </c>
      <c r="C28" s="6">
        <v>1</v>
      </c>
      <c r="D28" s="6" t="s">
        <v>83</v>
      </c>
      <c r="E28" s="6" t="s">
        <v>94</v>
      </c>
      <c r="F28" s="6" t="s">
        <v>15</v>
      </c>
      <c r="G28" s="6" t="s">
        <v>44</v>
      </c>
      <c r="H28" s="6" t="s">
        <v>77</v>
      </c>
      <c r="I28" s="6" t="s">
        <v>43</v>
      </c>
      <c r="AK28" s="6">
        <v>-100</v>
      </c>
    </row>
    <row r="29" spans="1:37" x14ac:dyDescent="0.25">
      <c r="A29" s="6" t="s">
        <v>327</v>
      </c>
      <c r="B29" s="6" t="s">
        <v>4</v>
      </c>
      <c r="C29" s="6">
        <v>1</v>
      </c>
      <c r="D29" s="6" t="s">
        <v>59</v>
      </c>
      <c r="E29" s="6" t="s">
        <v>103</v>
      </c>
      <c r="J29" s="6">
        <v>-100</v>
      </c>
    </row>
    <row r="30" spans="1:37" x14ac:dyDescent="0.25">
      <c r="A30" s="6" t="s">
        <v>335</v>
      </c>
      <c r="B30" s="6" t="s">
        <v>4</v>
      </c>
      <c r="C30" s="6">
        <v>4</v>
      </c>
      <c r="D30" s="6" t="s">
        <v>90</v>
      </c>
      <c r="E30" s="6" t="s">
        <v>53</v>
      </c>
      <c r="F30" s="6" t="s">
        <v>16</v>
      </c>
      <c r="G30" s="6" t="s">
        <v>88</v>
      </c>
      <c r="H30" s="6" t="s">
        <v>103</v>
      </c>
      <c r="K30" s="6">
        <v>-100</v>
      </c>
    </row>
    <row r="31" spans="1:37" x14ac:dyDescent="0.25">
      <c r="A31" s="6" t="s">
        <v>326</v>
      </c>
      <c r="B31" s="6" t="s">
        <v>4</v>
      </c>
      <c r="C31" s="6">
        <v>3</v>
      </c>
      <c r="D31" s="6" t="s">
        <v>100</v>
      </c>
      <c r="E31" s="6" t="s">
        <v>64</v>
      </c>
      <c r="F31" s="6" t="s">
        <v>145</v>
      </c>
      <c r="G31" s="6" t="s">
        <v>76</v>
      </c>
      <c r="H31" s="6" t="s">
        <v>45</v>
      </c>
      <c r="I31" s="6" t="s">
        <v>11</v>
      </c>
      <c r="L31" s="6">
        <v>-100</v>
      </c>
    </row>
    <row r="32" spans="1:37" x14ac:dyDescent="0.25">
      <c r="A32" s="6" t="s">
        <v>307</v>
      </c>
      <c r="B32" s="6" t="s">
        <v>4</v>
      </c>
      <c r="C32" s="6">
        <v>1</v>
      </c>
      <c r="D32" s="6" t="s">
        <v>80</v>
      </c>
      <c r="E32" s="6" t="s">
        <v>101</v>
      </c>
      <c r="F32" s="6" t="s">
        <v>56</v>
      </c>
      <c r="G32" s="6" t="s">
        <v>62</v>
      </c>
      <c r="H32" s="6" t="s">
        <v>55</v>
      </c>
      <c r="I32" s="6" t="s">
        <v>10</v>
      </c>
      <c r="M32" s="6">
        <v>-100</v>
      </c>
    </row>
    <row r="33" spans="1:29" x14ac:dyDescent="0.25">
      <c r="A33" s="6" t="s">
        <v>294</v>
      </c>
      <c r="B33" s="6" t="s">
        <v>4</v>
      </c>
      <c r="C33" s="6">
        <v>3</v>
      </c>
      <c r="D33" s="6" t="s">
        <v>13</v>
      </c>
      <c r="E33" s="6" t="s">
        <v>56</v>
      </c>
      <c r="F33" s="6" t="s">
        <v>96</v>
      </c>
      <c r="G33" s="6" t="s">
        <v>74</v>
      </c>
      <c r="H33" s="6" t="s">
        <v>100</v>
      </c>
      <c r="I33" s="6" t="s">
        <v>93</v>
      </c>
      <c r="N33" s="6">
        <v>-100</v>
      </c>
    </row>
    <row r="34" spans="1:29" x14ac:dyDescent="0.25">
      <c r="A34" s="6" t="s">
        <v>331</v>
      </c>
      <c r="B34" s="6" t="s">
        <v>4</v>
      </c>
      <c r="C34" s="6">
        <v>4</v>
      </c>
      <c r="D34" s="6" t="s">
        <v>93</v>
      </c>
      <c r="E34" s="6" t="s">
        <v>46</v>
      </c>
      <c r="O34" s="6">
        <v>-100</v>
      </c>
    </row>
    <row r="35" spans="1:29" x14ac:dyDescent="0.25">
      <c r="A35" s="6" t="s">
        <v>292</v>
      </c>
      <c r="B35" s="6" t="s">
        <v>4</v>
      </c>
      <c r="C35" s="6">
        <v>1</v>
      </c>
      <c r="D35" s="6" t="s">
        <v>53</v>
      </c>
      <c r="E35" s="6" t="s">
        <v>105</v>
      </c>
      <c r="F35" s="6" t="s">
        <v>96</v>
      </c>
      <c r="G35" s="6" t="s">
        <v>13</v>
      </c>
      <c r="H35" s="6" t="s">
        <v>9</v>
      </c>
      <c r="P35" s="6">
        <v>-100</v>
      </c>
    </row>
    <row r="36" spans="1:29" x14ac:dyDescent="0.25">
      <c r="A36" s="6" t="s">
        <v>319</v>
      </c>
      <c r="B36" s="6" t="s">
        <v>4</v>
      </c>
      <c r="C36" s="6">
        <v>3</v>
      </c>
      <c r="D36" s="6" t="s">
        <v>80</v>
      </c>
      <c r="E36" s="6" t="s">
        <v>101</v>
      </c>
      <c r="F36" s="6" t="s">
        <v>14</v>
      </c>
      <c r="G36" s="6" t="s">
        <v>85</v>
      </c>
      <c r="H36" s="6" t="s">
        <v>105</v>
      </c>
      <c r="I36" s="6" t="s">
        <v>49</v>
      </c>
      <c r="Q36" s="6">
        <v>-100</v>
      </c>
    </row>
    <row r="37" spans="1:29" x14ac:dyDescent="0.25">
      <c r="A37" s="6" t="s">
        <v>313</v>
      </c>
      <c r="B37" s="6" t="s">
        <v>24</v>
      </c>
      <c r="C37" s="6">
        <v>4</v>
      </c>
      <c r="D37" s="6" t="s">
        <v>58</v>
      </c>
      <c r="E37" s="6" t="s">
        <v>72</v>
      </c>
      <c r="F37" s="6" t="s">
        <v>143</v>
      </c>
      <c r="G37" s="6" t="s">
        <v>84</v>
      </c>
      <c r="H37" s="6" t="s">
        <v>86</v>
      </c>
      <c r="R37" s="6">
        <v>-100</v>
      </c>
    </row>
    <row r="38" spans="1:29" x14ac:dyDescent="0.25">
      <c r="A38" s="6" t="s">
        <v>339</v>
      </c>
      <c r="B38" s="6" t="s">
        <v>4</v>
      </c>
      <c r="C38" s="6">
        <v>1</v>
      </c>
      <c r="D38" s="6" t="s">
        <v>60</v>
      </c>
      <c r="E38" s="6" t="s">
        <v>14</v>
      </c>
      <c r="F38" s="6" t="s">
        <v>88</v>
      </c>
      <c r="G38" s="6" t="s">
        <v>82</v>
      </c>
      <c r="H38" s="6" t="s">
        <v>79</v>
      </c>
      <c r="I38" s="6" t="s">
        <v>97</v>
      </c>
      <c r="S38" s="6">
        <v>-100</v>
      </c>
    </row>
    <row r="39" spans="1:29" x14ac:dyDescent="0.25">
      <c r="A39" s="6" t="s">
        <v>295</v>
      </c>
      <c r="B39" s="6" t="s">
        <v>24</v>
      </c>
      <c r="C39" s="6">
        <v>1</v>
      </c>
      <c r="D39" s="6" t="s">
        <v>106</v>
      </c>
      <c r="E39" s="6" t="s">
        <v>145</v>
      </c>
      <c r="F39" s="6" t="s">
        <v>12</v>
      </c>
      <c r="G39" s="6" t="s">
        <v>46</v>
      </c>
      <c r="H39" s="6" t="s">
        <v>68</v>
      </c>
      <c r="I39" s="6" t="s">
        <v>47</v>
      </c>
      <c r="T39" s="6">
        <v>-100</v>
      </c>
    </row>
    <row r="40" spans="1:29" x14ac:dyDescent="0.25">
      <c r="A40" s="6" t="s">
        <v>296</v>
      </c>
      <c r="B40" s="6" t="s">
        <v>4</v>
      </c>
      <c r="C40" s="6">
        <v>2</v>
      </c>
      <c r="D40" s="6" t="s">
        <v>79</v>
      </c>
      <c r="E40" s="6" t="s">
        <v>61</v>
      </c>
      <c r="F40" s="6" t="s">
        <v>56</v>
      </c>
      <c r="G40" s="6" t="s">
        <v>57</v>
      </c>
      <c r="H40" s="6" t="s">
        <v>95</v>
      </c>
      <c r="I40" s="6" t="s">
        <v>63</v>
      </c>
      <c r="U40" s="6">
        <v>-100</v>
      </c>
    </row>
    <row r="41" spans="1:29" x14ac:dyDescent="0.25">
      <c r="A41" s="6" t="s">
        <v>306</v>
      </c>
      <c r="B41" s="6" t="s">
        <v>4</v>
      </c>
      <c r="C41" s="6">
        <v>4</v>
      </c>
      <c r="D41" s="6" t="s">
        <v>43</v>
      </c>
      <c r="E41" s="6" t="s">
        <v>105</v>
      </c>
      <c r="F41" s="6" t="s">
        <v>85</v>
      </c>
      <c r="G41" s="6" t="s">
        <v>83</v>
      </c>
      <c r="H41" s="6" t="s">
        <v>47</v>
      </c>
      <c r="I41" s="6" t="s">
        <v>8</v>
      </c>
      <c r="V41" s="6">
        <v>-100</v>
      </c>
    </row>
    <row r="42" spans="1:29" x14ac:dyDescent="0.25">
      <c r="A42" s="6" t="s">
        <v>301</v>
      </c>
      <c r="B42" s="6" t="s">
        <v>4</v>
      </c>
      <c r="C42" s="6">
        <v>1</v>
      </c>
      <c r="D42" s="6" t="s">
        <v>69</v>
      </c>
      <c r="E42" s="6" t="s">
        <v>59</v>
      </c>
      <c r="F42" s="6" t="s">
        <v>90</v>
      </c>
      <c r="G42" s="6" t="s">
        <v>51</v>
      </c>
      <c r="H42" s="6" t="s">
        <v>89</v>
      </c>
      <c r="I42" s="6" t="s">
        <v>99</v>
      </c>
      <c r="W42" s="6">
        <v>-100</v>
      </c>
    </row>
    <row r="43" spans="1:29" x14ac:dyDescent="0.25">
      <c r="A43" s="6" t="s">
        <v>324</v>
      </c>
      <c r="B43" s="6" t="s">
        <v>4</v>
      </c>
      <c r="C43" s="6">
        <v>1</v>
      </c>
      <c r="D43" s="6" t="s">
        <v>42</v>
      </c>
      <c r="E43" s="6" t="s">
        <v>17</v>
      </c>
      <c r="F43" s="6" t="s">
        <v>13</v>
      </c>
      <c r="G43" s="6" t="s">
        <v>10</v>
      </c>
      <c r="H43" s="6" t="s">
        <v>97</v>
      </c>
      <c r="I43" s="6" t="s">
        <v>55</v>
      </c>
      <c r="X43" s="6">
        <v>-100</v>
      </c>
    </row>
    <row r="44" spans="1:29" x14ac:dyDescent="0.25">
      <c r="A44" s="6" t="s">
        <v>329</v>
      </c>
      <c r="B44" s="6" t="s">
        <v>4</v>
      </c>
      <c r="C44" s="6">
        <v>3</v>
      </c>
      <c r="D44" s="6" t="s">
        <v>88</v>
      </c>
      <c r="E44" s="6" t="s">
        <v>76</v>
      </c>
      <c r="F44" s="6" t="s">
        <v>80</v>
      </c>
      <c r="G44" s="6" t="s">
        <v>102</v>
      </c>
      <c r="Y44" s="6">
        <v>-100</v>
      </c>
    </row>
    <row r="45" spans="1:29" x14ac:dyDescent="0.25">
      <c r="A45" s="6" t="s">
        <v>325</v>
      </c>
      <c r="B45" s="6" t="s">
        <v>4</v>
      </c>
      <c r="C45" s="6">
        <v>2</v>
      </c>
      <c r="D45" s="6" t="s">
        <v>48</v>
      </c>
      <c r="E45" s="6" t="s">
        <v>81</v>
      </c>
      <c r="F45" s="6" t="s">
        <v>88</v>
      </c>
      <c r="G45" s="6" t="s">
        <v>47</v>
      </c>
      <c r="H45" s="6" t="s">
        <v>106</v>
      </c>
      <c r="I45" s="6" t="s">
        <v>57</v>
      </c>
      <c r="Z45" s="6">
        <v>-100</v>
      </c>
    </row>
    <row r="46" spans="1:29" x14ac:dyDescent="0.25">
      <c r="A46" s="6" t="s">
        <v>317</v>
      </c>
      <c r="B46" s="6" t="s">
        <v>24</v>
      </c>
      <c r="C46" s="6">
        <v>4</v>
      </c>
      <c r="D46" s="6" t="s">
        <v>103</v>
      </c>
      <c r="E46" s="6" t="s">
        <v>14</v>
      </c>
      <c r="F46" s="6" t="s">
        <v>58</v>
      </c>
      <c r="G46" s="6" t="s">
        <v>70</v>
      </c>
      <c r="H46" s="6" t="s">
        <v>182</v>
      </c>
      <c r="AA46" s="6">
        <v>-100</v>
      </c>
    </row>
    <row r="47" spans="1:29" x14ac:dyDescent="0.25">
      <c r="A47" s="6" t="s">
        <v>323</v>
      </c>
      <c r="B47" s="6" t="s">
        <v>4</v>
      </c>
      <c r="C47" s="6">
        <v>2</v>
      </c>
      <c r="D47" s="6" t="s">
        <v>83</v>
      </c>
      <c r="E47" s="6" t="s">
        <v>11</v>
      </c>
      <c r="F47" s="6" t="s">
        <v>50</v>
      </c>
      <c r="G47" s="6" t="s">
        <v>51</v>
      </c>
      <c r="H47" s="6" t="s">
        <v>100</v>
      </c>
      <c r="I47" s="6" t="s">
        <v>73</v>
      </c>
      <c r="AB47" s="6">
        <v>-100</v>
      </c>
    </row>
    <row r="48" spans="1:29" x14ac:dyDescent="0.25">
      <c r="A48" s="6" t="s">
        <v>309</v>
      </c>
      <c r="B48" s="6" t="s">
        <v>4</v>
      </c>
      <c r="C48" s="6">
        <v>4</v>
      </c>
      <c r="D48" s="6" t="s">
        <v>70</v>
      </c>
      <c r="E48" s="6" t="s">
        <v>86</v>
      </c>
      <c r="F48" s="6" t="s">
        <v>14</v>
      </c>
      <c r="G48" s="6" t="s">
        <v>6</v>
      </c>
      <c r="H48" s="6" t="s">
        <v>45</v>
      </c>
      <c r="AC48" s="6">
        <v>-100</v>
      </c>
    </row>
    <row r="49" spans="1:31" x14ac:dyDescent="0.25">
      <c r="A49" s="6" t="s">
        <v>305</v>
      </c>
      <c r="B49" s="6" t="s">
        <v>4</v>
      </c>
      <c r="C49" s="6">
        <v>4</v>
      </c>
      <c r="D49" s="6" t="s">
        <v>43</v>
      </c>
      <c r="E49" s="6" t="s">
        <v>49</v>
      </c>
      <c r="F49" s="6" t="s">
        <v>15</v>
      </c>
      <c r="G49" s="6" t="s">
        <v>83</v>
      </c>
      <c r="H49" s="6" t="s">
        <v>53</v>
      </c>
      <c r="I49" s="6" t="s">
        <v>82</v>
      </c>
      <c r="AD49" s="6">
        <v>-100</v>
      </c>
    </row>
    <row r="50" spans="1:31" x14ac:dyDescent="0.25">
      <c r="A50" s="6" t="s">
        <v>308</v>
      </c>
      <c r="B50" s="6" t="s">
        <v>4</v>
      </c>
      <c r="C50" s="6">
        <v>4</v>
      </c>
      <c r="D50" s="6" t="s">
        <v>15</v>
      </c>
      <c r="E50" s="6" t="s">
        <v>9</v>
      </c>
      <c r="F50" s="6" t="s">
        <v>76</v>
      </c>
      <c r="G50" s="6" t="s">
        <v>103</v>
      </c>
      <c r="H50" s="6" t="s">
        <v>104</v>
      </c>
      <c r="I50" s="6" t="s">
        <v>54</v>
      </c>
      <c r="AE50" s="6">
        <v>-100</v>
      </c>
    </row>
    <row r="51" spans="1:31" x14ac:dyDescent="0.25">
      <c r="A51" s="6" t="s">
        <v>304</v>
      </c>
      <c r="B51" s="6" t="s">
        <v>4</v>
      </c>
      <c r="C51" s="6">
        <v>4</v>
      </c>
      <c r="D51" s="6" t="s">
        <v>104</v>
      </c>
      <c r="E51" s="6" t="s">
        <v>44</v>
      </c>
      <c r="F51" s="6" t="s">
        <v>100</v>
      </c>
      <c r="G51" s="6" t="s">
        <v>62</v>
      </c>
      <c r="H51" s="6" t="s">
        <v>105</v>
      </c>
      <c r="I51" s="6" t="s">
        <v>60</v>
      </c>
    </row>
  </sheetData>
  <dataValidations count="2">
    <dataValidation type="list" allowBlank="1" showInputMessage="1" showErrorMessage="1" sqref="B1:B1048576">
      <formula1>"F,P"</formula1>
    </dataValidation>
    <dataValidation type="list" allowBlank="1" showInputMessage="1" showErrorMessage="1" sqref="C1:C1048576">
      <formula1>"1,2,3,4"</formula1>
    </dataValidation>
  </dataValidation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OFFSET(CCourse!$A$1,1,0,COUNTA(CCourse!$A:$A)-1)</xm:f>
          </x14:formula1>
          <xm:sqref>D1:I1048576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00B050"/>
  </sheetPr>
  <dimension ref="A1:AL2"/>
  <sheetViews>
    <sheetView workbookViewId="0"/>
  </sheetViews>
  <sheetFormatPr defaultRowHeight="15" x14ac:dyDescent="0.25"/>
  <cols>
    <col min="1" max="1" width="11.5703125" style="8" customWidth="1"/>
    <col min="2" max="2" width="8.42578125" style="8" customWidth="1"/>
    <col min="3" max="3" width="15.7109375" style="8" customWidth="1"/>
    <col min="4" max="4" width="11" style="8" bestFit="1" customWidth="1"/>
    <col min="5" max="10" width="15" style="8" customWidth="1"/>
    <col min="11" max="19" width="9.85546875" style="8" customWidth="1"/>
    <col min="20" max="38" width="10.85546875" style="8" customWidth="1"/>
    <col min="39" max="16384" width="9.140625" style="8"/>
  </cols>
  <sheetData>
    <row r="1" spans="1:38" s="1" customFormat="1" x14ac:dyDescent="0.25">
      <c r="A1" s="1" t="s">
        <v>141</v>
      </c>
      <c r="B1" s="1" t="s">
        <v>18</v>
      </c>
      <c r="C1" s="1" t="s">
        <v>19</v>
      </c>
      <c r="D1" s="6" t="s">
        <v>170</v>
      </c>
      <c r="E1" s="1" t="s">
        <v>20</v>
      </c>
      <c r="F1" s="1" t="s">
        <v>21</v>
      </c>
      <c r="G1" s="1" t="s">
        <v>22</v>
      </c>
      <c r="H1" s="1" t="s">
        <v>23</v>
      </c>
      <c r="I1" s="1" t="s">
        <v>110</v>
      </c>
      <c r="J1" s="1" t="s">
        <v>111</v>
      </c>
      <c r="K1" s="1" t="s">
        <v>112</v>
      </c>
      <c r="L1" s="1" t="s">
        <v>113</v>
      </c>
      <c r="M1" s="1" t="s">
        <v>114</v>
      </c>
      <c r="N1" s="1" t="s">
        <v>115</v>
      </c>
      <c r="O1" s="1" t="s">
        <v>116</v>
      </c>
      <c r="P1" s="1" t="s">
        <v>117</v>
      </c>
      <c r="Q1" s="1" t="s">
        <v>118</v>
      </c>
      <c r="R1" s="1" t="s">
        <v>119</v>
      </c>
      <c r="S1" s="1" t="s">
        <v>120</v>
      </c>
      <c r="T1" s="1" t="s">
        <v>121</v>
      </c>
      <c r="U1" s="1" t="s">
        <v>122</v>
      </c>
      <c r="V1" s="1" t="s">
        <v>123</v>
      </c>
      <c r="W1" s="1" t="s">
        <v>124</v>
      </c>
      <c r="X1" s="1" t="s">
        <v>125</v>
      </c>
      <c r="Y1" s="1" t="s">
        <v>126</v>
      </c>
      <c r="Z1" s="1" t="s">
        <v>127</v>
      </c>
      <c r="AA1" s="1" t="s">
        <v>128</v>
      </c>
      <c r="AB1" s="1" t="s">
        <v>129</v>
      </c>
      <c r="AC1" s="1" t="s">
        <v>130</v>
      </c>
      <c r="AD1" s="1" t="s">
        <v>131</v>
      </c>
      <c r="AE1" s="1" t="s">
        <v>132</v>
      </c>
      <c r="AF1" s="1" t="s">
        <v>133</v>
      </c>
      <c r="AG1" s="1" t="s">
        <v>134</v>
      </c>
      <c r="AH1" s="1" t="s">
        <v>135</v>
      </c>
      <c r="AI1" s="1" t="s">
        <v>136</v>
      </c>
      <c r="AJ1" s="1" t="s">
        <v>137</v>
      </c>
      <c r="AK1" s="1" t="s">
        <v>138</v>
      </c>
      <c r="AL1" s="1" t="s">
        <v>139</v>
      </c>
    </row>
    <row r="2" spans="1:38" s="9" customFormat="1" x14ac:dyDescent="0.25">
      <c r="A2" s="8">
        <v>-1</v>
      </c>
      <c r="B2" s="9" t="s">
        <v>304</v>
      </c>
      <c r="C2" s="9" t="s">
        <v>4</v>
      </c>
      <c r="D2" s="9">
        <v>4</v>
      </c>
      <c r="E2" s="9" t="s">
        <v>104</v>
      </c>
      <c r="F2" s="9" t="s">
        <v>44</v>
      </c>
      <c r="G2" s="9" t="s">
        <v>100</v>
      </c>
      <c r="H2" s="9" t="s">
        <v>62</v>
      </c>
      <c r="I2" s="9" t="s">
        <v>105</v>
      </c>
      <c r="J2" s="9" t="s">
        <v>60</v>
      </c>
      <c r="AG2" s="9">
        <v>-100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A1:C106"/>
  <sheetViews>
    <sheetView workbookViewId="0"/>
  </sheetViews>
  <sheetFormatPr defaultRowHeight="15" x14ac:dyDescent="0.25"/>
  <cols>
    <col min="1" max="1" width="11.7109375" style="2" bestFit="1" customWidth="1"/>
    <col min="2" max="2" width="12.28515625" style="2" bestFit="1" customWidth="1"/>
    <col min="3" max="3" width="10.28515625" style="2" bestFit="1" customWidth="1"/>
  </cols>
  <sheetData>
    <row r="1" spans="1:3" x14ac:dyDescent="0.25">
      <c r="A1" s="3" t="s">
        <v>32</v>
      </c>
      <c r="B1" s="3" t="s">
        <v>1</v>
      </c>
      <c r="C1" s="3" t="s">
        <v>2</v>
      </c>
    </row>
    <row r="2" spans="1:3" x14ac:dyDescent="0.25">
      <c r="A2" s="2" t="s">
        <v>143</v>
      </c>
      <c r="B2" s="2">
        <v>100</v>
      </c>
      <c r="C2" s="2" t="s">
        <v>3</v>
      </c>
    </row>
    <row r="3" spans="1:3" x14ac:dyDescent="0.25">
      <c r="A3" s="2" t="s">
        <v>143</v>
      </c>
      <c r="B3" s="2">
        <v>200</v>
      </c>
      <c r="C3" s="2" t="s">
        <v>3</v>
      </c>
    </row>
    <row r="4" spans="1:3" x14ac:dyDescent="0.25">
      <c r="A4" s="2" t="s">
        <v>143</v>
      </c>
      <c r="B4" s="2">
        <v>300</v>
      </c>
      <c r="C4" s="2" t="s">
        <v>3</v>
      </c>
    </row>
    <row r="5" spans="1:3" x14ac:dyDescent="0.25">
      <c r="A5" s="2" t="s">
        <v>143</v>
      </c>
      <c r="B5" s="2">
        <v>400</v>
      </c>
      <c r="C5" s="2" t="s">
        <v>3</v>
      </c>
    </row>
    <row r="6" spans="1:3" x14ac:dyDescent="0.25">
      <c r="A6" s="2" t="s">
        <v>144</v>
      </c>
      <c r="B6" s="2">
        <v>100</v>
      </c>
      <c r="C6" s="2" t="s">
        <v>3</v>
      </c>
    </row>
    <row r="7" spans="1:3" x14ac:dyDescent="0.25">
      <c r="A7" s="2" t="s">
        <v>144</v>
      </c>
      <c r="B7" s="2">
        <v>200</v>
      </c>
      <c r="C7" s="2" t="s">
        <v>3</v>
      </c>
    </row>
    <row r="8" spans="1:3" x14ac:dyDescent="0.25">
      <c r="A8" s="7" t="s">
        <v>144</v>
      </c>
      <c r="B8" s="7">
        <v>300</v>
      </c>
      <c r="C8" s="7" t="s">
        <v>3</v>
      </c>
    </row>
    <row r="9" spans="1:3" x14ac:dyDescent="0.25">
      <c r="A9" s="7" t="s">
        <v>144</v>
      </c>
      <c r="B9" s="7">
        <v>400</v>
      </c>
      <c r="C9" s="7" t="s">
        <v>3</v>
      </c>
    </row>
    <row r="10" spans="1:3" x14ac:dyDescent="0.25">
      <c r="A10" s="2" t="s">
        <v>145</v>
      </c>
      <c r="B10" s="2">
        <v>100</v>
      </c>
      <c r="C10" s="2" t="s">
        <v>3</v>
      </c>
    </row>
    <row r="11" spans="1:3" x14ac:dyDescent="0.25">
      <c r="A11" s="7" t="s">
        <v>145</v>
      </c>
      <c r="B11" s="7">
        <v>200</v>
      </c>
      <c r="C11" s="7" t="s">
        <v>3</v>
      </c>
    </row>
    <row r="12" spans="1:3" x14ac:dyDescent="0.25">
      <c r="A12" s="7" t="s">
        <v>145</v>
      </c>
      <c r="B12" s="7">
        <v>300</v>
      </c>
      <c r="C12" s="7" t="s">
        <v>3</v>
      </c>
    </row>
    <row r="13" spans="1:3" x14ac:dyDescent="0.25">
      <c r="A13" s="2" t="s">
        <v>145</v>
      </c>
      <c r="B13" s="2">
        <v>400</v>
      </c>
      <c r="C13" s="2" t="s">
        <v>3</v>
      </c>
    </row>
    <row r="14" spans="1:3" x14ac:dyDescent="0.25">
      <c r="A14" s="2" t="s">
        <v>182</v>
      </c>
      <c r="B14" s="2">
        <v>100</v>
      </c>
      <c r="C14" s="2" t="s">
        <v>3</v>
      </c>
    </row>
    <row r="15" spans="1:3" x14ac:dyDescent="0.25">
      <c r="A15" s="7" t="s">
        <v>182</v>
      </c>
      <c r="B15" s="7">
        <v>200</v>
      </c>
      <c r="C15" s="7" t="s">
        <v>3</v>
      </c>
    </row>
    <row r="16" spans="1:3" x14ac:dyDescent="0.25">
      <c r="A16" s="7" t="s">
        <v>182</v>
      </c>
      <c r="B16" s="7">
        <v>300</v>
      </c>
      <c r="C16" s="7" t="s">
        <v>3</v>
      </c>
    </row>
    <row r="17" spans="1:3" x14ac:dyDescent="0.25">
      <c r="A17" s="2" t="s">
        <v>182</v>
      </c>
      <c r="B17" s="2">
        <v>400</v>
      </c>
      <c r="C17" s="2" t="s">
        <v>3</v>
      </c>
    </row>
    <row r="18" spans="1:3" x14ac:dyDescent="0.25">
      <c r="A18" s="2" t="s">
        <v>183</v>
      </c>
      <c r="B18" s="2">
        <v>100</v>
      </c>
      <c r="C18" s="2" t="s">
        <v>3</v>
      </c>
    </row>
    <row r="19" spans="1:3" x14ac:dyDescent="0.25">
      <c r="A19" s="2" t="s">
        <v>183</v>
      </c>
      <c r="B19" s="2">
        <v>200</v>
      </c>
      <c r="C19" s="2" t="s">
        <v>3</v>
      </c>
    </row>
    <row r="20" spans="1:3" x14ac:dyDescent="0.25">
      <c r="A20" s="2" t="s">
        <v>183</v>
      </c>
      <c r="B20" s="2">
        <v>300</v>
      </c>
      <c r="C20" s="2" t="s">
        <v>3</v>
      </c>
    </row>
    <row r="21" spans="1:3" x14ac:dyDescent="0.25">
      <c r="A21" s="2" t="s">
        <v>183</v>
      </c>
      <c r="B21" s="2">
        <v>400</v>
      </c>
      <c r="C21" s="2" t="s">
        <v>3</v>
      </c>
    </row>
    <row r="22" spans="1:3" x14ac:dyDescent="0.25">
      <c r="A22" s="2" t="s">
        <v>6</v>
      </c>
      <c r="B22" s="2">
        <v>100</v>
      </c>
      <c r="C22" s="2" t="s">
        <v>5</v>
      </c>
    </row>
    <row r="23" spans="1:3" x14ac:dyDescent="0.25">
      <c r="A23" s="2" t="s">
        <v>7</v>
      </c>
      <c r="B23" s="2">
        <v>100</v>
      </c>
      <c r="C23" s="2" t="s">
        <v>5</v>
      </c>
    </row>
    <row r="24" spans="1:3" x14ac:dyDescent="0.25">
      <c r="A24" s="2" t="s">
        <v>8</v>
      </c>
      <c r="B24" s="2">
        <v>100</v>
      </c>
      <c r="C24" s="2" t="s">
        <v>5</v>
      </c>
    </row>
    <row r="25" spans="1:3" x14ac:dyDescent="0.25">
      <c r="A25" s="2" t="s">
        <v>9</v>
      </c>
      <c r="B25" s="2">
        <v>100</v>
      </c>
      <c r="C25" s="2" t="s">
        <v>5</v>
      </c>
    </row>
    <row r="26" spans="1:3" x14ac:dyDescent="0.25">
      <c r="A26" s="2" t="s">
        <v>10</v>
      </c>
      <c r="B26" s="2">
        <v>100</v>
      </c>
      <c r="C26" s="2" t="s">
        <v>5</v>
      </c>
    </row>
    <row r="27" spans="1:3" x14ac:dyDescent="0.25">
      <c r="A27" s="2" t="s">
        <v>11</v>
      </c>
      <c r="B27" s="2">
        <v>100</v>
      </c>
      <c r="C27" s="2" t="s">
        <v>5</v>
      </c>
    </row>
    <row r="28" spans="1:3" x14ac:dyDescent="0.25">
      <c r="A28" s="2" t="s">
        <v>12</v>
      </c>
      <c r="B28" s="2">
        <v>100</v>
      </c>
      <c r="C28" s="2" t="s">
        <v>5</v>
      </c>
    </row>
    <row r="29" spans="1:3" x14ac:dyDescent="0.25">
      <c r="A29" s="2" t="s">
        <v>13</v>
      </c>
      <c r="B29" s="2">
        <v>100</v>
      </c>
      <c r="C29" s="2" t="s">
        <v>5</v>
      </c>
    </row>
    <row r="30" spans="1:3" x14ac:dyDescent="0.25">
      <c r="A30" s="2" t="s">
        <v>14</v>
      </c>
      <c r="B30" s="2">
        <v>100</v>
      </c>
      <c r="C30" s="2" t="s">
        <v>5</v>
      </c>
    </row>
    <row r="31" spans="1:3" x14ac:dyDescent="0.25">
      <c r="A31" s="2" t="s">
        <v>15</v>
      </c>
      <c r="B31" s="2">
        <v>100</v>
      </c>
      <c r="C31" s="2" t="s">
        <v>5</v>
      </c>
    </row>
    <row r="32" spans="1:3" x14ac:dyDescent="0.25">
      <c r="A32" s="2" t="s">
        <v>16</v>
      </c>
      <c r="B32" s="2">
        <v>100</v>
      </c>
      <c r="C32" s="2" t="s">
        <v>5</v>
      </c>
    </row>
    <row r="33" spans="1:3" x14ac:dyDescent="0.25">
      <c r="A33" s="2" t="s">
        <v>17</v>
      </c>
      <c r="B33" s="2">
        <v>100</v>
      </c>
      <c r="C33" s="2" t="s">
        <v>5</v>
      </c>
    </row>
    <row r="34" spans="1:3" x14ac:dyDescent="0.25">
      <c r="A34" s="2" t="s">
        <v>41</v>
      </c>
      <c r="B34" s="2">
        <v>100</v>
      </c>
      <c r="C34" s="2" t="s">
        <v>3</v>
      </c>
    </row>
    <row r="35" spans="1:3" x14ac:dyDescent="0.25">
      <c r="A35" s="2" t="s">
        <v>42</v>
      </c>
      <c r="B35" s="2">
        <v>100</v>
      </c>
      <c r="C35" s="2" t="s">
        <v>3</v>
      </c>
    </row>
    <row r="36" spans="1:3" x14ac:dyDescent="0.25">
      <c r="A36" s="2" t="s">
        <v>43</v>
      </c>
      <c r="B36" s="2">
        <v>100</v>
      </c>
      <c r="C36" s="2" t="s">
        <v>3</v>
      </c>
    </row>
    <row r="37" spans="1:3" x14ac:dyDescent="0.25">
      <c r="A37" s="2" t="s">
        <v>44</v>
      </c>
      <c r="B37" s="2">
        <v>100</v>
      </c>
      <c r="C37" s="2" t="s">
        <v>3</v>
      </c>
    </row>
    <row r="38" spans="1:3" x14ac:dyDescent="0.25">
      <c r="A38" s="2" t="s">
        <v>45</v>
      </c>
      <c r="B38" s="2">
        <v>100</v>
      </c>
      <c r="C38" s="2" t="s">
        <v>3</v>
      </c>
    </row>
    <row r="39" spans="1:3" x14ac:dyDescent="0.25">
      <c r="A39" s="2" t="s">
        <v>46</v>
      </c>
      <c r="B39" s="2">
        <v>100</v>
      </c>
      <c r="C39" s="2" t="s">
        <v>3</v>
      </c>
    </row>
    <row r="40" spans="1:3" x14ac:dyDescent="0.25">
      <c r="A40" s="2" t="s">
        <v>47</v>
      </c>
      <c r="B40" s="2">
        <v>100</v>
      </c>
      <c r="C40" s="2" t="s">
        <v>3</v>
      </c>
    </row>
    <row r="41" spans="1:3" x14ac:dyDescent="0.25">
      <c r="A41" s="2" t="s">
        <v>48</v>
      </c>
      <c r="B41" s="2">
        <v>100</v>
      </c>
      <c r="C41" s="2" t="s">
        <v>3</v>
      </c>
    </row>
    <row r="42" spans="1:3" x14ac:dyDescent="0.25">
      <c r="A42" s="2" t="s">
        <v>49</v>
      </c>
      <c r="B42" s="2">
        <v>100</v>
      </c>
      <c r="C42" s="2" t="s">
        <v>3</v>
      </c>
    </row>
    <row r="43" spans="1:3" x14ac:dyDescent="0.25">
      <c r="A43" s="2" t="s">
        <v>50</v>
      </c>
      <c r="B43" s="2">
        <v>100</v>
      </c>
      <c r="C43" s="2" t="s">
        <v>3</v>
      </c>
    </row>
    <row r="44" spans="1:3" x14ac:dyDescent="0.25">
      <c r="A44" s="2" t="s">
        <v>51</v>
      </c>
      <c r="B44" s="2">
        <v>100</v>
      </c>
      <c r="C44" s="2" t="s">
        <v>3</v>
      </c>
    </row>
    <row r="45" spans="1:3" x14ac:dyDescent="0.25">
      <c r="A45" s="2" t="s">
        <v>52</v>
      </c>
      <c r="B45" s="2">
        <v>100</v>
      </c>
      <c r="C45" s="2" t="s">
        <v>3</v>
      </c>
    </row>
    <row r="46" spans="1:3" x14ac:dyDescent="0.25">
      <c r="A46" s="2" t="s">
        <v>53</v>
      </c>
      <c r="B46" s="2">
        <v>100</v>
      </c>
      <c r="C46" s="2" t="s">
        <v>3</v>
      </c>
    </row>
    <row r="47" spans="1:3" x14ac:dyDescent="0.25">
      <c r="A47" s="2" t="s">
        <v>54</v>
      </c>
      <c r="B47" s="2">
        <v>100</v>
      </c>
      <c r="C47" s="2" t="s">
        <v>3</v>
      </c>
    </row>
    <row r="48" spans="1:3" x14ac:dyDescent="0.25">
      <c r="A48" s="2" t="s">
        <v>55</v>
      </c>
      <c r="B48" s="2">
        <v>100</v>
      </c>
      <c r="C48" s="2" t="s">
        <v>3</v>
      </c>
    </row>
    <row r="49" spans="1:3" x14ac:dyDescent="0.25">
      <c r="A49" s="2" t="s">
        <v>56</v>
      </c>
      <c r="B49" s="2">
        <v>100</v>
      </c>
      <c r="C49" s="2" t="s">
        <v>3</v>
      </c>
    </row>
    <row r="50" spans="1:3" x14ac:dyDescent="0.25">
      <c r="A50" s="2" t="s">
        <v>57</v>
      </c>
      <c r="B50" s="2">
        <v>100</v>
      </c>
      <c r="C50" s="2" t="s">
        <v>3</v>
      </c>
    </row>
    <row r="51" spans="1:3" x14ac:dyDescent="0.25">
      <c r="A51" s="2" t="s">
        <v>58</v>
      </c>
      <c r="B51" s="2">
        <v>100</v>
      </c>
      <c r="C51" s="2" t="s">
        <v>3</v>
      </c>
    </row>
    <row r="52" spans="1:3" x14ac:dyDescent="0.25">
      <c r="A52" s="2" t="s">
        <v>59</v>
      </c>
      <c r="B52" s="2">
        <v>100</v>
      </c>
      <c r="C52" s="2" t="s">
        <v>3</v>
      </c>
    </row>
    <row r="53" spans="1:3" x14ac:dyDescent="0.25">
      <c r="A53" s="2" t="s">
        <v>60</v>
      </c>
      <c r="B53" s="2">
        <v>100</v>
      </c>
      <c r="C53" s="2" t="s">
        <v>3</v>
      </c>
    </row>
    <row r="54" spans="1:3" x14ac:dyDescent="0.25">
      <c r="A54" s="2" t="s">
        <v>61</v>
      </c>
      <c r="B54" s="2">
        <v>100</v>
      </c>
      <c r="C54" s="2" t="s">
        <v>3</v>
      </c>
    </row>
    <row r="55" spans="1:3" x14ac:dyDescent="0.25">
      <c r="A55" s="2" t="s">
        <v>62</v>
      </c>
      <c r="B55" s="2">
        <v>100</v>
      </c>
      <c r="C55" s="2" t="s">
        <v>3</v>
      </c>
    </row>
    <row r="56" spans="1:3" x14ac:dyDescent="0.25">
      <c r="A56" s="2" t="s">
        <v>63</v>
      </c>
      <c r="B56" s="2">
        <v>100</v>
      </c>
      <c r="C56" s="2" t="s">
        <v>3</v>
      </c>
    </row>
    <row r="57" spans="1:3" x14ac:dyDescent="0.25">
      <c r="A57" s="2" t="s">
        <v>64</v>
      </c>
      <c r="B57" s="2">
        <v>100</v>
      </c>
      <c r="C57" s="2" t="s">
        <v>3</v>
      </c>
    </row>
    <row r="58" spans="1:3" x14ac:dyDescent="0.25">
      <c r="A58" s="2" t="s">
        <v>65</v>
      </c>
      <c r="B58" s="2">
        <v>100</v>
      </c>
      <c r="C58" s="2" t="s">
        <v>3</v>
      </c>
    </row>
    <row r="59" spans="1:3" x14ac:dyDescent="0.25">
      <c r="A59" s="2" t="s">
        <v>66</v>
      </c>
      <c r="B59" s="2">
        <v>100</v>
      </c>
      <c r="C59" s="2" t="s">
        <v>3</v>
      </c>
    </row>
    <row r="60" spans="1:3" x14ac:dyDescent="0.25">
      <c r="A60" s="2" t="s">
        <v>67</v>
      </c>
      <c r="B60" s="2">
        <v>100</v>
      </c>
      <c r="C60" s="2" t="s">
        <v>3</v>
      </c>
    </row>
    <row r="61" spans="1:3" x14ac:dyDescent="0.25">
      <c r="A61" s="2" t="s">
        <v>68</v>
      </c>
      <c r="B61" s="2">
        <v>100</v>
      </c>
      <c r="C61" s="2" t="s">
        <v>3</v>
      </c>
    </row>
    <row r="62" spans="1:3" x14ac:dyDescent="0.25">
      <c r="A62" s="2" t="s">
        <v>69</v>
      </c>
      <c r="B62" s="2">
        <v>100</v>
      </c>
      <c r="C62" s="2" t="s">
        <v>3</v>
      </c>
    </row>
    <row r="63" spans="1:3" x14ac:dyDescent="0.25">
      <c r="A63" s="2" t="s">
        <v>70</v>
      </c>
      <c r="B63" s="2">
        <v>100</v>
      </c>
      <c r="C63" s="2" t="s">
        <v>3</v>
      </c>
    </row>
    <row r="64" spans="1:3" x14ac:dyDescent="0.25">
      <c r="A64" s="2" t="s">
        <v>71</v>
      </c>
      <c r="B64" s="2">
        <v>100</v>
      </c>
      <c r="C64" s="2" t="s">
        <v>3</v>
      </c>
    </row>
    <row r="65" spans="1:3" x14ac:dyDescent="0.25">
      <c r="A65" s="2" t="s">
        <v>72</v>
      </c>
      <c r="B65" s="2">
        <v>100</v>
      </c>
      <c r="C65" s="2" t="s">
        <v>3</v>
      </c>
    </row>
    <row r="66" spans="1:3" x14ac:dyDescent="0.25">
      <c r="A66" s="2" t="s">
        <v>73</v>
      </c>
      <c r="B66" s="2">
        <v>100</v>
      </c>
      <c r="C66" s="2" t="s">
        <v>3</v>
      </c>
    </row>
    <row r="67" spans="1:3" x14ac:dyDescent="0.25">
      <c r="A67" s="2" t="s">
        <v>74</v>
      </c>
      <c r="B67" s="2">
        <v>100</v>
      </c>
      <c r="C67" s="2" t="s">
        <v>3</v>
      </c>
    </row>
    <row r="68" spans="1:3" x14ac:dyDescent="0.25">
      <c r="A68" s="2" t="s">
        <v>75</v>
      </c>
      <c r="B68" s="2">
        <v>100</v>
      </c>
      <c r="C68" s="2" t="s">
        <v>3</v>
      </c>
    </row>
    <row r="69" spans="1:3" x14ac:dyDescent="0.25">
      <c r="A69" s="2" t="s">
        <v>76</v>
      </c>
      <c r="B69" s="2">
        <v>100</v>
      </c>
      <c r="C69" s="2" t="s">
        <v>3</v>
      </c>
    </row>
    <row r="70" spans="1:3" x14ac:dyDescent="0.25">
      <c r="A70" s="2" t="s">
        <v>77</v>
      </c>
      <c r="B70" s="2">
        <v>100</v>
      </c>
      <c r="C70" s="2" t="s">
        <v>3</v>
      </c>
    </row>
    <row r="71" spans="1:3" x14ac:dyDescent="0.25">
      <c r="A71" s="2" t="s">
        <v>78</v>
      </c>
      <c r="B71" s="2">
        <v>100</v>
      </c>
      <c r="C71" s="2" t="s">
        <v>3</v>
      </c>
    </row>
    <row r="72" spans="1:3" x14ac:dyDescent="0.25">
      <c r="A72" s="2" t="s">
        <v>79</v>
      </c>
      <c r="B72" s="2">
        <v>100</v>
      </c>
      <c r="C72" s="2" t="s">
        <v>3</v>
      </c>
    </row>
    <row r="73" spans="1:3" x14ac:dyDescent="0.25">
      <c r="A73" s="2" t="s">
        <v>80</v>
      </c>
      <c r="B73" s="2">
        <v>100</v>
      </c>
      <c r="C73" s="2" t="s">
        <v>3</v>
      </c>
    </row>
    <row r="74" spans="1:3" x14ac:dyDescent="0.25">
      <c r="A74" s="2" t="s">
        <v>81</v>
      </c>
      <c r="B74" s="2">
        <v>100</v>
      </c>
      <c r="C74" s="2" t="s">
        <v>3</v>
      </c>
    </row>
    <row r="75" spans="1:3" x14ac:dyDescent="0.25">
      <c r="A75" s="2" t="s">
        <v>82</v>
      </c>
      <c r="B75" s="2">
        <v>100</v>
      </c>
      <c r="C75" s="2" t="s">
        <v>3</v>
      </c>
    </row>
    <row r="76" spans="1:3" x14ac:dyDescent="0.25">
      <c r="A76" s="2" t="s">
        <v>83</v>
      </c>
      <c r="B76" s="2">
        <v>100</v>
      </c>
      <c r="C76" s="2" t="s">
        <v>3</v>
      </c>
    </row>
    <row r="77" spans="1:3" x14ac:dyDescent="0.25">
      <c r="A77" s="2" t="s">
        <v>84</v>
      </c>
      <c r="B77" s="2">
        <v>100</v>
      </c>
      <c r="C77" s="2" t="s">
        <v>3</v>
      </c>
    </row>
    <row r="78" spans="1:3" x14ac:dyDescent="0.25">
      <c r="A78" s="2" t="s">
        <v>85</v>
      </c>
      <c r="B78" s="2">
        <v>100</v>
      </c>
      <c r="C78" s="2" t="s">
        <v>3</v>
      </c>
    </row>
    <row r="79" spans="1:3" x14ac:dyDescent="0.25">
      <c r="A79" s="2" t="s">
        <v>86</v>
      </c>
      <c r="B79" s="2">
        <v>100</v>
      </c>
      <c r="C79" s="2" t="s">
        <v>3</v>
      </c>
    </row>
    <row r="80" spans="1:3" x14ac:dyDescent="0.25">
      <c r="A80" s="2" t="s">
        <v>87</v>
      </c>
      <c r="B80" s="2">
        <v>100</v>
      </c>
      <c r="C80" s="2" t="s">
        <v>3</v>
      </c>
    </row>
    <row r="81" spans="1:3" x14ac:dyDescent="0.25">
      <c r="A81" s="2" t="s">
        <v>88</v>
      </c>
      <c r="B81" s="2">
        <v>100</v>
      </c>
      <c r="C81" s="2" t="s">
        <v>3</v>
      </c>
    </row>
    <row r="82" spans="1:3" x14ac:dyDescent="0.25">
      <c r="A82" s="2" t="s">
        <v>89</v>
      </c>
      <c r="B82" s="2">
        <v>100</v>
      </c>
      <c r="C82" s="2" t="s">
        <v>3</v>
      </c>
    </row>
    <row r="83" spans="1:3" x14ac:dyDescent="0.25">
      <c r="A83" s="2" t="s">
        <v>90</v>
      </c>
      <c r="B83" s="2">
        <v>100</v>
      </c>
      <c r="C83" s="2" t="s">
        <v>3</v>
      </c>
    </row>
    <row r="84" spans="1:3" x14ac:dyDescent="0.25">
      <c r="A84" s="2" t="s">
        <v>91</v>
      </c>
      <c r="B84" s="2">
        <v>100</v>
      </c>
      <c r="C84" s="2" t="s">
        <v>3</v>
      </c>
    </row>
    <row r="85" spans="1:3" x14ac:dyDescent="0.25">
      <c r="A85" s="2" t="s">
        <v>92</v>
      </c>
      <c r="B85" s="2">
        <v>100</v>
      </c>
      <c r="C85" s="2" t="s">
        <v>3</v>
      </c>
    </row>
    <row r="86" spans="1:3" x14ac:dyDescent="0.25">
      <c r="A86" s="2" t="s">
        <v>93</v>
      </c>
      <c r="B86" s="2">
        <v>100</v>
      </c>
      <c r="C86" s="2" t="s">
        <v>3</v>
      </c>
    </row>
    <row r="87" spans="1:3" x14ac:dyDescent="0.25">
      <c r="A87" s="2" t="s">
        <v>94</v>
      </c>
      <c r="B87" s="2">
        <v>100</v>
      </c>
      <c r="C87" s="2" t="s">
        <v>3</v>
      </c>
    </row>
    <row r="88" spans="1:3" x14ac:dyDescent="0.25">
      <c r="A88" s="2" t="s">
        <v>95</v>
      </c>
      <c r="B88" s="2">
        <v>100</v>
      </c>
      <c r="C88" s="2" t="s">
        <v>3</v>
      </c>
    </row>
    <row r="89" spans="1:3" x14ac:dyDescent="0.25">
      <c r="A89" s="2" t="s">
        <v>96</v>
      </c>
      <c r="B89" s="2">
        <v>100</v>
      </c>
      <c r="C89" s="2" t="s">
        <v>3</v>
      </c>
    </row>
    <row r="90" spans="1:3" x14ac:dyDescent="0.25">
      <c r="A90" s="2" t="s">
        <v>97</v>
      </c>
      <c r="B90" s="2">
        <v>100</v>
      </c>
      <c r="C90" s="2" t="s">
        <v>3</v>
      </c>
    </row>
    <row r="91" spans="1:3" x14ac:dyDescent="0.25">
      <c r="A91" s="2" t="s">
        <v>98</v>
      </c>
      <c r="B91" s="2">
        <v>100</v>
      </c>
      <c r="C91" s="2" t="s">
        <v>3</v>
      </c>
    </row>
    <row r="92" spans="1:3" x14ac:dyDescent="0.25">
      <c r="A92" s="2" t="s">
        <v>99</v>
      </c>
      <c r="B92" s="2">
        <v>100</v>
      </c>
      <c r="C92" s="2" t="s">
        <v>3</v>
      </c>
    </row>
    <row r="93" spans="1:3" x14ac:dyDescent="0.25">
      <c r="A93" s="2" t="s">
        <v>100</v>
      </c>
      <c r="B93" s="2">
        <v>100</v>
      </c>
      <c r="C93" s="2" t="s">
        <v>3</v>
      </c>
    </row>
    <row r="94" spans="1:3" x14ac:dyDescent="0.25">
      <c r="A94" s="2" t="s">
        <v>101</v>
      </c>
      <c r="B94" s="2">
        <v>100</v>
      </c>
      <c r="C94" s="2" t="s">
        <v>3</v>
      </c>
    </row>
    <row r="95" spans="1:3" x14ac:dyDescent="0.25">
      <c r="A95" s="2" t="s">
        <v>102</v>
      </c>
      <c r="B95" s="2">
        <v>100</v>
      </c>
      <c r="C95" s="2" t="s">
        <v>3</v>
      </c>
    </row>
    <row r="96" spans="1:3" x14ac:dyDescent="0.25">
      <c r="A96" s="2" t="s">
        <v>103</v>
      </c>
      <c r="B96" s="2">
        <v>100</v>
      </c>
      <c r="C96" s="2" t="s">
        <v>3</v>
      </c>
    </row>
    <row r="97" spans="1:3" x14ac:dyDescent="0.25">
      <c r="A97" s="2" t="s">
        <v>104</v>
      </c>
      <c r="B97" s="2">
        <v>100</v>
      </c>
      <c r="C97" s="2" t="s">
        <v>3</v>
      </c>
    </row>
    <row r="98" spans="1:3" x14ac:dyDescent="0.25">
      <c r="A98" s="2" t="s">
        <v>105</v>
      </c>
      <c r="B98" s="2">
        <v>100</v>
      </c>
      <c r="C98" s="2" t="s">
        <v>3</v>
      </c>
    </row>
    <row r="99" spans="1:3" x14ac:dyDescent="0.25">
      <c r="A99" s="2" t="s">
        <v>106</v>
      </c>
      <c r="B99" s="2">
        <v>100</v>
      </c>
      <c r="C99" s="2" t="s">
        <v>3</v>
      </c>
    </row>
    <row r="100" spans="1:3" x14ac:dyDescent="0.25">
      <c r="A100" s="2" t="s">
        <v>107</v>
      </c>
      <c r="B100" s="2">
        <v>100</v>
      </c>
      <c r="C100" s="2" t="s">
        <v>3</v>
      </c>
    </row>
    <row r="101" spans="1:3" x14ac:dyDescent="0.25">
      <c r="A101" s="2" t="s">
        <v>41</v>
      </c>
      <c r="B101" s="2">
        <v>200</v>
      </c>
      <c r="C101" s="2" t="s">
        <v>3</v>
      </c>
    </row>
    <row r="102" spans="1:3" x14ac:dyDescent="0.25">
      <c r="A102" s="2" t="s">
        <v>42</v>
      </c>
      <c r="B102" s="2">
        <v>200</v>
      </c>
      <c r="C102" s="2" t="s">
        <v>3</v>
      </c>
    </row>
    <row r="103" spans="1:3" x14ac:dyDescent="0.25">
      <c r="A103" s="2" t="s">
        <v>43</v>
      </c>
      <c r="B103" s="2">
        <v>200</v>
      </c>
      <c r="C103" s="2" t="s">
        <v>3</v>
      </c>
    </row>
    <row r="104" spans="1:3" x14ac:dyDescent="0.25">
      <c r="A104" s="2" t="s">
        <v>41</v>
      </c>
      <c r="B104" s="2">
        <v>300</v>
      </c>
      <c r="C104" s="2" t="s">
        <v>3</v>
      </c>
    </row>
    <row r="105" spans="1:3" x14ac:dyDescent="0.25">
      <c r="A105" s="2" t="s">
        <v>42</v>
      </c>
      <c r="B105" s="2">
        <v>300</v>
      </c>
      <c r="C105" s="2" t="s">
        <v>3</v>
      </c>
    </row>
    <row r="106" spans="1:3" x14ac:dyDescent="0.25">
      <c r="A106" s="2" t="s">
        <v>43</v>
      </c>
      <c r="B106" s="2">
        <v>300</v>
      </c>
      <c r="C106" s="2" t="s">
        <v>3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D8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4" width="6" customWidth="1"/>
  </cols>
  <sheetData>
    <row r="1" spans="1:4" x14ac:dyDescent="0.25">
      <c r="A1" s="4">
        <v>1</v>
      </c>
      <c r="B1" s="4">
        <v>2</v>
      </c>
      <c r="C1" s="4">
        <v>3</v>
      </c>
      <c r="D1" s="4">
        <v>4</v>
      </c>
    </row>
    <row r="2" spans="1:4" x14ac:dyDescent="0.25">
      <c r="A2" t="s">
        <v>6</v>
      </c>
      <c r="B2" t="s">
        <v>143</v>
      </c>
      <c r="C2" t="s">
        <v>8</v>
      </c>
      <c r="D2" t="s">
        <v>11</v>
      </c>
    </row>
    <row r="3" spans="1:4" x14ac:dyDescent="0.25">
      <c r="A3" t="s">
        <v>7</v>
      </c>
      <c r="B3" t="s">
        <v>145</v>
      </c>
      <c r="C3" t="s">
        <v>9</v>
      </c>
      <c r="D3" t="s">
        <v>12</v>
      </c>
    </row>
    <row r="4" spans="1:4" x14ac:dyDescent="0.25">
      <c r="A4" t="s">
        <v>8</v>
      </c>
      <c r="B4" t="s">
        <v>182</v>
      </c>
      <c r="D4" t="s">
        <v>13</v>
      </c>
    </row>
    <row r="5" spans="1:4" x14ac:dyDescent="0.25">
      <c r="A5" t="s">
        <v>9</v>
      </c>
    </row>
    <row r="6" spans="1:4" x14ac:dyDescent="0.25">
      <c r="A6" t="s">
        <v>10</v>
      </c>
    </row>
    <row r="7" spans="1:4" x14ac:dyDescent="0.25">
      <c r="A7" t="s">
        <v>11</v>
      </c>
    </row>
    <row r="8" spans="1:4" x14ac:dyDescent="0.25">
      <c r="A8" t="s">
        <v>12</v>
      </c>
    </row>
    <row r="9" spans="1:4" x14ac:dyDescent="0.25">
      <c r="A9" t="s">
        <v>13</v>
      </c>
    </row>
    <row r="10" spans="1:4" x14ac:dyDescent="0.25">
      <c r="A10" t="s">
        <v>14</v>
      </c>
    </row>
    <row r="11" spans="1:4" x14ac:dyDescent="0.25">
      <c r="A11" t="s">
        <v>15</v>
      </c>
    </row>
    <row r="12" spans="1:4" x14ac:dyDescent="0.25">
      <c r="A12" t="s">
        <v>16</v>
      </c>
    </row>
    <row r="13" spans="1:4" x14ac:dyDescent="0.25">
      <c r="A13" t="s">
        <v>17</v>
      </c>
    </row>
    <row r="14" spans="1:4" x14ac:dyDescent="0.25">
      <c r="A14" t="s">
        <v>41</v>
      </c>
    </row>
    <row r="15" spans="1:4" x14ac:dyDescent="0.25">
      <c r="A15" t="s">
        <v>42</v>
      </c>
    </row>
    <row r="16" spans="1:4" x14ac:dyDescent="0.25">
      <c r="A16" t="s">
        <v>43</v>
      </c>
    </row>
    <row r="17" spans="1:1" x14ac:dyDescent="0.25">
      <c r="A17" t="s">
        <v>44</v>
      </c>
    </row>
    <row r="18" spans="1:1" x14ac:dyDescent="0.25">
      <c r="A18" t="s">
        <v>45</v>
      </c>
    </row>
    <row r="19" spans="1:1" x14ac:dyDescent="0.25">
      <c r="A19" t="s">
        <v>46</v>
      </c>
    </row>
    <row r="20" spans="1:1" x14ac:dyDescent="0.25">
      <c r="A20" t="s">
        <v>47</v>
      </c>
    </row>
    <row r="21" spans="1:1" x14ac:dyDescent="0.25">
      <c r="A21" t="s">
        <v>48</v>
      </c>
    </row>
    <row r="22" spans="1:1" x14ac:dyDescent="0.25">
      <c r="A22" t="s">
        <v>49</v>
      </c>
    </row>
    <row r="23" spans="1:1" x14ac:dyDescent="0.25">
      <c r="A23" t="s">
        <v>50</v>
      </c>
    </row>
    <row r="24" spans="1:1" x14ac:dyDescent="0.25">
      <c r="A24" t="s">
        <v>51</v>
      </c>
    </row>
    <row r="25" spans="1:1" x14ac:dyDescent="0.25">
      <c r="A25" t="s">
        <v>52</v>
      </c>
    </row>
    <row r="26" spans="1:1" x14ac:dyDescent="0.25">
      <c r="A26" t="s">
        <v>53</v>
      </c>
    </row>
    <row r="27" spans="1:1" x14ac:dyDescent="0.25">
      <c r="A27" t="s">
        <v>54</v>
      </c>
    </row>
    <row r="28" spans="1:1" x14ac:dyDescent="0.25">
      <c r="A28" t="s">
        <v>55</v>
      </c>
    </row>
    <row r="29" spans="1:1" x14ac:dyDescent="0.25">
      <c r="A29" t="s">
        <v>56</v>
      </c>
    </row>
    <row r="30" spans="1:1" x14ac:dyDescent="0.25">
      <c r="A30" t="s">
        <v>57</v>
      </c>
    </row>
    <row r="31" spans="1:1" x14ac:dyDescent="0.25">
      <c r="A31" t="s">
        <v>58</v>
      </c>
    </row>
    <row r="32" spans="1:1" x14ac:dyDescent="0.25">
      <c r="A32" t="s">
        <v>59</v>
      </c>
    </row>
    <row r="33" spans="1:1" x14ac:dyDescent="0.25">
      <c r="A33" t="s">
        <v>60</v>
      </c>
    </row>
    <row r="34" spans="1:1" x14ac:dyDescent="0.25">
      <c r="A34" t="s">
        <v>61</v>
      </c>
    </row>
    <row r="35" spans="1:1" x14ac:dyDescent="0.25">
      <c r="A35" t="s">
        <v>62</v>
      </c>
    </row>
    <row r="36" spans="1:1" x14ac:dyDescent="0.25">
      <c r="A36" t="s">
        <v>63</v>
      </c>
    </row>
    <row r="37" spans="1:1" x14ac:dyDescent="0.25">
      <c r="A37" t="s">
        <v>64</v>
      </c>
    </row>
    <row r="38" spans="1:1" x14ac:dyDescent="0.25">
      <c r="A38" t="s">
        <v>65</v>
      </c>
    </row>
    <row r="39" spans="1:1" x14ac:dyDescent="0.25">
      <c r="A39" t="s">
        <v>66</v>
      </c>
    </row>
    <row r="40" spans="1:1" x14ac:dyDescent="0.25">
      <c r="A40" t="s">
        <v>67</v>
      </c>
    </row>
    <row r="41" spans="1:1" x14ac:dyDescent="0.25">
      <c r="A41" t="s">
        <v>68</v>
      </c>
    </row>
    <row r="42" spans="1:1" x14ac:dyDescent="0.25">
      <c r="A42" t="s">
        <v>69</v>
      </c>
    </row>
    <row r="43" spans="1:1" x14ac:dyDescent="0.25">
      <c r="A43" t="s">
        <v>70</v>
      </c>
    </row>
    <row r="44" spans="1:1" x14ac:dyDescent="0.25">
      <c r="A44" t="s">
        <v>71</v>
      </c>
    </row>
    <row r="45" spans="1:1" x14ac:dyDescent="0.25">
      <c r="A45" t="s">
        <v>72</v>
      </c>
    </row>
    <row r="46" spans="1:1" x14ac:dyDescent="0.25">
      <c r="A46" t="s">
        <v>73</v>
      </c>
    </row>
    <row r="47" spans="1:1" x14ac:dyDescent="0.25">
      <c r="A47" t="s">
        <v>74</v>
      </c>
    </row>
    <row r="48" spans="1:1" x14ac:dyDescent="0.25">
      <c r="A48" t="s">
        <v>75</v>
      </c>
    </row>
    <row r="49" spans="1:1" x14ac:dyDescent="0.25">
      <c r="A49" t="s">
        <v>76</v>
      </c>
    </row>
    <row r="50" spans="1:1" x14ac:dyDescent="0.25">
      <c r="A50" t="s">
        <v>77</v>
      </c>
    </row>
    <row r="51" spans="1:1" x14ac:dyDescent="0.25">
      <c r="A51" t="s">
        <v>78</v>
      </c>
    </row>
    <row r="52" spans="1:1" x14ac:dyDescent="0.25">
      <c r="A52" t="s">
        <v>79</v>
      </c>
    </row>
    <row r="53" spans="1:1" x14ac:dyDescent="0.25">
      <c r="A53" t="s">
        <v>80</v>
      </c>
    </row>
    <row r="54" spans="1:1" x14ac:dyDescent="0.25">
      <c r="A54" t="s">
        <v>81</v>
      </c>
    </row>
    <row r="55" spans="1:1" x14ac:dyDescent="0.25">
      <c r="A55" t="s">
        <v>82</v>
      </c>
    </row>
    <row r="56" spans="1:1" x14ac:dyDescent="0.25">
      <c r="A56" t="s">
        <v>83</v>
      </c>
    </row>
    <row r="57" spans="1:1" x14ac:dyDescent="0.25">
      <c r="A57" t="s">
        <v>84</v>
      </c>
    </row>
    <row r="58" spans="1:1" x14ac:dyDescent="0.25">
      <c r="A58" t="s">
        <v>85</v>
      </c>
    </row>
    <row r="59" spans="1:1" x14ac:dyDescent="0.25">
      <c r="A59" t="s">
        <v>86</v>
      </c>
    </row>
    <row r="60" spans="1:1" x14ac:dyDescent="0.25">
      <c r="A60" t="s">
        <v>87</v>
      </c>
    </row>
    <row r="61" spans="1:1" x14ac:dyDescent="0.25">
      <c r="A61" t="s">
        <v>88</v>
      </c>
    </row>
    <row r="62" spans="1:1" x14ac:dyDescent="0.25">
      <c r="A62" t="s">
        <v>89</v>
      </c>
    </row>
    <row r="63" spans="1:1" x14ac:dyDescent="0.25">
      <c r="A63" t="s">
        <v>90</v>
      </c>
    </row>
    <row r="64" spans="1:1" x14ac:dyDescent="0.25">
      <c r="A64" t="s">
        <v>91</v>
      </c>
    </row>
    <row r="65" spans="1:1" x14ac:dyDescent="0.25">
      <c r="A65" t="s">
        <v>92</v>
      </c>
    </row>
    <row r="66" spans="1:1" x14ac:dyDescent="0.25">
      <c r="A66" t="s">
        <v>93</v>
      </c>
    </row>
    <row r="67" spans="1:1" x14ac:dyDescent="0.25">
      <c r="A67" t="s">
        <v>94</v>
      </c>
    </row>
    <row r="68" spans="1:1" x14ac:dyDescent="0.25">
      <c r="A68" t="s">
        <v>95</v>
      </c>
    </row>
    <row r="69" spans="1:1" x14ac:dyDescent="0.25">
      <c r="A69" t="s">
        <v>96</v>
      </c>
    </row>
    <row r="70" spans="1:1" x14ac:dyDescent="0.25">
      <c r="A70" t="s">
        <v>97</v>
      </c>
    </row>
    <row r="71" spans="1:1" x14ac:dyDescent="0.25">
      <c r="A71" t="s">
        <v>98</v>
      </c>
    </row>
    <row r="72" spans="1:1" x14ac:dyDescent="0.25">
      <c r="A72" t="s">
        <v>99</v>
      </c>
    </row>
    <row r="73" spans="1:1" x14ac:dyDescent="0.25">
      <c r="A73" t="s">
        <v>100</v>
      </c>
    </row>
    <row r="74" spans="1:1" x14ac:dyDescent="0.25">
      <c r="A74" t="s">
        <v>101</v>
      </c>
    </row>
    <row r="75" spans="1:1" x14ac:dyDescent="0.25">
      <c r="A75" t="s">
        <v>102</v>
      </c>
    </row>
    <row r="76" spans="1:1" x14ac:dyDescent="0.25">
      <c r="A76" t="s">
        <v>103</v>
      </c>
    </row>
    <row r="77" spans="1:1" x14ac:dyDescent="0.25">
      <c r="A77" t="s">
        <v>104</v>
      </c>
    </row>
    <row r="78" spans="1:1" x14ac:dyDescent="0.25">
      <c r="A78" t="s">
        <v>105</v>
      </c>
    </row>
    <row r="79" spans="1:1" x14ac:dyDescent="0.25">
      <c r="A79" t="s">
        <v>106</v>
      </c>
    </row>
    <row r="80" spans="1:1" x14ac:dyDescent="0.25">
      <c r="A80" t="s">
        <v>107</v>
      </c>
    </row>
    <row r="81" spans="1:1" x14ac:dyDescent="0.25">
      <c r="A81" t="s">
        <v>143</v>
      </c>
    </row>
    <row r="82" spans="1:1" x14ac:dyDescent="0.25">
      <c r="A82" t="s">
        <v>144</v>
      </c>
    </row>
    <row r="83" spans="1:1" x14ac:dyDescent="0.25">
      <c r="A83" t="s">
        <v>145</v>
      </c>
    </row>
    <row r="84" spans="1:1" x14ac:dyDescent="0.25">
      <c r="A84" t="s">
        <v>182</v>
      </c>
    </row>
    <row r="85" spans="1:1" x14ac:dyDescent="0.25">
      <c r="A85" t="s">
        <v>183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N29"/>
  <sheetViews>
    <sheetView workbookViewId="0">
      <pane ySplit="1" topLeftCell="A6" activePane="bottomLeft" state="frozen"/>
      <selection activeCell="I14" sqref="I14"/>
      <selection pane="bottomLeft" activeCell="A8" sqref="A2:A8"/>
    </sheetView>
  </sheetViews>
  <sheetFormatPr defaultColWidth="8.7109375" defaultRowHeight="15" x14ac:dyDescent="0.25"/>
  <cols>
    <col min="1" max="2" width="8" bestFit="1" customWidth="1"/>
    <col min="3" max="3" width="15.140625" bestFit="1" customWidth="1"/>
    <col min="4" max="4" width="13.7109375" bestFit="1" customWidth="1"/>
  </cols>
  <sheetData>
    <row r="1" spans="1:14" x14ac:dyDescent="0.25">
      <c r="A1" t="s">
        <v>0</v>
      </c>
      <c r="B1" t="s">
        <v>2</v>
      </c>
      <c r="C1" t="s">
        <v>34</v>
      </c>
      <c r="D1" t="s">
        <v>35</v>
      </c>
      <c r="E1" t="s">
        <v>108</v>
      </c>
      <c r="N1" s="6"/>
    </row>
    <row r="2" spans="1:14" x14ac:dyDescent="0.25">
      <c r="A2">
        <v>1</v>
      </c>
      <c r="B2" t="s">
        <v>3</v>
      </c>
      <c r="C2">
        <v>2</v>
      </c>
      <c r="E2">
        <f ca="1">COUNTA(OFFSET(Block[[#This Row],[Block]],0,6,1,2000))</f>
        <v>0</v>
      </c>
    </row>
    <row r="3" spans="1:14" x14ac:dyDescent="0.25">
      <c r="A3">
        <v>2</v>
      </c>
      <c r="B3" t="s">
        <v>3</v>
      </c>
      <c r="C3">
        <v>2</v>
      </c>
      <c r="E3">
        <f ca="1">COUNTA(OFFSET(Block[[#This Row],[Block]],0,6,1,2000))</f>
        <v>0</v>
      </c>
    </row>
    <row r="4" spans="1:14" x14ac:dyDescent="0.25">
      <c r="A4">
        <v>3</v>
      </c>
      <c r="B4" t="s">
        <v>3</v>
      </c>
      <c r="C4">
        <v>2</v>
      </c>
      <c r="E4">
        <f ca="1">COUNTA(OFFSET(Block[[#This Row],[Block]],0,6,1,2000))</f>
        <v>0</v>
      </c>
    </row>
    <row r="5" spans="1:14" x14ac:dyDescent="0.25">
      <c r="A5">
        <v>4</v>
      </c>
      <c r="B5" t="s">
        <v>3</v>
      </c>
      <c r="C5">
        <v>2</v>
      </c>
      <c r="E5">
        <f ca="1">COUNTA(OFFSET(Block[[#This Row],[Block]],0,6,1,2000))</f>
        <v>0</v>
      </c>
    </row>
    <row r="6" spans="1:14" x14ac:dyDescent="0.25">
      <c r="A6">
        <v>5</v>
      </c>
      <c r="B6" t="s">
        <v>3</v>
      </c>
      <c r="C6">
        <v>2</v>
      </c>
      <c r="E6">
        <f ca="1">COUNTA(OFFSET(Block[[#This Row],[Block]],0,6,1,2000))</f>
        <v>0</v>
      </c>
    </row>
    <row r="7" spans="1:14" x14ac:dyDescent="0.25">
      <c r="A7">
        <v>6</v>
      </c>
      <c r="B7" t="s">
        <v>3</v>
      </c>
      <c r="C7">
        <v>2</v>
      </c>
      <c r="E7">
        <f ca="1">COUNTA(OFFSET(Block[[#This Row],[Block]],0,6,1,2000))</f>
        <v>0</v>
      </c>
    </row>
    <row r="8" spans="1:14" x14ac:dyDescent="0.25">
      <c r="A8">
        <v>7</v>
      </c>
      <c r="B8" t="s">
        <v>3</v>
      </c>
      <c r="C8">
        <v>2</v>
      </c>
      <c r="E8">
        <f ca="1">COUNTA(OFFSET(Block[[#This Row],[Block]],0,6,1,2000))</f>
        <v>0</v>
      </c>
    </row>
    <row r="9" spans="1:14" x14ac:dyDescent="0.25">
      <c r="A9">
        <v>8</v>
      </c>
      <c r="B9" t="s">
        <v>3</v>
      </c>
      <c r="D9">
        <v>2</v>
      </c>
      <c r="E9">
        <f ca="1">COUNTA(OFFSET(Block[[#This Row],[Block]],0,6,1,2000))</f>
        <v>0</v>
      </c>
    </row>
    <row r="10" spans="1:14" x14ac:dyDescent="0.25">
      <c r="A10">
        <v>9</v>
      </c>
      <c r="B10" t="s">
        <v>3</v>
      </c>
      <c r="D10">
        <v>2</v>
      </c>
      <c r="E10">
        <f ca="1">COUNTA(OFFSET(Block[[#This Row],[Block]],0,6,1,2000))</f>
        <v>0</v>
      </c>
    </row>
    <row r="11" spans="1:14" x14ac:dyDescent="0.25">
      <c r="A11">
        <v>10</v>
      </c>
      <c r="B11" t="s">
        <v>3</v>
      </c>
      <c r="C11">
        <v>1</v>
      </c>
      <c r="D11">
        <v>1</v>
      </c>
      <c r="E11">
        <f ca="1">COUNTA(OFFSET(Block[[#This Row],[Block]],0,6,1,2000))</f>
        <v>0</v>
      </c>
    </row>
    <row r="12" spans="1:14" x14ac:dyDescent="0.25">
      <c r="A12">
        <v>11</v>
      </c>
      <c r="B12" t="s">
        <v>3</v>
      </c>
      <c r="D12">
        <v>2</v>
      </c>
      <c r="E12">
        <f ca="1">COUNTA(OFFSET(Block[[#This Row],[Block]],0,6,1,2000))</f>
        <v>0</v>
      </c>
    </row>
    <row r="13" spans="1:14" x14ac:dyDescent="0.25">
      <c r="A13">
        <v>12</v>
      </c>
      <c r="B13" t="s">
        <v>3</v>
      </c>
      <c r="D13">
        <v>2</v>
      </c>
      <c r="E13">
        <f ca="1">COUNTA(OFFSET(Block[[#This Row],[Block]],0,6,1,2000))</f>
        <v>0</v>
      </c>
    </row>
    <row r="14" spans="1:14" x14ac:dyDescent="0.25">
      <c r="A14">
        <v>13</v>
      </c>
      <c r="B14" t="s">
        <v>3</v>
      </c>
      <c r="D14">
        <v>2</v>
      </c>
      <c r="E14">
        <f ca="1">COUNTA(OFFSET(Block[[#This Row],[Block]],0,6,1,2000))</f>
        <v>0</v>
      </c>
    </row>
    <row r="15" spans="1:14" x14ac:dyDescent="0.25">
      <c r="A15">
        <v>14</v>
      </c>
      <c r="B15" t="s">
        <v>3</v>
      </c>
      <c r="D15">
        <v>2</v>
      </c>
      <c r="E15">
        <f ca="1">COUNTA(OFFSET(Block[[#This Row],[Block]],0,6,1,2000))</f>
        <v>0</v>
      </c>
    </row>
    <row r="16" spans="1:14" x14ac:dyDescent="0.25">
      <c r="A16">
        <v>15</v>
      </c>
      <c r="B16" t="s">
        <v>3</v>
      </c>
      <c r="D16">
        <v>2</v>
      </c>
      <c r="E16">
        <f ca="1">COUNTA(OFFSET(Block[[#This Row],[Block]],0,6,1,2000))</f>
        <v>0</v>
      </c>
    </row>
    <row r="17" spans="1:5" x14ac:dyDescent="0.25">
      <c r="A17">
        <v>16</v>
      </c>
      <c r="B17" t="s">
        <v>3</v>
      </c>
      <c r="D17">
        <v>2</v>
      </c>
      <c r="E17">
        <f ca="1">COUNTA(OFFSET(Block[[#This Row],[Block]],0,6,1,2000))</f>
        <v>0</v>
      </c>
    </row>
    <row r="18" spans="1:5" x14ac:dyDescent="0.25">
      <c r="A18">
        <v>17</v>
      </c>
      <c r="B18" t="s">
        <v>3</v>
      </c>
      <c r="D18">
        <v>2</v>
      </c>
      <c r="E18">
        <f ca="1">COUNTA(OFFSET(Block[[#This Row],[Block]],0,6,1,2000))</f>
        <v>0</v>
      </c>
    </row>
    <row r="19" spans="1:5" x14ac:dyDescent="0.25">
      <c r="A19">
        <v>18</v>
      </c>
      <c r="B19" t="s">
        <v>3</v>
      </c>
      <c r="D19">
        <v>2</v>
      </c>
      <c r="E19">
        <f ca="1">COUNTA(OFFSET(Block[[#This Row],[Block]],0,6,1,2000))</f>
        <v>0</v>
      </c>
    </row>
    <row r="20" spans="1:5" x14ac:dyDescent="0.25">
      <c r="A20">
        <v>19</v>
      </c>
      <c r="B20" t="s">
        <v>3</v>
      </c>
      <c r="D20">
        <v>2</v>
      </c>
      <c r="E20">
        <f ca="1">COUNTA(OFFSET(Block[[#This Row],[Block]],0,6,1,2000))</f>
        <v>0</v>
      </c>
    </row>
    <row r="21" spans="1:5" x14ac:dyDescent="0.25">
      <c r="A21">
        <v>20</v>
      </c>
      <c r="B21" t="s">
        <v>3</v>
      </c>
      <c r="D21">
        <v>2</v>
      </c>
      <c r="E21">
        <f ca="1">COUNTA(OFFSET(Block[[#This Row],[Block]],0,6,1,2000))</f>
        <v>0</v>
      </c>
    </row>
    <row r="22" spans="1:5" x14ac:dyDescent="0.25">
      <c r="A22">
        <v>21</v>
      </c>
      <c r="B22" t="s">
        <v>5</v>
      </c>
      <c r="D22">
        <v>2</v>
      </c>
      <c r="E22">
        <f ca="1">COUNTA(OFFSET(Block[[#This Row],[Block]],0,6,1,2000))</f>
        <v>0</v>
      </c>
    </row>
    <row r="23" spans="1:5" x14ac:dyDescent="0.25">
      <c r="A23">
        <v>22</v>
      </c>
      <c r="B23" t="s">
        <v>5</v>
      </c>
      <c r="D23">
        <v>2</v>
      </c>
      <c r="E23">
        <f ca="1">COUNTA(OFFSET(Block[[#This Row],[Block]],0,6,1,2000))</f>
        <v>0</v>
      </c>
    </row>
    <row r="24" spans="1:5" x14ac:dyDescent="0.25">
      <c r="A24">
        <v>23</v>
      </c>
      <c r="B24" t="s">
        <v>5</v>
      </c>
      <c r="D24">
        <v>2</v>
      </c>
      <c r="E24">
        <f ca="1">COUNTA(OFFSET(Block[[#This Row],[Block]],0,6,1,2000))</f>
        <v>0</v>
      </c>
    </row>
    <row r="25" spans="1:5" x14ac:dyDescent="0.25">
      <c r="A25">
        <v>24</v>
      </c>
      <c r="B25" t="s">
        <v>5</v>
      </c>
      <c r="D25">
        <v>2</v>
      </c>
      <c r="E25">
        <f ca="1">COUNTA(OFFSET(Block[[#This Row],[Block]],0,6,1,2000))</f>
        <v>0</v>
      </c>
    </row>
    <row r="26" spans="1:5" x14ac:dyDescent="0.25">
      <c r="A26">
        <v>25</v>
      </c>
      <c r="B26" t="s">
        <v>5</v>
      </c>
      <c r="D26">
        <v>2</v>
      </c>
      <c r="E26">
        <f ca="1">COUNTA(OFFSET(Block[[#This Row],[Block]],0,6,1,2000))</f>
        <v>0</v>
      </c>
    </row>
    <row r="27" spans="1:5" x14ac:dyDescent="0.25">
      <c r="A27">
        <v>26</v>
      </c>
      <c r="B27" t="s">
        <v>5</v>
      </c>
      <c r="D27">
        <v>2</v>
      </c>
      <c r="E27">
        <f ca="1">COUNTA(OFFSET(Block[[#This Row],[Block]],0,6,1,2000))</f>
        <v>0</v>
      </c>
    </row>
    <row r="28" spans="1:5" x14ac:dyDescent="0.25">
      <c r="A28">
        <v>27</v>
      </c>
      <c r="B28" t="s">
        <v>5</v>
      </c>
      <c r="D28">
        <v>2</v>
      </c>
      <c r="E28">
        <f ca="1">COUNTA(OFFSET(Block[[#This Row],[Block]],0,6,1,2000))</f>
        <v>0</v>
      </c>
    </row>
    <row r="29" spans="1:5" x14ac:dyDescent="0.25">
      <c r="A29">
        <v>28</v>
      </c>
      <c r="B29" t="s">
        <v>5</v>
      </c>
      <c r="D29">
        <v>2</v>
      </c>
      <c r="E29">
        <f ca="1">COUNTA(OFFSET(Block[[#This Row],[Block]],0,6,1,2000))</f>
        <v>0</v>
      </c>
    </row>
  </sheetData>
  <pageMargins left="0.7" right="0.7" top="0.75" bottom="0.75" header="0.3" footer="0.3"/>
  <pageSetup orientation="portrait" horizontalDpi="4294967292" verticalDpi="429496729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7030A0"/>
  </sheetPr>
  <dimension ref="A1:F106"/>
  <sheetViews>
    <sheetView workbookViewId="0">
      <pane ySplit="1" topLeftCell="A2" activePane="bottomLeft" state="frozen"/>
      <selection pane="bottomLeft" activeCell="C2" sqref="C2:C106"/>
    </sheetView>
  </sheetViews>
  <sheetFormatPr defaultRowHeight="15" x14ac:dyDescent="0.25"/>
  <cols>
    <col min="1" max="1" width="7.140625" bestFit="1" customWidth="1"/>
    <col min="2" max="2" width="7.7109375" bestFit="1" customWidth="1"/>
    <col min="3" max="3" width="19.140625" bestFit="1" customWidth="1"/>
    <col min="4" max="4" width="8.140625" customWidth="1"/>
    <col min="5" max="5" width="14" bestFit="1" customWidth="1"/>
    <col min="6" max="6" width="13.5703125" bestFit="1" customWidth="1"/>
  </cols>
  <sheetData>
    <row r="1" spans="1:6" x14ac:dyDescent="0.25">
      <c r="A1" t="s">
        <v>32</v>
      </c>
      <c r="B1" t="s">
        <v>1</v>
      </c>
      <c r="C1" t="s">
        <v>36</v>
      </c>
      <c r="D1" t="s">
        <v>0</v>
      </c>
      <c r="E1" t="s">
        <v>140</v>
      </c>
      <c r="F1" t="s">
        <v>142</v>
      </c>
    </row>
    <row r="2" spans="1:6" x14ac:dyDescent="0.25">
      <c r="A2" t="s">
        <v>6</v>
      </c>
      <c r="B2">
        <v>100</v>
      </c>
      <c r="C2" t="s">
        <v>336</v>
      </c>
      <c r="D2">
        <v>22</v>
      </c>
      <c r="E2">
        <v>0</v>
      </c>
      <c r="F2">
        <v>7</v>
      </c>
    </row>
    <row r="3" spans="1:6" x14ac:dyDescent="0.25">
      <c r="A3" t="s">
        <v>7</v>
      </c>
      <c r="B3">
        <v>100</v>
      </c>
      <c r="C3" t="s">
        <v>333</v>
      </c>
      <c r="D3">
        <v>25</v>
      </c>
      <c r="E3">
        <v>0</v>
      </c>
      <c r="F3">
        <v>4</v>
      </c>
    </row>
    <row r="4" spans="1:6" x14ac:dyDescent="0.25">
      <c r="A4" t="s">
        <v>8</v>
      </c>
      <c r="B4">
        <v>100</v>
      </c>
      <c r="C4" t="s">
        <v>332</v>
      </c>
      <c r="D4">
        <v>28</v>
      </c>
      <c r="E4">
        <v>0</v>
      </c>
      <c r="F4">
        <v>1</v>
      </c>
    </row>
    <row r="5" spans="1:6" x14ac:dyDescent="0.25">
      <c r="A5" t="s">
        <v>9</v>
      </c>
      <c r="B5">
        <v>100</v>
      </c>
      <c r="C5" t="s">
        <v>303</v>
      </c>
      <c r="D5">
        <v>25</v>
      </c>
      <c r="E5">
        <v>0</v>
      </c>
      <c r="F5">
        <v>4</v>
      </c>
    </row>
    <row r="6" spans="1:6" x14ac:dyDescent="0.25">
      <c r="A6" t="s">
        <v>10</v>
      </c>
      <c r="B6">
        <v>100</v>
      </c>
      <c r="C6" t="s">
        <v>320</v>
      </c>
      <c r="D6">
        <v>21</v>
      </c>
      <c r="E6">
        <v>0</v>
      </c>
      <c r="F6">
        <v>8</v>
      </c>
    </row>
    <row r="7" spans="1:6" x14ac:dyDescent="0.25">
      <c r="A7" t="s">
        <v>11</v>
      </c>
      <c r="B7">
        <v>100</v>
      </c>
      <c r="C7" t="s">
        <v>341</v>
      </c>
      <c r="D7">
        <v>23</v>
      </c>
      <c r="E7">
        <v>0</v>
      </c>
      <c r="F7">
        <v>6</v>
      </c>
    </row>
    <row r="8" spans="1:6" x14ac:dyDescent="0.25">
      <c r="A8" t="s">
        <v>12</v>
      </c>
      <c r="B8">
        <v>100</v>
      </c>
      <c r="C8" t="s">
        <v>338</v>
      </c>
      <c r="D8">
        <v>28</v>
      </c>
      <c r="E8">
        <v>0</v>
      </c>
      <c r="F8">
        <v>1</v>
      </c>
    </row>
    <row r="9" spans="1:6" x14ac:dyDescent="0.25">
      <c r="A9" t="s">
        <v>13</v>
      </c>
      <c r="B9">
        <v>100</v>
      </c>
      <c r="C9" t="s">
        <v>294</v>
      </c>
      <c r="D9">
        <v>26</v>
      </c>
      <c r="E9">
        <v>0</v>
      </c>
      <c r="F9">
        <v>3</v>
      </c>
    </row>
    <row r="10" spans="1:6" x14ac:dyDescent="0.25">
      <c r="A10" t="s">
        <v>14</v>
      </c>
      <c r="B10">
        <v>100</v>
      </c>
      <c r="C10" t="s">
        <v>339</v>
      </c>
      <c r="D10">
        <v>27</v>
      </c>
      <c r="E10">
        <v>0</v>
      </c>
      <c r="F10">
        <v>2</v>
      </c>
    </row>
    <row r="11" spans="1:6" x14ac:dyDescent="0.25">
      <c r="A11" t="s">
        <v>15</v>
      </c>
      <c r="B11">
        <v>100</v>
      </c>
      <c r="C11" t="s">
        <v>308</v>
      </c>
      <c r="D11">
        <v>27</v>
      </c>
      <c r="E11">
        <v>0</v>
      </c>
      <c r="F11">
        <v>2</v>
      </c>
    </row>
    <row r="12" spans="1:6" x14ac:dyDescent="0.25">
      <c r="A12" t="s">
        <v>16</v>
      </c>
      <c r="B12">
        <v>100</v>
      </c>
      <c r="C12" t="s">
        <v>335</v>
      </c>
      <c r="D12">
        <v>24</v>
      </c>
      <c r="E12">
        <v>0</v>
      </c>
      <c r="F12">
        <v>5</v>
      </c>
    </row>
    <row r="13" spans="1:6" x14ac:dyDescent="0.25">
      <c r="A13" t="s">
        <v>17</v>
      </c>
      <c r="B13">
        <v>100</v>
      </c>
      <c r="C13" t="s">
        <v>324</v>
      </c>
      <c r="D13">
        <v>26</v>
      </c>
      <c r="E13">
        <v>0</v>
      </c>
      <c r="F13">
        <v>3</v>
      </c>
    </row>
    <row r="14" spans="1:6" x14ac:dyDescent="0.25">
      <c r="A14" t="s">
        <v>143</v>
      </c>
      <c r="B14">
        <v>100</v>
      </c>
      <c r="C14" t="s">
        <v>293</v>
      </c>
      <c r="D14">
        <v>8</v>
      </c>
      <c r="E14">
        <v>0</v>
      </c>
      <c r="F14">
        <v>13</v>
      </c>
    </row>
    <row r="15" spans="1:6" x14ac:dyDescent="0.25">
      <c r="A15" t="s">
        <v>143</v>
      </c>
      <c r="B15">
        <v>200</v>
      </c>
      <c r="C15" t="s">
        <v>293</v>
      </c>
      <c r="D15">
        <v>2</v>
      </c>
      <c r="E15">
        <v>0</v>
      </c>
      <c r="F15">
        <v>18</v>
      </c>
    </row>
    <row r="16" spans="1:6" x14ac:dyDescent="0.25">
      <c r="A16" t="s">
        <v>143</v>
      </c>
      <c r="B16">
        <v>300</v>
      </c>
      <c r="C16" t="s">
        <v>293</v>
      </c>
      <c r="D16">
        <v>1</v>
      </c>
      <c r="E16">
        <v>0</v>
      </c>
      <c r="F16">
        <v>19</v>
      </c>
    </row>
    <row r="17" spans="1:6" x14ac:dyDescent="0.25">
      <c r="A17" t="s">
        <v>143</v>
      </c>
      <c r="B17">
        <v>400</v>
      </c>
      <c r="C17" t="s">
        <v>293</v>
      </c>
      <c r="D17">
        <v>3</v>
      </c>
      <c r="E17">
        <v>0</v>
      </c>
      <c r="F17">
        <v>17</v>
      </c>
    </row>
    <row r="18" spans="1:6" x14ac:dyDescent="0.25">
      <c r="A18" t="s">
        <v>144</v>
      </c>
      <c r="B18">
        <v>100</v>
      </c>
      <c r="C18" t="s">
        <v>302</v>
      </c>
      <c r="D18">
        <v>12</v>
      </c>
      <c r="E18">
        <v>0</v>
      </c>
      <c r="F18">
        <v>9</v>
      </c>
    </row>
    <row r="19" spans="1:6" x14ac:dyDescent="0.25">
      <c r="A19" t="s">
        <v>144</v>
      </c>
      <c r="B19">
        <v>200</v>
      </c>
      <c r="C19" t="s">
        <v>302</v>
      </c>
      <c r="D19">
        <v>13</v>
      </c>
      <c r="E19">
        <v>0</v>
      </c>
      <c r="F19">
        <v>8</v>
      </c>
    </row>
    <row r="20" spans="1:6" x14ac:dyDescent="0.25">
      <c r="A20" t="s">
        <v>144</v>
      </c>
      <c r="B20">
        <v>300</v>
      </c>
      <c r="C20" t="s">
        <v>302</v>
      </c>
      <c r="D20">
        <v>7</v>
      </c>
      <c r="E20">
        <v>0</v>
      </c>
      <c r="F20">
        <v>14</v>
      </c>
    </row>
    <row r="21" spans="1:6" x14ac:dyDescent="0.25">
      <c r="A21" t="s">
        <v>144</v>
      </c>
      <c r="B21">
        <v>400</v>
      </c>
      <c r="C21" t="s">
        <v>302</v>
      </c>
      <c r="D21">
        <v>16</v>
      </c>
      <c r="E21">
        <v>0</v>
      </c>
      <c r="F21">
        <v>5</v>
      </c>
    </row>
    <row r="22" spans="1:6" x14ac:dyDescent="0.25">
      <c r="A22" t="s">
        <v>145</v>
      </c>
      <c r="B22">
        <v>100</v>
      </c>
      <c r="C22" t="s">
        <v>300</v>
      </c>
      <c r="D22">
        <v>9</v>
      </c>
      <c r="E22">
        <v>0</v>
      </c>
      <c r="F22">
        <v>12</v>
      </c>
    </row>
    <row r="23" spans="1:6" x14ac:dyDescent="0.25">
      <c r="A23" t="s">
        <v>145</v>
      </c>
      <c r="B23">
        <v>200</v>
      </c>
      <c r="C23" t="s">
        <v>300</v>
      </c>
      <c r="D23">
        <v>6</v>
      </c>
      <c r="E23">
        <v>0</v>
      </c>
      <c r="F23">
        <v>14</v>
      </c>
    </row>
    <row r="24" spans="1:6" x14ac:dyDescent="0.25">
      <c r="A24" t="s">
        <v>145</v>
      </c>
      <c r="B24">
        <v>300</v>
      </c>
      <c r="C24" t="s">
        <v>300</v>
      </c>
      <c r="D24">
        <v>4</v>
      </c>
      <c r="E24">
        <v>0</v>
      </c>
      <c r="F24">
        <v>16</v>
      </c>
    </row>
    <row r="25" spans="1:6" x14ac:dyDescent="0.25">
      <c r="A25" t="s">
        <v>145</v>
      </c>
      <c r="B25">
        <v>400</v>
      </c>
      <c r="C25" t="s">
        <v>300</v>
      </c>
      <c r="D25">
        <v>5</v>
      </c>
      <c r="E25">
        <v>0</v>
      </c>
      <c r="F25">
        <v>15</v>
      </c>
    </row>
    <row r="26" spans="1:6" x14ac:dyDescent="0.25">
      <c r="A26" t="s">
        <v>182</v>
      </c>
      <c r="B26">
        <v>100</v>
      </c>
      <c r="C26" t="s">
        <v>317</v>
      </c>
      <c r="D26">
        <v>19</v>
      </c>
      <c r="E26">
        <v>0</v>
      </c>
      <c r="F26">
        <v>2</v>
      </c>
    </row>
    <row r="27" spans="1:6" x14ac:dyDescent="0.25">
      <c r="A27" t="s">
        <v>182</v>
      </c>
      <c r="B27">
        <v>200</v>
      </c>
      <c r="C27" t="s">
        <v>317</v>
      </c>
      <c r="D27">
        <v>10</v>
      </c>
      <c r="E27">
        <v>0</v>
      </c>
      <c r="F27">
        <v>10</v>
      </c>
    </row>
    <row r="28" spans="1:6" x14ac:dyDescent="0.25">
      <c r="A28" t="s">
        <v>182</v>
      </c>
      <c r="B28">
        <v>300</v>
      </c>
      <c r="C28" t="s">
        <v>317</v>
      </c>
      <c r="D28">
        <v>20</v>
      </c>
      <c r="E28">
        <v>0</v>
      </c>
      <c r="F28">
        <v>1</v>
      </c>
    </row>
    <row r="29" spans="1:6" x14ac:dyDescent="0.25">
      <c r="A29" t="s">
        <v>182</v>
      </c>
      <c r="B29">
        <v>400</v>
      </c>
      <c r="C29" t="s">
        <v>317</v>
      </c>
      <c r="D29">
        <v>3</v>
      </c>
      <c r="E29">
        <v>0</v>
      </c>
      <c r="F29">
        <v>17</v>
      </c>
    </row>
    <row r="30" spans="1:6" x14ac:dyDescent="0.25">
      <c r="A30" t="s">
        <v>183</v>
      </c>
      <c r="B30">
        <v>100</v>
      </c>
      <c r="C30" t="s">
        <v>314</v>
      </c>
      <c r="D30">
        <v>11</v>
      </c>
      <c r="E30">
        <v>0</v>
      </c>
      <c r="F30">
        <v>2</v>
      </c>
    </row>
    <row r="31" spans="1:6" x14ac:dyDescent="0.25">
      <c r="A31" t="s">
        <v>183</v>
      </c>
      <c r="B31">
        <v>200</v>
      </c>
      <c r="C31" t="s">
        <v>314</v>
      </c>
      <c r="D31">
        <v>1</v>
      </c>
      <c r="E31">
        <v>0</v>
      </c>
      <c r="F31">
        <v>19</v>
      </c>
    </row>
    <row r="32" spans="1:6" x14ac:dyDescent="0.25">
      <c r="A32" t="s">
        <v>183</v>
      </c>
      <c r="B32">
        <v>300</v>
      </c>
      <c r="C32" t="s">
        <v>314</v>
      </c>
      <c r="D32">
        <v>18</v>
      </c>
      <c r="E32">
        <v>0</v>
      </c>
      <c r="F32">
        <v>5</v>
      </c>
    </row>
    <row r="33" spans="1:6" x14ac:dyDescent="0.25">
      <c r="A33" t="s">
        <v>183</v>
      </c>
      <c r="B33">
        <v>400</v>
      </c>
      <c r="C33" t="s">
        <v>314</v>
      </c>
      <c r="D33">
        <v>15</v>
      </c>
      <c r="E33">
        <v>0</v>
      </c>
      <c r="F33">
        <v>1</v>
      </c>
    </row>
    <row r="34" spans="1:6" x14ac:dyDescent="0.25">
      <c r="A34" t="s">
        <v>41</v>
      </c>
      <c r="B34">
        <v>100</v>
      </c>
      <c r="C34" t="s">
        <v>340</v>
      </c>
      <c r="D34">
        <v>6</v>
      </c>
      <c r="E34">
        <v>0</v>
      </c>
      <c r="F34">
        <v>15</v>
      </c>
    </row>
    <row r="35" spans="1:6" x14ac:dyDescent="0.25">
      <c r="A35" t="s">
        <v>41</v>
      </c>
      <c r="B35">
        <v>200</v>
      </c>
      <c r="C35" t="s">
        <v>340</v>
      </c>
      <c r="D35">
        <v>19</v>
      </c>
      <c r="E35">
        <v>0</v>
      </c>
      <c r="F35">
        <v>2</v>
      </c>
    </row>
    <row r="36" spans="1:6" x14ac:dyDescent="0.25">
      <c r="A36" t="s">
        <v>41</v>
      </c>
      <c r="B36">
        <v>300</v>
      </c>
      <c r="C36" t="s">
        <v>340</v>
      </c>
      <c r="D36">
        <v>20</v>
      </c>
      <c r="E36">
        <v>0</v>
      </c>
      <c r="F36">
        <v>1</v>
      </c>
    </row>
    <row r="37" spans="1:6" x14ac:dyDescent="0.25">
      <c r="A37" t="s">
        <v>42</v>
      </c>
      <c r="B37">
        <v>100</v>
      </c>
      <c r="C37" t="s">
        <v>334</v>
      </c>
      <c r="D37">
        <v>7</v>
      </c>
      <c r="E37">
        <v>0</v>
      </c>
      <c r="F37">
        <v>14</v>
      </c>
    </row>
    <row r="38" spans="1:6" x14ac:dyDescent="0.25">
      <c r="A38" t="s">
        <v>42</v>
      </c>
      <c r="B38">
        <v>200</v>
      </c>
      <c r="C38" t="s">
        <v>334</v>
      </c>
      <c r="D38">
        <v>11</v>
      </c>
      <c r="E38">
        <v>0</v>
      </c>
      <c r="F38">
        <v>10</v>
      </c>
    </row>
    <row r="39" spans="1:6" x14ac:dyDescent="0.25">
      <c r="A39" t="s">
        <v>42</v>
      </c>
      <c r="B39">
        <v>300</v>
      </c>
      <c r="C39" t="s">
        <v>334</v>
      </c>
      <c r="D39">
        <v>9</v>
      </c>
      <c r="E39">
        <v>0</v>
      </c>
      <c r="F39">
        <v>12</v>
      </c>
    </row>
    <row r="40" spans="1:6" x14ac:dyDescent="0.25">
      <c r="A40" t="s">
        <v>43</v>
      </c>
      <c r="B40">
        <v>100</v>
      </c>
      <c r="C40" t="s">
        <v>321</v>
      </c>
      <c r="D40">
        <v>2</v>
      </c>
      <c r="E40">
        <v>0</v>
      </c>
      <c r="F40">
        <v>18</v>
      </c>
    </row>
    <row r="41" spans="1:6" x14ac:dyDescent="0.25">
      <c r="A41" t="s">
        <v>43</v>
      </c>
      <c r="B41">
        <v>200</v>
      </c>
      <c r="C41" t="s">
        <v>306</v>
      </c>
      <c r="D41">
        <v>16</v>
      </c>
      <c r="E41">
        <v>0</v>
      </c>
      <c r="F41">
        <v>5</v>
      </c>
    </row>
    <row r="42" spans="1:6" x14ac:dyDescent="0.25">
      <c r="A42" t="s">
        <v>43</v>
      </c>
      <c r="B42">
        <v>300</v>
      </c>
      <c r="C42" t="s">
        <v>321</v>
      </c>
      <c r="D42">
        <v>18</v>
      </c>
      <c r="E42">
        <v>0</v>
      </c>
      <c r="F42">
        <v>3</v>
      </c>
    </row>
    <row r="43" spans="1:6" x14ac:dyDescent="0.25">
      <c r="A43" t="s">
        <v>44</v>
      </c>
      <c r="B43">
        <v>100</v>
      </c>
      <c r="C43" t="s">
        <v>304</v>
      </c>
      <c r="D43">
        <v>10</v>
      </c>
      <c r="E43">
        <v>-1</v>
      </c>
      <c r="F43">
        <v>11</v>
      </c>
    </row>
    <row r="44" spans="1:6" x14ac:dyDescent="0.25">
      <c r="A44" t="s">
        <v>45</v>
      </c>
      <c r="B44">
        <v>100</v>
      </c>
      <c r="C44" t="s">
        <v>326</v>
      </c>
      <c r="D44">
        <v>12</v>
      </c>
      <c r="E44">
        <v>0</v>
      </c>
      <c r="F44">
        <v>9</v>
      </c>
    </row>
    <row r="45" spans="1:6" x14ac:dyDescent="0.25">
      <c r="A45" t="s">
        <v>46</v>
      </c>
      <c r="B45">
        <v>100</v>
      </c>
      <c r="C45" t="s">
        <v>331</v>
      </c>
      <c r="D45">
        <v>3</v>
      </c>
      <c r="E45">
        <v>0</v>
      </c>
      <c r="F45">
        <v>17</v>
      </c>
    </row>
    <row r="46" spans="1:6" x14ac:dyDescent="0.25">
      <c r="A46" t="s">
        <v>47</v>
      </c>
      <c r="B46">
        <v>100</v>
      </c>
      <c r="C46" t="s">
        <v>298</v>
      </c>
      <c r="D46">
        <v>19</v>
      </c>
      <c r="E46">
        <v>0</v>
      </c>
      <c r="F46">
        <v>2</v>
      </c>
    </row>
    <row r="47" spans="1:6" x14ac:dyDescent="0.25">
      <c r="A47" t="s">
        <v>48</v>
      </c>
      <c r="B47">
        <v>100</v>
      </c>
      <c r="C47" t="s">
        <v>325</v>
      </c>
      <c r="D47">
        <v>6</v>
      </c>
      <c r="E47">
        <v>0</v>
      </c>
      <c r="F47">
        <v>14</v>
      </c>
    </row>
    <row r="48" spans="1:6" x14ac:dyDescent="0.25">
      <c r="A48" t="s">
        <v>49</v>
      </c>
      <c r="B48">
        <v>100</v>
      </c>
      <c r="C48" t="s">
        <v>305</v>
      </c>
      <c r="D48">
        <v>11</v>
      </c>
      <c r="E48">
        <v>0</v>
      </c>
      <c r="F48">
        <v>10</v>
      </c>
    </row>
    <row r="49" spans="1:6" x14ac:dyDescent="0.25">
      <c r="A49" t="s">
        <v>50</v>
      </c>
      <c r="B49">
        <v>100</v>
      </c>
      <c r="C49" t="s">
        <v>323</v>
      </c>
      <c r="D49">
        <v>20</v>
      </c>
      <c r="E49">
        <v>0</v>
      </c>
      <c r="F49">
        <v>1</v>
      </c>
    </row>
    <row r="50" spans="1:6" x14ac:dyDescent="0.25">
      <c r="A50" t="s">
        <v>51</v>
      </c>
      <c r="B50">
        <v>100</v>
      </c>
      <c r="C50" t="s">
        <v>323</v>
      </c>
      <c r="D50">
        <v>12</v>
      </c>
      <c r="E50">
        <v>0</v>
      </c>
      <c r="F50">
        <v>8</v>
      </c>
    </row>
    <row r="51" spans="1:6" x14ac:dyDescent="0.25">
      <c r="A51" t="s">
        <v>52</v>
      </c>
      <c r="B51">
        <v>100</v>
      </c>
      <c r="C51" t="s">
        <v>297</v>
      </c>
      <c r="D51">
        <v>8</v>
      </c>
      <c r="E51">
        <v>0</v>
      </c>
      <c r="F51">
        <v>13</v>
      </c>
    </row>
    <row r="52" spans="1:6" x14ac:dyDescent="0.25">
      <c r="A52" t="s">
        <v>53</v>
      </c>
      <c r="B52">
        <v>100</v>
      </c>
      <c r="C52" t="s">
        <v>328</v>
      </c>
      <c r="D52">
        <v>16</v>
      </c>
      <c r="E52">
        <v>0</v>
      </c>
      <c r="F52">
        <v>5</v>
      </c>
    </row>
    <row r="53" spans="1:6" x14ac:dyDescent="0.25">
      <c r="A53" t="s">
        <v>54</v>
      </c>
      <c r="B53">
        <v>100</v>
      </c>
      <c r="C53" t="s">
        <v>337</v>
      </c>
      <c r="D53">
        <v>14</v>
      </c>
      <c r="E53">
        <v>0</v>
      </c>
      <c r="F53">
        <v>7</v>
      </c>
    </row>
    <row r="54" spans="1:6" x14ac:dyDescent="0.25">
      <c r="A54" t="s">
        <v>55</v>
      </c>
      <c r="B54">
        <v>100</v>
      </c>
      <c r="C54" t="s">
        <v>322</v>
      </c>
      <c r="D54">
        <v>19</v>
      </c>
      <c r="E54">
        <v>0</v>
      </c>
      <c r="F54">
        <v>2</v>
      </c>
    </row>
    <row r="55" spans="1:6" x14ac:dyDescent="0.25">
      <c r="A55" t="s">
        <v>56</v>
      </c>
      <c r="B55">
        <v>100</v>
      </c>
      <c r="C55" t="s">
        <v>294</v>
      </c>
      <c r="D55">
        <v>12</v>
      </c>
      <c r="E55">
        <v>0</v>
      </c>
      <c r="F55">
        <v>9</v>
      </c>
    </row>
    <row r="56" spans="1:6" x14ac:dyDescent="0.25">
      <c r="A56" t="s">
        <v>57</v>
      </c>
      <c r="B56">
        <v>100</v>
      </c>
      <c r="C56" t="s">
        <v>312</v>
      </c>
      <c r="D56">
        <v>15</v>
      </c>
      <c r="E56">
        <v>0</v>
      </c>
      <c r="F56">
        <v>5</v>
      </c>
    </row>
    <row r="57" spans="1:6" x14ac:dyDescent="0.25">
      <c r="A57" t="s">
        <v>58</v>
      </c>
      <c r="B57">
        <v>100</v>
      </c>
      <c r="C57" t="s">
        <v>313</v>
      </c>
      <c r="D57">
        <v>7</v>
      </c>
      <c r="E57">
        <v>0</v>
      </c>
      <c r="F57">
        <v>13</v>
      </c>
    </row>
    <row r="58" spans="1:6" x14ac:dyDescent="0.25">
      <c r="A58" t="s">
        <v>59</v>
      </c>
      <c r="B58">
        <v>100</v>
      </c>
      <c r="C58" t="s">
        <v>327</v>
      </c>
      <c r="D58">
        <v>9</v>
      </c>
      <c r="E58">
        <v>0</v>
      </c>
      <c r="F58">
        <v>12</v>
      </c>
    </row>
    <row r="59" spans="1:6" x14ac:dyDescent="0.25">
      <c r="A59" t="s">
        <v>60</v>
      </c>
      <c r="B59">
        <v>100</v>
      </c>
      <c r="C59" t="s">
        <v>304</v>
      </c>
      <c r="D59">
        <v>5</v>
      </c>
      <c r="E59">
        <v>-1</v>
      </c>
      <c r="F59">
        <v>16</v>
      </c>
    </row>
    <row r="60" spans="1:6" x14ac:dyDescent="0.25">
      <c r="A60" t="s">
        <v>61</v>
      </c>
      <c r="B60">
        <v>100</v>
      </c>
      <c r="C60" t="s">
        <v>296</v>
      </c>
      <c r="D60">
        <v>14</v>
      </c>
      <c r="E60">
        <v>0</v>
      </c>
      <c r="F60">
        <v>7</v>
      </c>
    </row>
    <row r="61" spans="1:6" x14ac:dyDescent="0.25">
      <c r="A61" t="s">
        <v>62</v>
      </c>
      <c r="B61">
        <v>100</v>
      </c>
      <c r="C61" t="s">
        <v>304</v>
      </c>
      <c r="D61">
        <v>17</v>
      </c>
      <c r="E61">
        <v>-1</v>
      </c>
      <c r="F61">
        <v>4</v>
      </c>
    </row>
    <row r="62" spans="1:6" x14ac:dyDescent="0.25">
      <c r="A62" t="s">
        <v>63</v>
      </c>
      <c r="B62">
        <v>100</v>
      </c>
      <c r="C62" t="s">
        <v>311</v>
      </c>
      <c r="D62">
        <v>17</v>
      </c>
      <c r="E62">
        <v>0</v>
      </c>
      <c r="F62">
        <v>4</v>
      </c>
    </row>
    <row r="63" spans="1:6" x14ac:dyDescent="0.25">
      <c r="A63" t="s">
        <v>64</v>
      </c>
      <c r="B63">
        <v>100</v>
      </c>
      <c r="C63" t="s">
        <v>326</v>
      </c>
      <c r="D63">
        <v>13</v>
      </c>
      <c r="E63">
        <v>0</v>
      </c>
      <c r="F63">
        <v>8</v>
      </c>
    </row>
    <row r="64" spans="1:6" x14ac:dyDescent="0.25">
      <c r="A64" t="s">
        <v>65</v>
      </c>
      <c r="B64">
        <v>100</v>
      </c>
      <c r="C64" t="s">
        <v>332</v>
      </c>
      <c r="D64">
        <v>14</v>
      </c>
      <c r="E64">
        <v>0</v>
      </c>
      <c r="F64">
        <v>7</v>
      </c>
    </row>
    <row r="65" spans="1:6" x14ac:dyDescent="0.25">
      <c r="A65" t="s">
        <v>66</v>
      </c>
      <c r="B65">
        <v>100</v>
      </c>
      <c r="C65" t="s">
        <v>311</v>
      </c>
      <c r="D65">
        <v>11</v>
      </c>
      <c r="E65">
        <v>0</v>
      </c>
      <c r="F65">
        <v>10</v>
      </c>
    </row>
    <row r="66" spans="1:6" x14ac:dyDescent="0.25">
      <c r="A66" t="s">
        <v>67</v>
      </c>
      <c r="B66">
        <v>100</v>
      </c>
      <c r="C66" t="s">
        <v>303</v>
      </c>
      <c r="D66">
        <v>19</v>
      </c>
      <c r="E66">
        <v>0</v>
      </c>
      <c r="F66">
        <v>1</v>
      </c>
    </row>
    <row r="67" spans="1:6" x14ac:dyDescent="0.25">
      <c r="A67" t="s">
        <v>68</v>
      </c>
      <c r="B67">
        <v>100</v>
      </c>
      <c r="C67" t="s">
        <v>333</v>
      </c>
      <c r="D67">
        <v>14</v>
      </c>
      <c r="E67">
        <v>0</v>
      </c>
      <c r="F67">
        <v>1</v>
      </c>
    </row>
    <row r="68" spans="1:6" x14ac:dyDescent="0.25">
      <c r="A68" t="s">
        <v>69</v>
      </c>
      <c r="B68">
        <v>100</v>
      </c>
      <c r="C68" t="s">
        <v>301</v>
      </c>
      <c r="D68">
        <v>17</v>
      </c>
      <c r="E68">
        <v>0</v>
      </c>
      <c r="F68">
        <v>4</v>
      </c>
    </row>
    <row r="69" spans="1:6" x14ac:dyDescent="0.25">
      <c r="A69" t="s">
        <v>70</v>
      </c>
      <c r="B69">
        <v>100</v>
      </c>
      <c r="C69" t="s">
        <v>309</v>
      </c>
      <c r="D69">
        <v>8</v>
      </c>
      <c r="E69">
        <v>0</v>
      </c>
      <c r="F69">
        <v>12</v>
      </c>
    </row>
    <row r="70" spans="1:6" x14ac:dyDescent="0.25">
      <c r="A70" t="s">
        <v>71</v>
      </c>
      <c r="B70">
        <v>100</v>
      </c>
      <c r="C70" t="s">
        <v>297</v>
      </c>
      <c r="D70">
        <v>13</v>
      </c>
      <c r="E70">
        <v>0</v>
      </c>
      <c r="F70">
        <v>8</v>
      </c>
    </row>
    <row r="71" spans="1:6" x14ac:dyDescent="0.25">
      <c r="A71" t="s">
        <v>72</v>
      </c>
      <c r="B71">
        <v>100</v>
      </c>
      <c r="C71" t="s">
        <v>336</v>
      </c>
      <c r="D71">
        <v>13</v>
      </c>
      <c r="E71">
        <v>0</v>
      </c>
      <c r="F71">
        <v>7</v>
      </c>
    </row>
    <row r="72" spans="1:6" x14ac:dyDescent="0.25">
      <c r="A72" t="s">
        <v>73</v>
      </c>
      <c r="B72">
        <v>100</v>
      </c>
      <c r="C72" t="s">
        <v>334</v>
      </c>
      <c r="D72">
        <v>8</v>
      </c>
      <c r="E72">
        <v>0</v>
      </c>
      <c r="F72">
        <v>13</v>
      </c>
    </row>
    <row r="73" spans="1:6" x14ac:dyDescent="0.25">
      <c r="A73" t="s">
        <v>74</v>
      </c>
      <c r="B73">
        <v>100</v>
      </c>
      <c r="C73" t="s">
        <v>294</v>
      </c>
      <c r="D73">
        <v>17</v>
      </c>
      <c r="E73">
        <v>0</v>
      </c>
      <c r="F73">
        <v>4</v>
      </c>
    </row>
    <row r="74" spans="1:6" x14ac:dyDescent="0.25">
      <c r="A74" t="s">
        <v>75</v>
      </c>
      <c r="B74">
        <v>100</v>
      </c>
      <c r="C74" t="s">
        <v>316</v>
      </c>
      <c r="D74">
        <v>6</v>
      </c>
      <c r="E74">
        <v>0</v>
      </c>
      <c r="F74">
        <v>15</v>
      </c>
    </row>
    <row r="75" spans="1:6" x14ac:dyDescent="0.25">
      <c r="A75" t="s">
        <v>76</v>
      </c>
      <c r="B75">
        <v>100</v>
      </c>
      <c r="C75" t="s">
        <v>329</v>
      </c>
      <c r="D75">
        <v>14</v>
      </c>
      <c r="E75">
        <v>0</v>
      </c>
      <c r="F75">
        <v>6</v>
      </c>
    </row>
    <row r="76" spans="1:6" x14ac:dyDescent="0.25">
      <c r="A76" t="s">
        <v>77</v>
      </c>
      <c r="B76">
        <v>100</v>
      </c>
      <c r="C76" t="s">
        <v>298</v>
      </c>
      <c r="D76">
        <v>10</v>
      </c>
      <c r="E76">
        <v>0</v>
      </c>
      <c r="F76">
        <v>10</v>
      </c>
    </row>
    <row r="77" spans="1:6" x14ac:dyDescent="0.25">
      <c r="A77" t="s">
        <v>78</v>
      </c>
      <c r="B77">
        <v>100</v>
      </c>
      <c r="C77" t="s">
        <v>322</v>
      </c>
      <c r="D77">
        <v>18</v>
      </c>
      <c r="E77">
        <v>0</v>
      </c>
      <c r="F77">
        <v>3</v>
      </c>
    </row>
    <row r="78" spans="1:6" x14ac:dyDescent="0.25">
      <c r="A78" t="s">
        <v>79</v>
      </c>
      <c r="B78">
        <v>100</v>
      </c>
      <c r="C78" t="s">
        <v>296</v>
      </c>
      <c r="D78">
        <v>16</v>
      </c>
      <c r="E78">
        <v>0</v>
      </c>
      <c r="F78">
        <v>5</v>
      </c>
    </row>
    <row r="79" spans="1:6" x14ac:dyDescent="0.25">
      <c r="A79" t="s">
        <v>80</v>
      </c>
      <c r="B79">
        <v>100</v>
      </c>
      <c r="C79" t="s">
        <v>319</v>
      </c>
      <c r="D79">
        <v>5</v>
      </c>
      <c r="E79">
        <v>0</v>
      </c>
      <c r="F79">
        <v>15</v>
      </c>
    </row>
    <row r="80" spans="1:6" x14ac:dyDescent="0.25">
      <c r="A80" t="s">
        <v>81</v>
      </c>
      <c r="B80">
        <v>100</v>
      </c>
      <c r="C80" t="s">
        <v>325</v>
      </c>
      <c r="D80">
        <v>8</v>
      </c>
      <c r="E80">
        <v>0</v>
      </c>
      <c r="F80">
        <v>12</v>
      </c>
    </row>
    <row r="81" spans="1:6" x14ac:dyDescent="0.25">
      <c r="A81" t="s">
        <v>82</v>
      </c>
      <c r="B81">
        <v>100</v>
      </c>
      <c r="C81" t="s">
        <v>305</v>
      </c>
      <c r="D81">
        <v>9</v>
      </c>
      <c r="E81">
        <v>0</v>
      </c>
      <c r="F81">
        <v>12</v>
      </c>
    </row>
    <row r="82" spans="1:6" x14ac:dyDescent="0.25">
      <c r="A82" t="s">
        <v>83</v>
      </c>
      <c r="B82">
        <v>100</v>
      </c>
      <c r="C82" t="s">
        <v>318</v>
      </c>
      <c r="D82">
        <v>16</v>
      </c>
      <c r="E82">
        <v>0</v>
      </c>
      <c r="F82">
        <v>5</v>
      </c>
    </row>
    <row r="83" spans="1:6" x14ac:dyDescent="0.25">
      <c r="A83" t="s">
        <v>84</v>
      </c>
      <c r="B83">
        <v>100</v>
      </c>
      <c r="C83" t="s">
        <v>313</v>
      </c>
      <c r="D83">
        <v>5</v>
      </c>
      <c r="E83">
        <v>0</v>
      </c>
      <c r="F83">
        <v>15</v>
      </c>
    </row>
    <row r="84" spans="1:6" x14ac:dyDescent="0.25">
      <c r="A84" t="s">
        <v>85</v>
      </c>
      <c r="B84">
        <v>100</v>
      </c>
      <c r="C84" t="s">
        <v>306</v>
      </c>
      <c r="D84">
        <v>15</v>
      </c>
      <c r="E84">
        <v>0</v>
      </c>
      <c r="F84">
        <v>6</v>
      </c>
    </row>
    <row r="85" spans="1:6" x14ac:dyDescent="0.25">
      <c r="A85" t="s">
        <v>86</v>
      </c>
      <c r="B85">
        <v>100</v>
      </c>
      <c r="C85" t="s">
        <v>309</v>
      </c>
      <c r="D85">
        <v>11</v>
      </c>
      <c r="E85">
        <v>0</v>
      </c>
      <c r="F85">
        <v>9</v>
      </c>
    </row>
    <row r="86" spans="1:6" x14ac:dyDescent="0.25">
      <c r="A86" t="s">
        <v>87</v>
      </c>
      <c r="B86">
        <v>100</v>
      </c>
      <c r="C86" t="s">
        <v>340</v>
      </c>
      <c r="D86">
        <v>18</v>
      </c>
      <c r="E86">
        <v>0</v>
      </c>
      <c r="F86">
        <v>3</v>
      </c>
    </row>
    <row r="87" spans="1:6" x14ac:dyDescent="0.25">
      <c r="A87" t="s">
        <v>88</v>
      </c>
      <c r="B87">
        <v>100</v>
      </c>
      <c r="C87" t="s">
        <v>329</v>
      </c>
      <c r="D87">
        <v>1</v>
      </c>
      <c r="E87">
        <v>0</v>
      </c>
      <c r="F87">
        <v>19</v>
      </c>
    </row>
    <row r="88" spans="1:6" x14ac:dyDescent="0.25">
      <c r="A88" t="s">
        <v>89</v>
      </c>
      <c r="B88">
        <v>100</v>
      </c>
      <c r="C88" t="s">
        <v>310</v>
      </c>
      <c r="D88">
        <v>7</v>
      </c>
      <c r="E88">
        <v>0</v>
      </c>
      <c r="F88">
        <v>14</v>
      </c>
    </row>
    <row r="89" spans="1:6" x14ac:dyDescent="0.25">
      <c r="A89" t="s">
        <v>90</v>
      </c>
      <c r="B89">
        <v>100</v>
      </c>
      <c r="C89" t="s">
        <v>335</v>
      </c>
      <c r="D89">
        <v>20</v>
      </c>
      <c r="E89">
        <v>0</v>
      </c>
      <c r="F89">
        <v>1</v>
      </c>
    </row>
    <row r="90" spans="1:6" x14ac:dyDescent="0.25">
      <c r="A90" t="s">
        <v>91</v>
      </c>
      <c r="B90">
        <v>100</v>
      </c>
      <c r="C90" t="s">
        <v>315</v>
      </c>
      <c r="D90">
        <v>4</v>
      </c>
      <c r="E90">
        <v>0</v>
      </c>
      <c r="F90">
        <v>17</v>
      </c>
    </row>
    <row r="91" spans="1:6" x14ac:dyDescent="0.25">
      <c r="A91" t="s">
        <v>92</v>
      </c>
      <c r="B91">
        <v>100</v>
      </c>
      <c r="C91" t="s">
        <v>316</v>
      </c>
      <c r="D91">
        <v>2</v>
      </c>
      <c r="E91">
        <v>0</v>
      </c>
      <c r="F91">
        <v>18</v>
      </c>
    </row>
    <row r="92" spans="1:6" x14ac:dyDescent="0.25">
      <c r="A92" t="s">
        <v>93</v>
      </c>
      <c r="B92">
        <v>100</v>
      </c>
      <c r="C92" t="s">
        <v>331</v>
      </c>
      <c r="D92">
        <v>4</v>
      </c>
      <c r="E92">
        <v>0</v>
      </c>
      <c r="F92">
        <v>16</v>
      </c>
    </row>
    <row r="93" spans="1:6" x14ac:dyDescent="0.25">
      <c r="A93" t="s">
        <v>94</v>
      </c>
      <c r="B93">
        <v>100</v>
      </c>
      <c r="C93" t="s">
        <v>330</v>
      </c>
      <c r="D93">
        <v>4</v>
      </c>
      <c r="E93">
        <v>0</v>
      </c>
      <c r="F93">
        <v>16</v>
      </c>
    </row>
    <row r="94" spans="1:6" x14ac:dyDescent="0.25">
      <c r="A94" t="s">
        <v>95</v>
      </c>
      <c r="B94">
        <v>100</v>
      </c>
      <c r="C94" t="s">
        <v>320</v>
      </c>
      <c r="D94">
        <v>20</v>
      </c>
      <c r="E94">
        <v>0</v>
      </c>
      <c r="F94">
        <v>1</v>
      </c>
    </row>
    <row r="95" spans="1:6" x14ac:dyDescent="0.25">
      <c r="A95" t="s">
        <v>96</v>
      </c>
      <c r="B95">
        <v>100</v>
      </c>
      <c r="C95" t="s">
        <v>297</v>
      </c>
      <c r="D95">
        <v>12</v>
      </c>
      <c r="E95">
        <v>0</v>
      </c>
      <c r="F95">
        <v>9</v>
      </c>
    </row>
    <row r="96" spans="1:6" x14ac:dyDescent="0.25">
      <c r="A96" t="s">
        <v>97</v>
      </c>
      <c r="B96">
        <v>100</v>
      </c>
      <c r="C96" t="s">
        <v>322</v>
      </c>
      <c r="D96">
        <v>9</v>
      </c>
      <c r="E96">
        <v>0</v>
      </c>
      <c r="F96">
        <v>11</v>
      </c>
    </row>
    <row r="97" spans="1:6" x14ac:dyDescent="0.25">
      <c r="A97" t="s">
        <v>98</v>
      </c>
      <c r="B97">
        <v>100</v>
      </c>
      <c r="C97" t="s">
        <v>315</v>
      </c>
      <c r="D97">
        <v>5</v>
      </c>
      <c r="E97">
        <v>0</v>
      </c>
      <c r="F97">
        <v>16</v>
      </c>
    </row>
    <row r="98" spans="1:6" x14ac:dyDescent="0.25">
      <c r="A98" t="s">
        <v>99</v>
      </c>
      <c r="B98">
        <v>100</v>
      </c>
      <c r="C98" t="s">
        <v>341</v>
      </c>
      <c r="D98">
        <v>1</v>
      </c>
      <c r="E98">
        <v>0</v>
      </c>
      <c r="F98">
        <v>19</v>
      </c>
    </row>
    <row r="99" spans="1:6" x14ac:dyDescent="0.25">
      <c r="A99" t="s">
        <v>100</v>
      </c>
      <c r="B99">
        <v>100</v>
      </c>
      <c r="C99" t="s">
        <v>326</v>
      </c>
      <c r="D99">
        <v>18</v>
      </c>
      <c r="E99">
        <v>0</v>
      </c>
      <c r="F99">
        <v>3</v>
      </c>
    </row>
    <row r="100" spans="1:6" x14ac:dyDescent="0.25">
      <c r="A100" t="s">
        <v>101</v>
      </c>
      <c r="B100">
        <v>100</v>
      </c>
      <c r="C100" t="s">
        <v>319</v>
      </c>
      <c r="D100">
        <v>13</v>
      </c>
      <c r="E100">
        <v>0</v>
      </c>
      <c r="F100">
        <v>8</v>
      </c>
    </row>
    <row r="101" spans="1:6" x14ac:dyDescent="0.25">
      <c r="A101" t="s">
        <v>102</v>
      </c>
      <c r="B101">
        <v>100</v>
      </c>
      <c r="C101" t="s">
        <v>329</v>
      </c>
      <c r="D101">
        <v>2</v>
      </c>
      <c r="E101">
        <v>0</v>
      </c>
      <c r="F101">
        <v>18</v>
      </c>
    </row>
    <row r="102" spans="1:6" x14ac:dyDescent="0.25">
      <c r="A102" t="s">
        <v>103</v>
      </c>
      <c r="B102">
        <v>100</v>
      </c>
      <c r="C102" t="s">
        <v>337</v>
      </c>
      <c r="D102">
        <v>15</v>
      </c>
      <c r="E102">
        <v>0</v>
      </c>
      <c r="F102">
        <v>6</v>
      </c>
    </row>
    <row r="103" spans="1:6" x14ac:dyDescent="0.25">
      <c r="A103" t="s">
        <v>104</v>
      </c>
      <c r="B103">
        <v>100</v>
      </c>
      <c r="C103" t="s">
        <v>304</v>
      </c>
      <c r="D103">
        <v>6</v>
      </c>
      <c r="E103">
        <v>-1</v>
      </c>
      <c r="F103">
        <v>15</v>
      </c>
    </row>
    <row r="104" spans="1:6" x14ac:dyDescent="0.25">
      <c r="A104" t="s">
        <v>105</v>
      </c>
      <c r="B104">
        <v>100</v>
      </c>
      <c r="C104" t="s">
        <v>306</v>
      </c>
      <c r="D104">
        <v>3</v>
      </c>
      <c r="E104">
        <v>0</v>
      </c>
      <c r="F104">
        <v>17</v>
      </c>
    </row>
    <row r="105" spans="1:6" x14ac:dyDescent="0.25">
      <c r="A105" t="s">
        <v>106</v>
      </c>
      <c r="B105">
        <v>100</v>
      </c>
      <c r="C105" t="s">
        <v>295</v>
      </c>
      <c r="D105">
        <v>10</v>
      </c>
      <c r="E105">
        <v>0</v>
      </c>
      <c r="F105">
        <v>10</v>
      </c>
    </row>
    <row r="106" spans="1:6" x14ac:dyDescent="0.25">
      <c r="A106" t="s">
        <v>107</v>
      </c>
      <c r="B106">
        <v>100</v>
      </c>
      <c r="C106" t="s">
        <v>328</v>
      </c>
      <c r="D106">
        <v>15</v>
      </c>
      <c r="E106">
        <v>0</v>
      </c>
      <c r="F106">
        <v>6</v>
      </c>
    </row>
  </sheetData>
  <autoFilter ref="A1:F106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7030A0"/>
  </sheetPr>
  <dimension ref="A1:N5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8.7109375" bestFit="1" customWidth="1"/>
    <col min="2" max="2" width="14" bestFit="1" customWidth="1"/>
    <col min="3" max="3" width="10.42578125" bestFit="1" customWidth="1"/>
    <col min="4" max="4" width="8.85546875" bestFit="1" customWidth="1"/>
    <col min="5" max="5" width="10.42578125" bestFit="1" customWidth="1"/>
    <col min="6" max="6" width="8.85546875" bestFit="1" customWidth="1"/>
    <col min="7" max="7" width="10.42578125" bestFit="1" customWidth="1"/>
    <col min="8" max="8" width="8.85546875" bestFit="1" customWidth="1"/>
    <col min="9" max="9" width="10.42578125" bestFit="1" customWidth="1"/>
    <col min="10" max="10" width="8.85546875" bestFit="1" customWidth="1"/>
    <col min="11" max="14" width="7.7109375" bestFit="1" customWidth="1"/>
  </cols>
  <sheetData>
    <row r="1" spans="1:14" x14ac:dyDescent="0.25">
      <c r="A1" t="s">
        <v>18</v>
      </c>
      <c r="B1" t="s">
        <v>140</v>
      </c>
      <c r="C1" t="s">
        <v>37</v>
      </c>
      <c r="D1" t="s">
        <v>489</v>
      </c>
      <c r="E1" t="s">
        <v>38</v>
      </c>
      <c r="F1" t="s">
        <v>490</v>
      </c>
      <c r="G1" t="s">
        <v>39</v>
      </c>
      <c r="H1" t="s">
        <v>491</v>
      </c>
      <c r="I1" t="s">
        <v>40</v>
      </c>
      <c r="J1" t="s">
        <v>488</v>
      </c>
      <c r="K1" t="s">
        <v>112</v>
      </c>
      <c r="L1" t="s">
        <v>113</v>
      </c>
      <c r="M1" t="s">
        <v>114</v>
      </c>
      <c r="N1" t="s">
        <v>115</v>
      </c>
    </row>
    <row r="2" spans="1:14" x14ac:dyDescent="0.25">
      <c r="A2" t="s">
        <v>314</v>
      </c>
      <c r="B2">
        <v>0</v>
      </c>
      <c r="C2" t="s">
        <v>203</v>
      </c>
      <c r="D2">
        <v>1</v>
      </c>
      <c r="E2" t="s">
        <v>201</v>
      </c>
      <c r="F2">
        <v>1</v>
      </c>
      <c r="G2" t="s">
        <v>204</v>
      </c>
      <c r="H2">
        <v>1</v>
      </c>
      <c r="I2" t="s">
        <v>202</v>
      </c>
      <c r="J2">
        <v>1</v>
      </c>
      <c r="K2">
        <v>18</v>
      </c>
      <c r="L2">
        <v>11</v>
      </c>
      <c r="M2">
        <v>15</v>
      </c>
      <c r="N2">
        <v>1</v>
      </c>
    </row>
    <row r="3" spans="1:14" x14ac:dyDescent="0.25">
      <c r="A3" t="s">
        <v>330</v>
      </c>
      <c r="B3">
        <v>0</v>
      </c>
      <c r="C3" t="s">
        <v>265</v>
      </c>
      <c r="D3">
        <v>1</v>
      </c>
      <c r="F3" t="s">
        <v>494</v>
      </c>
      <c r="H3" t="s">
        <v>494</v>
      </c>
      <c r="J3" t="s">
        <v>494</v>
      </c>
      <c r="K3">
        <v>4</v>
      </c>
    </row>
    <row r="4" spans="1:14" x14ac:dyDescent="0.25">
      <c r="A4" t="s">
        <v>316</v>
      </c>
      <c r="B4">
        <v>0</v>
      </c>
      <c r="C4" t="s">
        <v>246</v>
      </c>
      <c r="D4">
        <v>1</v>
      </c>
      <c r="E4" t="s">
        <v>263</v>
      </c>
      <c r="F4">
        <v>5</v>
      </c>
      <c r="H4" t="s">
        <v>494</v>
      </c>
      <c r="J4" t="s">
        <v>494</v>
      </c>
      <c r="K4">
        <v>6</v>
      </c>
      <c r="L4">
        <v>2</v>
      </c>
    </row>
    <row r="5" spans="1:14" x14ac:dyDescent="0.25">
      <c r="A5" t="s">
        <v>322</v>
      </c>
      <c r="B5">
        <v>0</v>
      </c>
      <c r="C5" t="s">
        <v>249</v>
      </c>
      <c r="D5">
        <v>2</v>
      </c>
      <c r="E5" t="s">
        <v>226</v>
      </c>
      <c r="F5">
        <v>1</v>
      </c>
      <c r="G5" t="s">
        <v>268</v>
      </c>
      <c r="H5">
        <v>4</v>
      </c>
      <c r="J5" t="s">
        <v>494</v>
      </c>
      <c r="K5">
        <v>18</v>
      </c>
      <c r="L5">
        <v>19</v>
      </c>
      <c r="M5">
        <v>9</v>
      </c>
    </row>
    <row r="6" spans="1:14" x14ac:dyDescent="0.25">
      <c r="A6" t="s">
        <v>300</v>
      </c>
      <c r="B6">
        <v>0</v>
      </c>
      <c r="C6" t="s">
        <v>194</v>
      </c>
      <c r="D6">
        <v>4</v>
      </c>
      <c r="E6" t="s">
        <v>196</v>
      </c>
      <c r="F6">
        <v>4</v>
      </c>
      <c r="G6" t="s">
        <v>193</v>
      </c>
      <c r="H6">
        <v>4</v>
      </c>
      <c r="I6" t="s">
        <v>195</v>
      </c>
      <c r="J6">
        <v>4</v>
      </c>
      <c r="K6">
        <v>6</v>
      </c>
      <c r="L6">
        <v>5</v>
      </c>
      <c r="M6">
        <v>9</v>
      </c>
      <c r="N6">
        <v>4</v>
      </c>
    </row>
    <row r="7" spans="1:14" x14ac:dyDescent="0.25">
      <c r="A7" t="s">
        <v>302</v>
      </c>
      <c r="B7">
        <v>0</v>
      </c>
      <c r="C7" t="s">
        <v>192</v>
      </c>
      <c r="D7">
        <v>6</v>
      </c>
      <c r="E7" t="s">
        <v>189</v>
      </c>
      <c r="F7">
        <v>6</v>
      </c>
      <c r="G7" t="s">
        <v>191</v>
      </c>
      <c r="H7">
        <v>6</v>
      </c>
      <c r="I7" t="s">
        <v>190</v>
      </c>
      <c r="J7">
        <v>6</v>
      </c>
      <c r="K7">
        <v>16</v>
      </c>
      <c r="L7">
        <v>12</v>
      </c>
      <c r="M7">
        <v>7</v>
      </c>
      <c r="N7">
        <v>13</v>
      </c>
    </row>
    <row r="8" spans="1:14" x14ac:dyDescent="0.25">
      <c r="A8" t="s">
        <v>311</v>
      </c>
      <c r="B8">
        <v>0</v>
      </c>
      <c r="C8" t="s">
        <v>234</v>
      </c>
      <c r="D8">
        <v>4</v>
      </c>
      <c r="E8" t="s">
        <v>237</v>
      </c>
      <c r="F8">
        <v>2</v>
      </c>
      <c r="H8" t="s">
        <v>494</v>
      </c>
      <c r="J8" t="s">
        <v>494</v>
      </c>
      <c r="K8">
        <v>17</v>
      </c>
      <c r="L8">
        <v>11</v>
      </c>
    </row>
    <row r="9" spans="1:14" x14ac:dyDescent="0.25">
      <c r="A9" t="s">
        <v>293</v>
      </c>
      <c r="B9">
        <v>0</v>
      </c>
      <c r="C9" t="s">
        <v>188</v>
      </c>
      <c r="D9">
        <v>3</v>
      </c>
      <c r="E9" t="s">
        <v>185</v>
      </c>
      <c r="F9">
        <v>3</v>
      </c>
      <c r="G9" t="s">
        <v>187</v>
      </c>
      <c r="H9">
        <v>3</v>
      </c>
      <c r="I9" t="s">
        <v>186</v>
      </c>
      <c r="J9">
        <v>3</v>
      </c>
      <c r="K9">
        <v>3</v>
      </c>
      <c r="L9">
        <v>8</v>
      </c>
      <c r="M9">
        <v>1</v>
      </c>
      <c r="N9">
        <v>2</v>
      </c>
    </row>
    <row r="10" spans="1:14" x14ac:dyDescent="0.25">
      <c r="A10" t="s">
        <v>341</v>
      </c>
      <c r="B10">
        <v>0</v>
      </c>
      <c r="C10" t="s">
        <v>270</v>
      </c>
      <c r="D10">
        <v>4</v>
      </c>
      <c r="E10" t="s">
        <v>205</v>
      </c>
      <c r="F10">
        <v>2</v>
      </c>
      <c r="H10" t="s">
        <v>494</v>
      </c>
      <c r="J10" t="s">
        <v>494</v>
      </c>
      <c r="K10">
        <v>1</v>
      </c>
      <c r="L10">
        <v>23</v>
      </c>
    </row>
    <row r="11" spans="1:14" x14ac:dyDescent="0.25">
      <c r="A11" t="s">
        <v>299</v>
      </c>
      <c r="D11" t="s">
        <v>494</v>
      </c>
      <c r="F11" t="s">
        <v>494</v>
      </c>
      <c r="H11" t="s">
        <v>494</v>
      </c>
      <c r="J11" t="s">
        <v>494</v>
      </c>
    </row>
    <row r="12" spans="1:14" x14ac:dyDescent="0.25">
      <c r="A12" t="s">
        <v>328</v>
      </c>
      <c r="B12">
        <v>0</v>
      </c>
      <c r="C12" t="s">
        <v>224</v>
      </c>
      <c r="D12">
        <v>1</v>
      </c>
      <c r="E12" t="s">
        <v>278</v>
      </c>
      <c r="F12">
        <v>2</v>
      </c>
      <c r="H12" t="s">
        <v>494</v>
      </c>
      <c r="J12" t="s">
        <v>494</v>
      </c>
      <c r="K12">
        <v>16</v>
      </c>
      <c r="L12">
        <v>15</v>
      </c>
    </row>
    <row r="13" spans="1:14" x14ac:dyDescent="0.25">
      <c r="A13" t="s">
        <v>338</v>
      </c>
      <c r="B13">
        <v>0</v>
      </c>
      <c r="C13" t="s">
        <v>206</v>
      </c>
      <c r="D13">
        <v>2</v>
      </c>
      <c r="F13" t="s">
        <v>494</v>
      </c>
      <c r="H13" t="s">
        <v>494</v>
      </c>
      <c r="J13" t="s">
        <v>494</v>
      </c>
      <c r="K13">
        <v>28</v>
      </c>
    </row>
    <row r="14" spans="1:14" x14ac:dyDescent="0.25">
      <c r="A14" t="s">
        <v>336</v>
      </c>
      <c r="B14">
        <v>0</v>
      </c>
      <c r="C14" t="s">
        <v>25</v>
      </c>
      <c r="D14">
        <v>2</v>
      </c>
      <c r="E14" t="s">
        <v>243</v>
      </c>
      <c r="F14">
        <v>1</v>
      </c>
      <c r="H14" t="s">
        <v>494</v>
      </c>
      <c r="J14" t="s">
        <v>494</v>
      </c>
      <c r="K14">
        <v>22</v>
      </c>
      <c r="L14">
        <v>13</v>
      </c>
    </row>
    <row r="15" spans="1:14" x14ac:dyDescent="0.25">
      <c r="A15" t="s">
        <v>321</v>
      </c>
      <c r="B15">
        <v>0</v>
      </c>
      <c r="C15" t="s">
        <v>291</v>
      </c>
      <c r="D15">
        <v>1</v>
      </c>
      <c r="E15" t="s">
        <v>214</v>
      </c>
      <c r="F15">
        <v>1</v>
      </c>
      <c r="H15" t="s">
        <v>494</v>
      </c>
      <c r="J15" t="s">
        <v>494</v>
      </c>
      <c r="K15">
        <v>18</v>
      </c>
      <c r="L15">
        <v>2</v>
      </c>
    </row>
    <row r="16" spans="1:14" x14ac:dyDescent="0.25">
      <c r="A16" t="s">
        <v>298</v>
      </c>
      <c r="B16">
        <v>0</v>
      </c>
      <c r="C16" t="s">
        <v>218</v>
      </c>
      <c r="D16">
        <v>2</v>
      </c>
      <c r="E16" t="s">
        <v>248</v>
      </c>
      <c r="F16">
        <v>1</v>
      </c>
      <c r="H16" t="s">
        <v>494</v>
      </c>
      <c r="J16" t="s">
        <v>494</v>
      </c>
      <c r="K16">
        <v>19</v>
      </c>
      <c r="L16">
        <v>10</v>
      </c>
    </row>
    <row r="17" spans="1:14" x14ac:dyDescent="0.25">
      <c r="A17" t="s">
        <v>320</v>
      </c>
      <c r="B17">
        <v>0</v>
      </c>
      <c r="C17" t="s">
        <v>266</v>
      </c>
      <c r="D17">
        <v>3</v>
      </c>
      <c r="E17" t="s">
        <v>29</v>
      </c>
      <c r="F17">
        <v>1</v>
      </c>
      <c r="H17" t="s">
        <v>494</v>
      </c>
      <c r="J17" t="s">
        <v>494</v>
      </c>
      <c r="K17">
        <v>20</v>
      </c>
      <c r="L17">
        <v>21</v>
      </c>
    </row>
    <row r="18" spans="1:14" x14ac:dyDescent="0.25">
      <c r="A18" t="s">
        <v>312</v>
      </c>
      <c r="B18">
        <v>0</v>
      </c>
      <c r="C18" t="s">
        <v>228</v>
      </c>
      <c r="D18">
        <v>1</v>
      </c>
      <c r="F18" t="s">
        <v>494</v>
      </c>
      <c r="H18" t="s">
        <v>494</v>
      </c>
      <c r="J18" t="s">
        <v>494</v>
      </c>
      <c r="K18">
        <v>15</v>
      </c>
    </row>
    <row r="19" spans="1:14" x14ac:dyDescent="0.25">
      <c r="A19" t="s">
        <v>333</v>
      </c>
      <c r="B19">
        <v>0</v>
      </c>
      <c r="C19" t="s">
        <v>26</v>
      </c>
      <c r="D19">
        <v>3</v>
      </c>
      <c r="E19" t="s">
        <v>239</v>
      </c>
      <c r="F19">
        <v>1</v>
      </c>
      <c r="H19" t="s">
        <v>494</v>
      </c>
      <c r="J19" t="s">
        <v>494</v>
      </c>
      <c r="K19">
        <v>25</v>
      </c>
      <c r="L19">
        <v>14</v>
      </c>
    </row>
    <row r="20" spans="1:14" x14ac:dyDescent="0.25">
      <c r="A20" t="s">
        <v>303</v>
      </c>
      <c r="B20">
        <v>0</v>
      </c>
      <c r="C20" t="s">
        <v>238</v>
      </c>
      <c r="D20">
        <v>3</v>
      </c>
      <c r="E20" t="s">
        <v>28</v>
      </c>
      <c r="F20">
        <v>1</v>
      </c>
      <c r="H20" t="s">
        <v>494</v>
      </c>
      <c r="J20" t="s">
        <v>494</v>
      </c>
      <c r="K20">
        <v>19</v>
      </c>
      <c r="L20">
        <v>25</v>
      </c>
    </row>
    <row r="21" spans="1:14" x14ac:dyDescent="0.25">
      <c r="A21" t="s">
        <v>310</v>
      </c>
      <c r="B21">
        <v>0</v>
      </c>
      <c r="C21" t="s">
        <v>260</v>
      </c>
      <c r="D21">
        <v>2</v>
      </c>
      <c r="F21" t="s">
        <v>494</v>
      </c>
      <c r="H21" t="s">
        <v>494</v>
      </c>
      <c r="J21" t="s">
        <v>494</v>
      </c>
      <c r="K21">
        <v>7</v>
      </c>
    </row>
    <row r="22" spans="1:14" x14ac:dyDescent="0.25">
      <c r="A22" t="s">
        <v>340</v>
      </c>
      <c r="B22">
        <v>0</v>
      </c>
      <c r="C22" t="s">
        <v>280</v>
      </c>
      <c r="D22">
        <v>5</v>
      </c>
      <c r="E22" t="s">
        <v>289</v>
      </c>
      <c r="F22">
        <v>5</v>
      </c>
      <c r="G22" t="s">
        <v>212</v>
      </c>
      <c r="H22">
        <v>5</v>
      </c>
      <c r="I22" t="s">
        <v>258</v>
      </c>
      <c r="J22">
        <v>4</v>
      </c>
      <c r="K22">
        <v>19</v>
      </c>
      <c r="L22">
        <v>20</v>
      </c>
      <c r="M22">
        <v>6</v>
      </c>
      <c r="N22">
        <v>18</v>
      </c>
    </row>
    <row r="23" spans="1:14" x14ac:dyDescent="0.25">
      <c r="A23" t="s">
        <v>315</v>
      </c>
      <c r="B23">
        <v>0</v>
      </c>
      <c r="C23" t="s">
        <v>269</v>
      </c>
      <c r="D23">
        <v>4</v>
      </c>
      <c r="E23" t="s">
        <v>262</v>
      </c>
      <c r="F23">
        <v>5</v>
      </c>
      <c r="H23" t="s">
        <v>494</v>
      </c>
      <c r="J23" t="s">
        <v>494</v>
      </c>
      <c r="K23">
        <v>5</v>
      </c>
      <c r="L23">
        <v>4</v>
      </c>
    </row>
    <row r="24" spans="1:14" x14ac:dyDescent="0.25">
      <c r="A24" t="s">
        <v>297</v>
      </c>
      <c r="B24">
        <v>0</v>
      </c>
      <c r="C24" t="s">
        <v>267</v>
      </c>
      <c r="D24">
        <v>2</v>
      </c>
      <c r="E24" t="s">
        <v>223</v>
      </c>
      <c r="F24">
        <v>1</v>
      </c>
      <c r="G24" t="s">
        <v>242</v>
      </c>
      <c r="H24">
        <v>6</v>
      </c>
      <c r="J24" t="s">
        <v>494</v>
      </c>
      <c r="K24">
        <v>12</v>
      </c>
      <c r="L24">
        <v>8</v>
      </c>
      <c r="M24">
        <v>13</v>
      </c>
    </row>
    <row r="25" spans="1:14" x14ac:dyDescent="0.25">
      <c r="A25" t="s">
        <v>337</v>
      </c>
      <c r="B25">
        <v>0</v>
      </c>
      <c r="C25" t="s">
        <v>225</v>
      </c>
      <c r="D25">
        <v>2</v>
      </c>
      <c r="E25" t="s">
        <v>274</v>
      </c>
      <c r="F25">
        <v>1</v>
      </c>
      <c r="H25" t="s">
        <v>494</v>
      </c>
      <c r="J25" t="s">
        <v>494</v>
      </c>
      <c r="K25">
        <v>14</v>
      </c>
      <c r="L25">
        <v>15</v>
      </c>
    </row>
    <row r="26" spans="1:14" x14ac:dyDescent="0.25">
      <c r="A26" t="s">
        <v>332</v>
      </c>
      <c r="B26">
        <v>0</v>
      </c>
      <c r="C26" t="s">
        <v>27</v>
      </c>
      <c r="D26">
        <v>1</v>
      </c>
      <c r="E26" t="s">
        <v>236</v>
      </c>
      <c r="F26">
        <v>2</v>
      </c>
      <c r="H26" t="s">
        <v>494</v>
      </c>
      <c r="J26" t="s">
        <v>494</v>
      </c>
      <c r="K26">
        <v>28</v>
      </c>
      <c r="L26">
        <v>14</v>
      </c>
    </row>
    <row r="27" spans="1:14" x14ac:dyDescent="0.25">
      <c r="A27" t="s">
        <v>334</v>
      </c>
      <c r="B27">
        <v>0</v>
      </c>
      <c r="C27" t="s">
        <v>290</v>
      </c>
      <c r="D27">
        <v>1</v>
      </c>
      <c r="E27" t="s">
        <v>213</v>
      </c>
      <c r="F27">
        <v>1</v>
      </c>
      <c r="G27" t="s">
        <v>281</v>
      </c>
      <c r="H27">
        <v>1</v>
      </c>
      <c r="I27" t="s">
        <v>244</v>
      </c>
      <c r="J27">
        <v>2</v>
      </c>
      <c r="K27">
        <v>9</v>
      </c>
      <c r="L27">
        <v>7</v>
      </c>
      <c r="M27">
        <v>11</v>
      </c>
      <c r="N27">
        <v>8</v>
      </c>
    </row>
    <row r="28" spans="1:14" x14ac:dyDescent="0.25">
      <c r="A28" t="s">
        <v>318</v>
      </c>
      <c r="B28">
        <v>0</v>
      </c>
      <c r="C28" t="s">
        <v>254</v>
      </c>
      <c r="D28">
        <v>1</v>
      </c>
      <c r="F28" t="s">
        <v>494</v>
      </c>
      <c r="H28" t="s">
        <v>494</v>
      </c>
      <c r="J28" t="s">
        <v>494</v>
      </c>
      <c r="K28">
        <v>16</v>
      </c>
    </row>
    <row r="29" spans="1:14" x14ac:dyDescent="0.25">
      <c r="A29" t="s">
        <v>327</v>
      </c>
      <c r="B29">
        <v>0</v>
      </c>
      <c r="C29" t="s">
        <v>230</v>
      </c>
      <c r="D29">
        <v>1</v>
      </c>
      <c r="F29" t="s">
        <v>494</v>
      </c>
      <c r="H29" t="s">
        <v>494</v>
      </c>
      <c r="J29" t="s">
        <v>494</v>
      </c>
      <c r="K29">
        <v>9</v>
      </c>
    </row>
    <row r="30" spans="1:14" x14ac:dyDescent="0.25">
      <c r="A30" t="s">
        <v>335</v>
      </c>
      <c r="B30">
        <v>0</v>
      </c>
      <c r="C30" t="s">
        <v>261</v>
      </c>
      <c r="D30">
        <v>1</v>
      </c>
      <c r="E30" t="s">
        <v>210</v>
      </c>
      <c r="F30">
        <v>3</v>
      </c>
      <c r="H30" t="s">
        <v>494</v>
      </c>
      <c r="J30" t="s">
        <v>494</v>
      </c>
      <c r="K30">
        <v>20</v>
      </c>
      <c r="L30">
        <v>24</v>
      </c>
    </row>
    <row r="31" spans="1:14" x14ac:dyDescent="0.25">
      <c r="A31" t="s">
        <v>326</v>
      </c>
      <c r="B31">
        <v>0</v>
      </c>
      <c r="C31" t="s">
        <v>235</v>
      </c>
      <c r="D31">
        <v>2</v>
      </c>
      <c r="E31" t="s">
        <v>271</v>
      </c>
      <c r="F31">
        <v>1</v>
      </c>
      <c r="G31" t="s">
        <v>216</v>
      </c>
      <c r="H31">
        <v>5</v>
      </c>
      <c r="J31" t="s">
        <v>494</v>
      </c>
      <c r="K31">
        <v>13</v>
      </c>
      <c r="L31">
        <v>18</v>
      </c>
      <c r="M31">
        <v>12</v>
      </c>
    </row>
    <row r="32" spans="1:14" x14ac:dyDescent="0.25">
      <c r="A32" t="s">
        <v>307</v>
      </c>
      <c r="D32" t="s">
        <v>494</v>
      </c>
      <c r="F32" t="s">
        <v>494</v>
      </c>
      <c r="H32" t="s">
        <v>494</v>
      </c>
      <c r="J32" t="s">
        <v>494</v>
      </c>
    </row>
    <row r="33" spans="1:14" x14ac:dyDescent="0.25">
      <c r="A33" t="s">
        <v>294</v>
      </c>
      <c r="B33">
        <v>0</v>
      </c>
      <c r="C33" t="s">
        <v>227</v>
      </c>
      <c r="D33">
        <v>2</v>
      </c>
      <c r="E33" t="s">
        <v>245</v>
      </c>
      <c r="F33">
        <v>4</v>
      </c>
      <c r="G33" t="s">
        <v>207</v>
      </c>
      <c r="H33">
        <v>1</v>
      </c>
      <c r="J33" t="s">
        <v>494</v>
      </c>
      <c r="K33">
        <v>12</v>
      </c>
      <c r="L33">
        <v>17</v>
      </c>
      <c r="M33">
        <v>26</v>
      </c>
    </row>
    <row r="34" spans="1:14" x14ac:dyDescent="0.25">
      <c r="A34" t="s">
        <v>331</v>
      </c>
      <c r="B34">
        <v>0</v>
      </c>
      <c r="C34" t="s">
        <v>264</v>
      </c>
      <c r="D34">
        <v>1</v>
      </c>
      <c r="E34" t="s">
        <v>217</v>
      </c>
      <c r="F34">
        <v>2</v>
      </c>
      <c r="H34" t="s">
        <v>494</v>
      </c>
      <c r="J34" t="s">
        <v>494</v>
      </c>
      <c r="K34">
        <v>4</v>
      </c>
      <c r="L34">
        <v>3</v>
      </c>
    </row>
    <row r="35" spans="1:14" x14ac:dyDescent="0.25">
      <c r="A35" t="s">
        <v>292</v>
      </c>
      <c r="D35" t="s">
        <v>494</v>
      </c>
      <c r="F35" t="s">
        <v>494</v>
      </c>
      <c r="H35" t="s">
        <v>494</v>
      </c>
      <c r="J35" t="s">
        <v>494</v>
      </c>
    </row>
    <row r="36" spans="1:14" x14ac:dyDescent="0.25">
      <c r="A36" t="s">
        <v>319</v>
      </c>
      <c r="B36">
        <v>0</v>
      </c>
      <c r="C36" t="s">
        <v>251</v>
      </c>
      <c r="D36">
        <v>1</v>
      </c>
      <c r="E36" t="s">
        <v>272</v>
      </c>
      <c r="F36">
        <v>2</v>
      </c>
      <c r="H36" t="s">
        <v>494</v>
      </c>
      <c r="J36" t="s">
        <v>494</v>
      </c>
      <c r="K36">
        <v>5</v>
      </c>
      <c r="L36">
        <v>13</v>
      </c>
    </row>
    <row r="37" spans="1:14" x14ac:dyDescent="0.25">
      <c r="A37" t="s">
        <v>313</v>
      </c>
      <c r="B37">
        <v>0</v>
      </c>
      <c r="C37" t="s">
        <v>255</v>
      </c>
      <c r="D37">
        <v>4</v>
      </c>
      <c r="E37" t="s">
        <v>229</v>
      </c>
      <c r="F37">
        <v>1</v>
      </c>
      <c r="H37" t="s">
        <v>494</v>
      </c>
      <c r="J37" t="s">
        <v>494</v>
      </c>
      <c r="K37">
        <v>5</v>
      </c>
      <c r="L37">
        <v>7</v>
      </c>
    </row>
    <row r="38" spans="1:14" x14ac:dyDescent="0.25">
      <c r="A38" t="s">
        <v>339</v>
      </c>
      <c r="B38">
        <v>0</v>
      </c>
      <c r="C38" t="s">
        <v>208</v>
      </c>
      <c r="D38">
        <v>2</v>
      </c>
      <c r="F38" t="s">
        <v>494</v>
      </c>
      <c r="H38" t="s">
        <v>494</v>
      </c>
      <c r="J38" t="s">
        <v>494</v>
      </c>
      <c r="K38">
        <v>27</v>
      </c>
    </row>
    <row r="39" spans="1:14" x14ac:dyDescent="0.25">
      <c r="A39" t="s">
        <v>295</v>
      </c>
      <c r="B39">
        <v>0</v>
      </c>
      <c r="C39" t="s">
        <v>277</v>
      </c>
      <c r="D39">
        <v>1</v>
      </c>
      <c r="F39" t="s">
        <v>494</v>
      </c>
      <c r="H39" t="s">
        <v>494</v>
      </c>
      <c r="J39" t="s">
        <v>494</v>
      </c>
      <c r="K39">
        <v>10</v>
      </c>
    </row>
    <row r="40" spans="1:14" x14ac:dyDescent="0.25">
      <c r="A40" t="s">
        <v>296</v>
      </c>
      <c r="B40">
        <v>0</v>
      </c>
      <c r="C40" t="s">
        <v>250</v>
      </c>
      <c r="D40">
        <v>1</v>
      </c>
      <c r="E40" t="s">
        <v>232</v>
      </c>
      <c r="F40">
        <v>2</v>
      </c>
      <c r="H40" t="s">
        <v>494</v>
      </c>
      <c r="J40" t="s">
        <v>494</v>
      </c>
      <c r="K40">
        <v>16</v>
      </c>
      <c r="L40">
        <v>14</v>
      </c>
    </row>
    <row r="41" spans="1:14" x14ac:dyDescent="0.25">
      <c r="A41" t="s">
        <v>306</v>
      </c>
      <c r="B41">
        <v>0</v>
      </c>
      <c r="C41" t="s">
        <v>256</v>
      </c>
      <c r="D41">
        <v>3</v>
      </c>
      <c r="F41" t="s">
        <v>494</v>
      </c>
      <c r="G41" t="s">
        <v>282</v>
      </c>
      <c r="H41">
        <v>1</v>
      </c>
      <c r="I41" t="s">
        <v>276</v>
      </c>
      <c r="J41">
        <v>2</v>
      </c>
      <c r="K41">
        <v>15</v>
      </c>
      <c r="M41">
        <v>16</v>
      </c>
      <c r="N41">
        <v>3</v>
      </c>
    </row>
    <row r="42" spans="1:14" x14ac:dyDescent="0.25">
      <c r="A42" t="s">
        <v>301</v>
      </c>
      <c r="B42">
        <v>0</v>
      </c>
      <c r="C42" t="s">
        <v>240</v>
      </c>
      <c r="D42">
        <v>1</v>
      </c>
      <c r="F42" t="s">
        <v>494</v>
      </c>
      <c r="H42" t="s">
        <v>494</v>
      </c>
      <c r="J42" t="s">
        <v>494</v>
      </c>
      <c r="K42">
        <v>17</v>
      </c>
    </row>
    <row r="43" spans="1:14" x14ac:dyDescent="0.25">
      <c r="A43" t="s">
        <v>324</v>
      </c>
      <c r="B43">
        <v>0</v>
      </c>
      <c r="C43" t="s">
        <v>211</v>
      </c>
      <c r="D43">
        <v>2</v>
      </c>
      <c r="F43" t="s">
        <v>494</v>
      </c>
      <c r="H43" t="s">
        <v>494</v>
      </c>
      <c r="J43" t="s">
        <v>494</v>
      </c>
      <c r="K43">
        <v>26</v>
      </c>
    </row>
    <row r="44" spans="1:14" x14ac:dyDescent="0.25">
      <c r="A44" t="s">
        <v>329</v>
      </c>
      <c r="B44">
        <v>0</v>
      </c>
      <c r="C44" t="s">
        <v>259</v>
      </c>
      <c r="D44">
        <v>1</v>
      </c>
      <c r="E44" t="s">
        <v>247</v>
      </c>
      <c r="F44">
        <v>2</v>
      </c>
      <c r="G44" t="s">
        <v>273</v>
      </c>
      <c r="H44">
        <v>4</v>
      </c>
      <c r="J44" t="s">
        <v>494</v>
      </c>
      <c r="K44">
        <v>1</v>
      </c>
      <c r="L44">
        <v>14</v>
      </c>
      <c r="M44">
        <v>2</v>
      </c>
    </row>
    <row r="45" spans="1:14" x14ac:dyDescent="0.25">
      <c r="A45" t="s">
        <v>325</v>
      </c>
      <c r="B45">
        <v>0</v>
      </c>
      <c r="C45" t="s">
        <v>219</v>
      </c>
      <c r="D45">
        <v>1</v>
      </c>
      <c r="E45" t="s">
        <v>252</v>
      </c>
      <c r="F45">
        <v>2</v>
      </c>
      <c r="H45" t="s">
        <v>494</v>
      </c>
      <c r="J45" t="s">
        <v>494</v>
      </c>
      <c r="K45">
        <v>6</v>
      </c>
      <c r="L45">
        <v>8</v>
      </c>
    </row>
    <row r="46" spans="1:14" x14ac:dyDescent="0.25">
      <c r="A46" t="s">
        <v>317</v>
      </c>
      <c r="B46">
        <v>0</v>
      </c>
      <c r="C46" t="s">
        <v>200</v>
      </c>
      <c r="D46">
        <v>5</v>
      </c>
      <c r="E46" t="s">
        <v>197</v>
      </c>
      <c r="F46">
        <v>5</v>
      </c>
      <c r="G46" t="s">
        <v>198</v>
      </c>
      <c r="H46">
        <v>5</v>
      </c>
      <c r="I46" t="s">
        <v>199</v>
      </c>
      <c r="J46">
        <v>5</v>
      </c>
      <c r="K46">
        <v>3</v>
      </c>
      <c r="L46">
        <v>19</v>
      </c>
      <c r="M46">
        <v>10</v>
      </c>
      <c r="N46">
        <v>20</v>
      </c>
    </row>
    <row r="47" spans="1:14" x14ac:dyDescent="0.25">
      <c r="A47" t="s">
        <v>323</v>
      </c>
      <c r="B47">
        <v>0</v>
      </c>
      <c r="C47" t="s">
        <v>221</v>
      </c>
      <c r="D47">
        <v>3</v>
      </c>
      <c r="E47" t="s">
        <v>222</v>
      </c>
      <c r="F47">
        <v>4</v>
      </c>
      <c r="H47" t="s">
        <v>494</v>
      </c>
      <c r="J47" t="s">
        <v>494</v>
      </c>
      <c r="K47">
        <v>20</v>
      </c>
      <c r="L47">
        <v>12</v>
      </c>
    </row>
    <row r="48" spans="1:14" x14ac:dyDescent="0.25">
      <c r="A48" t="s">
        <v>309</v>
      </c>
      <c r="B48">
        <v>0</v>
      </c>
      <c r="C48" t="s">
        <v>257</v>
      </c>
      <c r="D48">
        <v>2</v>
      </c>
      <c r="E48" t="s">
        <v>241</v>
      </c>
      <c r="F48">
        <v>1</v>
      </c>
      <c r="H48" t="s">
        <v>494</v>
      </c>
      <c r="J48" t="s">
        <v>494</v>
      </c>
      <c r="K48">
        <v>11</v>
      </c>
      <c r="L48">
        <v>8</v>
      </c>
    </row>
    <row r="49" spans="1:14" x14ac:dyDescent="0.25">
      <c r="A49" t="s">
        <v>305</v>
      </c>
      <c r="B49">
        <v>0</v>
      </c>
      <c r="C49" t="s">
        <v>220</v>
      </c>
      <c r="D49">
        <v>2</v>
      </c>
      <c r="E49" t="s">
        <v>253</v>
      </c>
      <c r="F49">
        <v>6</v>
      </c>
      <c r="H49" t="s">
        <v>494</v>
      </c>
      <c r="J49" t="s">
        <v>494</v>
      </c>
      <c r="K49">
        <v>11</v>
      </c>
      <c r="L49">
        <v>9</v>
      </c>
    </row>
    <row r="50" spans="1:14" x14ac:dyDescent="0.25">
      <c r="A50" t="s">
        <v>308</v>
      </c>
      <c r="B50">
        <v>0</v>
      </c>
      <c r="C50" t="s">
        <v>209</v>
      </c>
      <c r="D50">
        <v>1</v>
      </c>
      <c r="F50" t="s">
        <v>494</v>
      </c>
      <c r="H50" t="s">
        <v>494</v>
      </c>
      <c r="J50" t="s">
        <v>494</v>
      </c>
      <c r="K50">
        <v>27</v>
      </c>
    </row>
    <row r="51" spans="1:14" x14ac:dyDescent="0.25">
      <c r="A51" t="s">
        <v>304</v>
      </c>
      <c r="B51">
        <v>-1</v>
      </c>
      <c r="C51" t="s">
        <v>231</v>
      </c>
      <c r="D51">
        <v>6</v>
      </c>
      <c r="E51" t="s">
        <v>215</v>
      </c>
      <c r="F51">
        <v>2</v>
      </c>
      <c r="G51" t="s">
        <v>275</v>
      </c>
      <c r="H51">
        <v>1</v>
      </c>
      <c r="I51" t="s">
        <v>233</v>
      </c>
      <c r="J51">
        <v>4</v>
      </c>
      <c r="K51">
        <v>5</v>
      </c>
      <c r="L51">
        <v>10</v>
      </c>
      <c r="M51">
        <v>6</v>
      </c>
      <c r="N51">
        <v>17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7030A0"/>
    <pageSetUpPr fitToPage="1"/>
  </sheetPr>
  <dimension ref="A1:G12"/>
  <sheetViews>
    <sheetView showGridLines="0" zoomScale="90" zoomScaleNormal="90" workbookViewId="0">
      <pane ySplit="2" topLeftCell="A8" activePane="bottomLeft" state="frozen"/>
      <selection pane="bottomLeft"/>
    </sheetView>
  </sheetViews>
  <sheetFormatPr defaultRowHeight="15" x14ac:dyDescent="0.25"/>
  <cols>
    <col min="1" max="1" width="10.85546875" bestFit="1" customWidth="1"/>
    <col min="2" max="2" width="9" bestFit="1" customWidth="1"/>
    <col min="3" max="7" width="30.7109375" customWidth="1"/>
  </cols>
  <sheetData>
    <row r="1" spans="1:7" ht="15.75" thickBot="1" x14ac:dyDescent="0.3">
      <c r="A1" s="57" t="s">
        <v>522</v>
      </c>
      <c r="B1" s="26"/>
      <c r="D1" s="58"/>
      <c r="E1" s="46" t="s">
        <v>146</v>
      </c>
      <c r="F1" s="58"/>
      <c r="G1" s="58"/>
    </row>
    <row r="2" spans="1:7" x14ac:dyDescent="0.25">
      <c r="A2" s="59"/>
      <c r="B2" s="60"/>
      <c r="C2" s="10" t="s">
        <v>147</v>
      </c>
      <c r="D2" s="10" t="s">
        <v>148</v>
      </c>
      <c r="E2" s="10" t="s">
        <v>149</v>
      </c>
      <c r="F2" s="10" t="s">
        <v>150</v>
      </c>
      <c r="G2" s="11" t="s">
        <v>151</v>
      </c>
    </row>
    <row r="3" spans="1:7" ht="75" x14ac:dyDescent="0.25">
      <c r="A3" s="12" t="s">
        <v>152</v>
      </c>
      <c r="B3" s="13" t="s">
        <v>153</v>
      </c>
      <c r="C3" s="47" t="s">
        <v>495</v>
      </c>
      <c r="D3" s="47" t="s">
        <v>496</v>
      </c>
      <c r="E3" s="47" t="s">
        <v>495</v>
      </c>
      <c r="F3" s="48" t="s">
        <v>497</v>
      </c>
      <c r="G3" s="49" t="s">
        <v>496</v>
      </c>
    </row>
    <row r="4" spans="1:7" ht="90" x14ac:dyDescent="0.25">
      <c r="A4" s="12" t="s">
        <v>154</v>
      </c>
      <c r="B4" s="13" t="s">
        <v>155</v>
      </c>
      <c r="C4" s="50" t="s">
        <v>498</v>
      </c>
      <c r="D4" s="50" t="s">
        <v>518</v>
      </c>
      <c r="E4" s="50" t="s">
        <v>498</v>
      </c>
      <c r="F4" s="48" t="s">
        <v>497</v>
      </c>
      <c r="G4" s="51" t="s">
        <v>518</v>
      </c>
    </row>
    <row r="5" spans="1:7" ht="90" x14ac:dyDescent="0.25">
      <c r="A5" s="12" t="s">
        <v>156</v>
      </c>
      <c r="B5" s="13" t="s">
        <v>157</v>
      </c>
      <c r="C5" s="50" t="s">
        <v>519</v>
      </c>
      <c r="D5" s="50" t="s">
        <v>499</v>
      </c>
      <c r="E5" s="52" t="s">
        <v>520</v>
      </c>
      <c r="F5" s="50" t="s">
        <v>519</v>
      </c>
      <c r="G5" s="51" t="s">
        <v>499</v>
      </c>
    </row>
    <row r="6" spans="1:7" ht="90" x14ac:dyDescent="0.25">
      <c r="A6" s="12" t="s">
        <v>158</v>
      </c>
      <c r="B6" s="13" t="s">
        <v>159</v>
      </c>
      <c r="C6" s="50" t="s">
        <v>500</v>
      </c>
      <c r="D6" s="50" t="s">
        <v>501</v>
      </c>
      <c r="E6" s="52" t="s">
        <v>520</v>
      </c>
      <c r="F6" s="50" t="s">
        <v>500</v>
      </c>
      <c r="G6" s="51" t="s">
        <v>501</v>
      </c>
    </row>
    <row r="7" spans="1:7" ht="90" x14ac:dyDescent="0.25">
      <c r="A7" s="12" t="s">
        <v>160</v>
      </c>
      <c r="B7" s="13" t="s">
        <v>161</v>
      </c>
      <c r="C7" s="50" t="s">
        <v>502</v>
      </c>
      <c r="D7" s="53" t="s">
        <v>162</v>
      </c>
      <c r="E7" s="53" t="s">
        <v>162</v>
      </c>
      <c r="F7" s="50" t="s">
        <v>502</v>
      </c>
      <c r="G7" s="54" t="s">
        <v>507</v>
      </c>
    </row>
    <row r="8" spans="1:7" ht="90" x14ac:dyDescent="0.25">
      <c r="A8" s="14" t="s">
        <v>163</v>
      </c>
      <c r="B8" s="15" t="s">
        <v>4</v>
      </c>
      <c r="C8" s="50" t="s">
        <v>503</v>
      </c>
      <c r="D8" s="50" t="s">
        <v>504</v>
      </c>
      <c r="E8" s="50" t="s">
        <v>503</v>
      </c>
      <c r="F8" s="50" t="s">
        <v>504</v>
      </c>
      <c r="G8" s="54" t="s">
        <v>507</v>
      </c>
    </row>
    <row r="9" spans="1:7" ht="90" x14ac:dyDescent="0.25">
      <c r="A9" s="12" t="s">
        <v>164</v>
      </c>
      <c r="B9" s="13" t="s">
        <v>5</v>
      </c>
      <c r="C9" s="50" t="s">
        <v>505</v>
      </c>
      <c r="D9" s="50" t="s">
        <v>506</v>
      </c>
      <c r="E9" s="50" t="s">
        <v>505</v>
      </c>
      <c r="F9" s="50" t="s">
        <v>506</v>
      </c>
      <c r="G9" s="51"/>
    </row>
    <row r="10" spans="1:7" ht="90" x14ac:dyDescent="0.25">
      <c r="A10" s="12" t="s">
        <v>165</v>
      </c>
      <c r="B10" s="13" t="s">
        <v>166</v>
      </c>
      <c r="C10" s="50" t="s">
        <v>521</v>
      </c>
      <c r="D10" s="50" t="s">
        <v>508</v>
      </c>
      <c r="E10" s="50" t="s">
        <v>509</v>
      </c>
      <c r="F10" s="50" t="s">
        <v>510</v>
      </c>
      <c r="G10" s="51"/>
    </row>
    <row r="11" spans="1:7" ht="30" x14ac:dyDescent="0.25">
      <c r="A11" s="12" t="s">
        <v>167</v>
      </c>
      <c r="B11" s="13" t="s">
        <v>168</v>
      </c>
      <c r="C11" s="47" t="s">
        <v>511</v>
      </c>
      <c r="D11" s="47" t="s">
        <v>512</v>
      </c>
      <c r="E11" s="47" t="s">
        <v>493</v>
      </c>
      <c r="F11" s="47" t="s">
        <v>513</v>
      </c>
      <c r="G11" s="51"/>
    </row>
    <row r="12" spans="1:7" ht="45.75" thickBot="1" x14ac:dyDescent="0.3">
      <c r="A12" s="16" t="s">
        <v>169</v>
      </c>
      <c r="B12" s="17" t="s">
        <v>168</v>
      </c>
      <c r="C12" s="55" t="s">
        <v>514</v>
      </c>
      <c r="D12" s="55" t="s">
        <v>515</v>
      </c>
      <c r="E12" s="55" t="s">
        <v>516</v>
      </c>
      <c r="F12" s="55" t="s">
        <v>517</v>
      </c>
      <c r="G12" s="56"/>
    </row>
  </sheetData>
  <mergeCells count="1">
    <mergeCell ref="A2:B2"/>
  </mergeCells>
  <pageMargins left="0.25" right="0.25" top="0.75" bottom="0.75" header="0.3" footer="0.3"/>
  <pageSetup scale="58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Q51"/>
  <sheetViews>
    <sheetView topLeftCell="A29" workbookViewId="0">
      <selection activeCell="A2" sqref="A2:I51"/>
    </sheetView>
  </sheetViews>
  <sheetFormatPr defaultRowHeight="15" x14ac:dyDescent="0.25"/>
  <cols>
    <col min="1" max="1" width="10" bestFit="1" customWidth="1"/>
    <col min="2" max="2" width="15.7109375" customWidth="1"/>
    <col min="3" max="3" width="14.28515625" bestFit="1" customWidth="1"/>
    <col min="4" max="9" width="9" bestFit="1" customWidth="1"/>
    <col min="10" max="13" width="12" bestFit="1" customWidth="1"/>
    <col min="18" max="18" width="7.42578125" customWidth="1"/>
    <col min="19" max="19" width="1.7109375" customWidth="1"/>
  </cols>
  <sheetData>
    <row r="1" spans="1:17" x14ac:dyDescent="0.25">
      <c r="A1" s="18" t="s">
        <v>18</v>
      </c>
      <c r="B1" s="18" t="s">
        <v>19</v>
      </c>
      <c r="C1" s="18" t="s">
        <v>279</v>
      </c>
      <c r="D1" s="18" t="s">
        <v>172</v>
      </c>
      <c r="E1" s="18" t="s">
        <v>173</v>
      </c>
      <c r="F1" s="18" t="s">
        <v>174</v>
      </c>
      <c r="G1" s="18" t="s">
        <v>175</v>
      </c>
      <c r="H1" s="18" t="s">
        <v>176</v>
      </c>
      <c r="I1" s="18" t="s">
        <v>177</v>
      </c>
      <c r="J1" s="18" t="s">
        <v>37</v>
      </c>
      <c r="K1" s="18" t="s">
        <v>38</v>
      </c>
      <c r="L1" s="18" t="s">
        <v>39</v>
      </c>
      <c r="M1" s="18" t="s">
        <v>40</v>
      </c>
      <c r="N1" s="18" t="s">
        <v>178</v>
      </c>
      <c r="O1" s="18" t="s">
        <v>179</v>
      </c>
      <c r="P1" s="18" t="s">
        <v>180</v>
      </c>
      <c r="Q1" s="18" t="s">
        <v>181</v>
      </c>
    </row>
    <row r="2" spans="1:17" x14ac:dyDescent="0.25">
      <c r="A2" t="s">
        <v>314</v>
      </c>
      <c r="B2" t="s">
        <v>24</v>
      </c>
      <c r="C2">
        <v>0</v>
      </c>
      <c r="D2" t="s">
        <v>183</v>
      </c>
      <c r="E2" t="s">
        <v>91</v>
      </c>
      <c r="F2" t="s">
        <v>86</v>
      </c>
      <c r="G2" t="s">
        <v>92</v>
      </c>
      <c r="H2" t="s">
        <v>90</v>
      </c>
      <c r="J2" t="s">
        <v>203</v>
      </c>
      <c r="K2" t="s">
        <v>201</v>
      </c>
      <c r="L2" t="s">
        <v>204</v>
      </c>
      <c r="M2" t="s">
        <v>202</v>
      </c>
      <c r="N2" s="21">
        <f>IFERROR(MATCH(LEFT(CProf[[#This Row],[Session_1]],5),CProf[[#This Row],[Pref_1]:[Pref_6]],0),"")</f>
        <v>1</v>
      </c>
      <c r="O2" s="21">
        <f>IFERROR(MATCH(LEFT(CProf[[#This Row],[Session_2]],5),CProf[[#This Row],[Pref_1]:[Pref_6]],0),"")</f>
        <v>1</v>
      </c>
      <c r="P2" s="21">
        <f>IFERROR(MATCH(LEFT(CProf[[#This Row],[Session_3]],5),CProf[[#This Row],[Pref_1]:[Pref_6]],0),"")</f>
        <v>1</v>
      </c>
      <c r="Q2" s="21">
        <f>IFERROR(MATCH(LEFT(CProf[[#This Row],[Session_4]],5),CProf[[#This Row],[Pref_1]:[Pref_6]],0),"")</f>
        <v>1</v>
      </c>
    </row>
    <row r="3" spans="1:17" x14ac:dyDescent="0.25">
      <c r="A3" t="s">
        <v>330</v>
      </c>
      <c r="B3" t="s">
        <v>4</v>
      </c>
      <c r="C3">
        <v>3</v>
      </c>
      <c r="D3" t="s">
        <v>94</v>
      </c>
      <c r="E3" t="s">
        <v>61</v>
      </c>
      <c r="F3" t="s">
        <v>43</v>
      </c>
      <c r="J3" t="s">
        <v>265</v>
      </c>
      <c r="N3" s="21">
        <f>IFERROR(MATCH(LEFT(CProf[[#This Row],[Session_1]],5),CProf[[#This Row],[Pref_1]:[Pref_6]],0),"")</f>
        <v>1</v>
      </c>
      <c r="O3" s="21" t="str">
        <f>IFERROR(MATCH(LEFT(CProf[[#This Row],[Session_2]],5),CProf[[#This Row],[Pref_1]:[Pref_6]],0),"")</f>
        <v/>
      </c>
      <c r="P3" s="21" t="str">
        <f>IFERROR(MATCH(LEFT(CProf[[#This Row],[Session_3]],5),CProf[[#This Row],[Pref_1]:[Pref_6]],0),"")</f>
        <v/>
      </c>
      <c r="Q3" s="21" t="str">
        <f>IFERROR(MATCH(LEFT(CProf[[#This Row],[Session_4]],5),CProf[[#This Row],[Pref_1]:[Pref_6]],0),"")</f>
        <v/>
      </c>
    </row>
    <row r="4" spans="1:17" x14ac:dyDescent="0.25">
      <c r="A4" t="s">
        <v>316</v>
      </c>
      <c r="B4" t="s">
        <v>24</v>
      </c>
      <c r="C4">
        <v>2</v>
      </c>
      <c r="D4" t="s">
        <v>75</v>
      </c>
      <c r="E4" t="s">
        <v>101</v>
      </c>
      <c r="F4" t="s">
        <v>50</v>
      </c>
      <c r="G4" t="s">
        <v>99</v>
      </c>
      <c r="H4" t="s">
        <v>92</v>
      </c>
      <c r="J4" t="s">
        <v>246</v>
      </c>
      <c r="K4" t="s">
        <v>263</v>
      </c>
      <c r="N4" s="21">
        <f>IFERROR(MATCH(LEFT(CProf[[#This Row],[Session_1]],5),CProf[[#This Row],[Pref_1]:[Pref_6]],0),"")</f>
        <v>1</v>
      </c>
      <c r="O4" s="21">
        <f>IFERROR(MATCH(LEFT(CProf[[#This Row],[Session_2]],5),CProf[[#This Row],[Pref_1]:[Pref_6]],0),"")</f>
        <v>5</v>
      </c>
      <c r="P4" s="21" t="str">
        <f>IFERROR(MATCH(LEFT(CProf[[#This Row],[Session_3]],5),CProf[[#This Row],[Pref_1]:[Pref_6]],0),"")</f>
        <v/>
      </c>
      <c r="Q4" s="21" t="str">
        <f>IFERROR(MATCH(LEFT(CProf[[#This Row],[Session_4]],5),CProf[[#This Row],[Pref_1]:[Pref_6]],0),"")</f>
        <v/>
      </c>
    </row>
    <row r="5" spans="1:17" x14ac:dyDescent="0.25">
      <c r="A5" t="s">
        <v>322</v>
      </c>
      <c r="B5" t="s">
        <v>4</v>
      </c>
      <c r="C5">
        <v>1</v>
      </c>
      <c r="D5" t="s">
        <v>55</v>
      </c>
      <c r="E5" t="s">
        <v>78</v>
      </c>
      <c r="F5" t="s">
        <v>64</v>
      </c>
      <c r="G5" t="s">
        <v>97</v>
      </c>
      <c r="H5" t="s">
        <v>74</v>
      </c>
      <c r="I5" t="s">
        <v>83</v>
      </c>
      <c r="J5" t="s">
        <v>249</v>
      </c>
      <c r="K5" t="s">
        <v>226</v>
      </c>
      <c r="L5" t="s">
        <v>268</v>
      </c>
      <c r="N5" s="21">
        <f>IFERROR(MATCH(LEFT(CProf[[#This Row],[Session_1]],5),CProf[[#This Row],[Pref_1]:[Pref_6]],0),"")</f>
        <v>2</v>
      </c>
      <c r="O5" s="21">
        <f>IFERROR(MATCH(LEFT(CProf[[#This Row],[Session_2]],5),CProf[[#This Row],[Pref_1]:[Pref_6]],0),"")</f>
        <v>1</v>
      </c>
      <c r="P5" s="21">
        <f>IFERROR(MATCH(LEFT(CProf[[#This Row],[Session_3]],5),CProf[[#This Row],[Pref_1]:[Pref_6]],0),"")</f>
        <v>4</v>
      </c>
      <c r="Q5" s="21" t="str">
        <f>IFERROR(MATCH(LEFT(CProf[[#This Row],[Session_4]],5),CProf[[#This Row],[Pref_1]:[Pref_6]],0),"")</f>
        <v/>
      </c>
    </row>
    <row r="6" spans="1:17" x14ac:dyDescent="0.25">
      <c r="A6" t="s">
        <v>300</v>
      </c>
      <c r="B6" t="s">
        <v>4</v>
      </c>
      <c r="C6">
        <v>0</v>
      </c>
      <c r="D6" t="s">
        <v>95</v>
      </c>
      <c r="E6" t="s">
        <v>97</v>
      </c>
      <c r="F6" t="s">
        <v>8</v>
      </c>
      <c r="G6" t="s">
        <v>145</v>
      </c>
      <c r="H6" t="s">
        <v>86</v>
      </c>
      <c r="I6" t="s">
        <v>98</v>
      </c>
      <c r="J6" t="s">
        <v>194</v>
      </c>
      <c r="K6" t="s">
        <v>196</v>
      </c>
      <c r="L6" t="s">
        <v>193</v>
      </c>
      <c r="M6" t="s">
        <v>195</v>
      </c>
      <c r="N6" s="21">
        <f>IFERROR(MATCH(LEFT(CProf[[#This Row],[Session_1]],5),CProf[[#This Row],[Pref_1]:[Pref_6]],0),"")</f>
        <v>4</v>
      </c>
      <c r="O6" s="21">
        <f>IFERROR(MATCH(LEFT(CProf[[#This Row],[Session_2]],5),CProf[[#This Row],[Pref_1]:[Pref_6]],0),"")</f>
        <v>4</v>
      </c>
      <c r="P6" s="21">
        <f>IFERROR(MATCH(LEFT(CProf[[#This Row],[Session_3]],5),CProf[[#This Row],[Pref_1]:[Pref_6]],0),"")</f>
        <v>4</v>
      </c>
      <c r="Q6" s="21">
        <f>IFERROR(MATCH(LEFT(CProf[[#This Row],[Session_4]],5),CProf[[#This Row],[Pref_1]:[Pref_6]],0),"")</f>
        <v>4</v>
      </c>
    </row>
    <row r="7" spans="1:17" x14ac:dyDescent="0.25">
      <c r="A7" t="s">
        <v>302</v>
      </c>
      <c r="B7" t="s">
        <v>4</v>
      </c>
      <c r="C7">
        <v>0</v>
      </c>
      <c r="D7" t="s">
        <v>43</v>
      </c>
      <c r="E7" t="s">
        <v>58</v>
      </c>
      <c r="F7" t="s">
        <v>87</v>
      </c>
      <c r="G7" t="s">
        <v>50</v>
      </c>
      <c r="H7" t="s">
        <v>75</v>
      </c>
      <c r="I7" t="s">
        <v>144</v>
      </c>
      <c r="J7" t="s">
        <v>192</v>
      </c>
      <c r="K7" t="s">
        <v>189</v>
      </c>
      <c r="L7" t="s">
        <v>191</v>
      </c>
      <c r="M7" t="s">
        <v>190</v>
      </c>
      <c r="N7" s="21">
        <f>IFERROR(MATCH(LEFT(CProf[[#This Row],[Session_1]],5),CProf[[#This Row],[Pref_1]:[Pref_6]],0),"")</f>
        <v>6</v>
      </c>
      <c r="O7" s="21">
        <f>IFERROR(MATCH(LEFT(CProf[[#This Row],[Session_2]],5),CProf[[#This Row],[Pref_1]:[Pref_6]],0),"")</f>
        <v>6</v>
      </c>
      <c r="P7" s="21">
        <f>IFERROR(MATCH(LEFT(CProf[[#This Row],[Session_3]],5),CProf[[#This Row],[Pref_1]:[Pref_6]],0),"")</f>
        <v>6</v>
      </c>
      <c r="Q7" s="21">
        <f>IFERROR(MATCH(LEFT(CProf[[#This Row],[Session_4]],5),CProf[[#This Row],[Pref_1]:[Pref_6]],0),"")</f>
        <v>6</v>
      </c>
    </row>
    <row r="8" spans="1:17" x14ac:dyDescent="0.25">
      <c r="A8" t="s">
        <v>311</v>
      </c>
      <c r="B8" t="s">
        <v>24</v>
      </c>
      <c r="C8">
        <v>2</v>
      </c>
      <c r="D8" t="s">
        <v>43</v>
      </c>
      <c r="E8" t="s">
        <v>66</v>
      </c>
      <c r="F8" t="s">
        <v>80</v>
      </c>
      <c r="G8" t="s">
        <v>63</v>
      </c>
      <c r="H8" t="s">
        <v>70</v>
      </c>
      <c r="J8" t="s">
        <v>234</v>
      </c>
      <c r="K8" t="s">
        <v>237</v>
      </c>
      <c r="N8" s="21">
        <f>IFERROR(MATCH(LEFT(CProf[[#This Row],[Session_1]],5),CProf[[#This Row],[Pref_1]:[Pref_6]],0),"")</f>
        <v>4</v>
      </c>
      <c r="O8" s="21">
        <f>IFERROR(MATCH(LEFT(CProf[[#This Row],[Session_2]],5),CProf[[#This Row],[Pref_1]:[Pref_6]],0),"")</f>
        <v>2</v>
      </c>
      <c r="P8" s="21" t="str">
        <f>IFERROR(MATCH(LEFT(CProf[[#This Row],[Session_3]],5),CProf[[#This Row],[Pref_1]:[Pref_6]],0),"")</f>
        <v/>
      </c>
      <c r="Q8" s="21" t="str">
        <f>IFERROR(MATCH(LEFT(CProf[[#This Row],[Session_4]],5),CProf[[#This Row],[Pref_1]:[Pref_6]],0),"")</f>
        <v/>
      </c>
    </row>
    <row r="9" spans="1:17" x14ac:dyDescent="0.25">
      <c r="A9" t="s">
        <v>293</v>
      </c>
      <c r="B9" t="s">
        <v>4</v>
      </c>
      <c r="C9">
        <v>0</v>
      </c>
      <c r="D9" t="s">
        <v>72</v>
      </c>
      <c r="E9" t="s">
        <v>67</v>
      </c>
      <c r="F9" t="s">
        <v>143</v>
      </c>
      <c r="G9" t="s">
        <v>89</v>
      </c>
      <c r="H9" t="s">
        <v>51</v>
      </c>
      <c r="J9" t="s">
        <v>188</v>
      </c>
      <c r="K9" t="s">
        <v>185</v>
      </c>
      <c r="L9" t="s">
        <v>187</v>
      </c>
      <c r="M9" t="s">
        <v>186</v>
      </c>
      <c r="N9" s="21">
        <f>IFERROR(MATCH(LEFT(CProf[[#This Row],[Session_1]],5),CProf[[#This Row],[Pref_1]:[Pref_6]],0),"")</f>
        <v>3</v>
      </c>
      <c r="O9" s="21">
        <f>IFERROR(MATCH(LEFT(CProf[[#This Row],[Session_2]],5),CProf[[#This Row],[Pref_1]:[Pref_6]],0),"")</f>
        <v>3</v>
      </c>
      <c r="P9" s="21">
        <f>IFERROR(MATCH(LEFT(CProf[[#This Row],[Session_3]],5),CProf[[#This Row],[Pref_1]:[Pref_6]],0),"")</f>
        <v>3</v>
      </c>
      <c r="Q9" s="21">
        <f>IFERROR(MATCH(LEFT(CProf[[#This Row],[Session_4]],5),CProf[[#This Row],[Pref_1]:[Pref_6]],0),"")</f>
        <v>3</v>
      </c>
    </row>
    <row r="10" spans="1:17" x14ac:dyDescent="0.25">
      <c r="A10" t="s">
        <v>341</v>
      </c>
      <c r="B10" t="s">
        <v>4</v>
      </c>
      <c r="C10">
        <v>1</v>
      </c>
      <c r="D10" t="s">
        <v>104</v>
      </c>
      <c r="E10" t="s">
        <v>11</v>
      </c>
      <c r="F10" t="s">
        <v>49</v>
      </c>
      <c r="G10" t="s">
        <v>99</v>
      </c>
      <c r="H10" t="s">
        <v>73</v>
      </c>
      <c r="J10" t="s">
        <v>270</v>
      </c>
      <c r="K10" t="s">
        <v>205</v>
      </c>
      <c r="N10" s="21">
        <f>IFERROR(MATCH(LEFT(CProf[[#This Row],[Session_1]],5),CProf[[#This Row],[Pref_1]:[Pref_6]],0),"")</f>
        <v>4</v>
      </c>
      <c r="O10" s="21">
        <f>IFERROR(MATCH(LEFT(CProf[[#This Row],[Session_2]],5),CProf[[#This Row],[Pref_1]:[Pref_6]],0),"")</f>
        <v>2</v>
      </c>
      <c r="P10" s="21" t="str">
        <f>IFERROR(MATCH(LEFT(CProf[[#This Row],[Session_3]],5),CProf[[#This Row],[Pref_1]:[Pref_6]],0),"")</f>
        <v/>
      </c>
      <c r="Q10" s="21" t="str">
        <f>IFERROR(MATCH(LEFT(CProf[[#This Row],[Session_4]],5),CProf[[#This Row],[Pref_1]:[Pref_6]],0),"")</f>
        <v/>
      </c>
    </row>
    <row r="11" spans="1:17" x14ac:dyDescent="0.25">
      <c r="A11" t="s">
        <v>299</v>
      </c>
      <c r="B11" t="s">
        <v>24</v>
      </c>
      <c r="C11">
        <v>3</v>
      </c>
      <c r="D11" t="s">
        <v>80</v>
      </c>
      <c r="E11" t="s">
        <v>69</v>
      </c>
      <c r="F11" t="s">
        <v>104</v>
      </c>
      <c r="G11" t="s">
        <v>70</v>
      </c>
      <c r="H11" t="s">
        <v>92</v>
      </c>
      <c r="N11" s="21" t="str">
        <f>IFERROR(MATCH(LEFT(CProf[[#This Row],[Session_1]],5),CProf[[#This Row],[Pref_1]:[Pref_6]],0),"")</f>
        <v/>
      </c>
      <c r="O11" s="21" t="str">
        <f>IFERROR(MATCH(LEFT(CProf[[#This Row],[Session_2]],5),CProf[[#This Row],[Pref_1]:[Pref_6]],0),"")</f>
        <v/>
      </c>
      <c r="P11" s="21" t="str">
        <f>IFERROR(MATCH(LEFT(CProf[[#This Row],[Session_3]],5),CProf[[#This Row],[Pref_1]:[Pref_6]],0),"")</f>
        <v/>
      </c>
      <c r="Q11" s="21" t="str">
        <f>IFERROR(MATCH(LEFT(CProf[[#This Row],[Session_4]],5),CProf[[#This Row],[Pref_1]:[Pref_6]],0),"")</f>
        <v/>
      </c>
    </row>
    <row r="12" spans="1:17" x14ac:dyDescent="0.25">
      <c r="A12" t="s">
        <v>328</v>
      </c>
      <c r="B12" t="s">
        <v>4</v>
      </c>
      <c r="C12">
        <v>0</v>
      </c>
      <c r="D12" t="s">
        <v>53</v>
      </c>
      <c r="E12" t="s">
        <v>107</v>
      </c>
      <c r="J12" t="s">
        <v>224</v>
      </c>
      <c r="K12" t="s">
        <v>278</v>
      </c>
      <c r="N12" s="21">
        <f>IFERROR(MATCH(LEFT(CProf[[#This Row],[Session_1]],5),CProf[[#This Row],[Pref_1]:[Pref_6]],0),"")</f>
        <v>1</v>
      </c>
      <c r="O12" s="21">
        <f>IFERROR(MATCH(LEFT(CProf[[#This Row],[Session_2]],5),CProf[[#This Row],[Pref_1]:[Pref_6]],0),"")</f>
        <v>2</v>
      </c>
      <c r="P12" s="21" t="str">
        <f>IFERROR(MATCH(LEFT(CProf[[#This Row],[Session_3]],5),CProf[[#This Row],[Pref_1]:[Pref_6]],0),"")</f>
        <v/>
      </c>
      <c r="Q12" s="21" t="str">
        <f>IFERROR(MATCH(LEFT(CProf[[#This Row],[Session_4]],5),CProf[[#This Row],[Pref_1]:[Pref_6]],0),"")</f>
        <v/>
      </c>
    </row>
    <row r="13" spans="1:17" x14ac:dyDescent="0.25">
      <c r="A13" t="s">
        <v>338</v>
      </c>
      <c r="B13" t="s">
        <v>4</v>
      </c>
      <c r="C13">
        <v>2</v>
      </c>
      <c r="D13" t="s">
        <v>183</v>
      </c>
      <c r="E13" t="s">
        <v>12</v>
      </c>
      <c r="F13" t="s">
        <v>14</v>
      </c>
      <c r="G13" t="s">
        <v>64</v>
      </c>
      <c r="H13" t="s">
        <v>144</v>
      </c>
      <c r="J13" t="s">
        <v>206</v>
      </c>
      <c r="N13" s="21">
        <f>IFERROR(MATCH(LEFT(CProf[[#This Row],[Session_1]],5),CProf[[#This Row],[Pref_1]:[Pref_6]],0),"")</f>
        <v>2</v>
      </c>
      <c r="O13" s="21" t="str">
        <f>IFERROR(MATCH(LEFT(CProf[[#This Row],[Session_2]],5),CProf[[#This Row],[Pref_1]:[Pref_6]],0),"")</f>
        <v/>
      </c>
      <c r="P13" s="21" t="str">
        <f>IFERROR(MATCH(LEFT(CProf[[#This Row],[Session_3]],5),CProf[[#This Row],[Pref_1]:[Pref_6]],0),"")</f>
        <v/>
      </c>
      <c r="Q13" s="21" t="str">
        <f>IFERROR(MATCH(LEFT(CProf[[#This Row],[Session_4]],5),CProf[[#This Row],[Pref_1]:[Pref_6]],0),"")</f>
        <v/>
      </c>
    </row>
    <row r="14" spans="1:17" x14ac:dyDescent="0.25">
      <c r="A14" t="s">
        <v>336</v>
      </c>
      <c r="B14" t="s">
        <v>4</v>
      </c>
      <c r="C14">
        <v>0</v>
      </c>
      <c r="D14" t="s">
        <v>72</v>
      </c>
      <c r="E14" t="s">
        <v>6</v>
      </c>
      <c r="F14" t="s">
        <v>10</v>
      </c>
      <c r="J14" t="s">
        <v>25</v>
      </c>
      <c r="K14" t="s">
        <v>243</v>
      </c>
      <c r="N14" s="21">
        <f>IFERROR(MATCH(LEFT(CProf[[#This Row],[Session_1]],5),CProf[[#This Row],[Pref_1]:[Pref_6]],0),"")</f>
        <v>2</v>
      </c>
      <c r="O14" s="21">
        <f>IFERROR(MATCH(LEFT(CProf[[#This Row],[Session_2]],5),CProf[[#This Row],[Pref_1]:[Pref_6]],0),"")</f>
        <v>1</v>
      </c>
      <c r="P14" s="21" t="str">
        <f>IFERROR(MATCH(LEFT(CProf[[#This Row],[Session_3]],5),CProf[[#This Row],[Pref_1]:[Pref_6]],0),"")</f>
        <v/>
      </c>
      <c r="Q14" s="21" t="str">
        <f>IFERROR(MATCH(LEFT(CProf[[#This Row],[Session_4]],5),CProf[[#This Row],[Pref_1]:[Pref_6]],0),"")</f>
        <v/>
      </c>
    </row>
    <row r="15" spans="1:17" x14ac:dyDescent="0.25">
      <c r="A15" t="s">
        <v>321</v>
      </c>
      <c r="B15" t="s">
        <v>4</v>
      </c>
      <c r="C15">
        <v>2</v>
      </c>
      <c r="D15" t="s">
        <v>43</v>
      </c>
      <c r="E15" t="s">
        <v>77</v>
      </c>
      <c r="F15" t="s">
        <v>66</v>
      </c>
      <c r="G15" t="s">
        <v>13</v>
      </c>
      <c r="H15" t="s">
        <v>104</v>
      </c>
      <c r="I15" t="s">
        <v>17</v>
      </c>
      <c r="J15" t="s">
        <v>291</v>
      </c>
      <c r="K15" t="s">
        <v>214</v>
      </c>
      <c r="N15" s="21">
        <f>IFERROR(MATCH(LEFT(CProf[[#This Row],[Session_1]],5),CProf[[#This Row],[Pref_1]:[Pref_6]],0),"")</f>
        <v>1</v>
      </c>
      <c r="O15" s="21">
        <f>IFERROR(MATCH(LEFT(CProf[[#This Row],[Session_2]],5),CProf[[#This Row],[Pref_1]:[Pref_6]],0),"")</f>
        <v>1</v>
      </c>
      <c r="P15" s="21" t="str">
        <f>IFERROR(MATCH(LEFT(CProf[[#This Row],[Session_3]],5),CProf[[#This Row],[Pref_1]:[Pref_6]],0),"")</f>
        <v/>
      </c>
      <c r="Q15" s="21" t="str">
        <f>IFERROR(MATCH(LEFT(CProf[[#This Row],[Session_4]],5),CProf[[#This Row],[Pref_1]:[Pref_6]],0),"")</f>
        <v/>
      </c>
    </row>
    <row r="16" spans="1:17" x14ac:dyDescent="0.25">
      <c r="A16" t="s">
        <v>298</v>
      </c>
      <c r="B16" t="s">
        <v>24</v>
      </c>
      <c r="C16">
        <v>1</v>
      </c>
      <c r="D16" t="s">
        <v>77</v>
      </c>
      <c r="E16" t="s">
        <v>47</v>
      </c>
      <c r="F16" t="s">
        <v>89</v>
      </c>
      <c r="G16" t="s">
        <v>11</v>
      </c>
      <c r="H16" t="s">
        <v>68</v>
      </c>
      <c r="I16" t="s">
        <v>84</v>
      </c>
      <c r="J16" t="s">
        <v>218</v>
      </c>
      <c r="K16" t="s">
        <v>248</v>
      </c>
      <c r="N16" s="21">
        <f>IFERROR(MATCH(LEFT(CProf[[#This Row],[Session_1]],5),CProf[[#This Row],[Pref_1]:[Pref_6]],0),"")</f>
        <v>2</v>
      </c>
      <c r="O16" s="21">
        <f>IFERROR(MATCH(LEFT(CProf[[#This Row],[Session_2]],5),CProf[[#This Row],[Pref_1]:[Pref_6]],0),"")</f>
        <v>1</v>
      </c>
      <c r="P16" s="21" t="str">
        <f>IFERROR(MATCH(LEFT(CProf[[#This Row],[Session_3]],5),CProf[[#This Row],[Pref_1]:[Pref_6]],0),"")</f>
        <v/>
      </c>
      <c r="Q16" s="21" t="str">
        <f>IFERROR(MATCH(LEFT(CProf[[#This Row],[Session_4]],5),CProf[[#This Row],[Pref_1]:[Pref_6]],0),"")</f>
        <v/>
      </c>
    </row>
    <row r="17" spans="1:17" x14ac:dyDescent="0.25">
      <c r="A17" t="s">
        <v>320</v>
      </c>
      <c r="B17" t="s">
        <v>4</v>
      </c>
      <c r="C17">
        <v>0</v>
      </c>
      <c r="D17" t="s">
        <v>10</v>
      </c>
      <c r="E17" t="s">
        <v>44</v>
      </c>
      <c r="F17" t="s">
        <v>95</v>
      </c>
      <c r="G17" t="s">
        <v>59</v>
      </c>
      <c r="H17" t="s">
        <v>143</v>
      </c>
      <c r="I17" t="s">
        <v>83</v>
      </c>
      <c r="J17" t="s">
        <v>266</v>
      </c>
      <c r="K17" t="s">
        <v>29</v>
      </c>
      <c r="N17" s="21">
        <f>IFERROR(MATCH(LEFT(CProf[[#This Row],[Session_1]],5),CProf[[#This Row],[Pref_1]:[Pref_6]],0),"")</f>
        <v>3</v>
      </c>
      <c r="O17" s="21">
        <f>IFERROR(MATCH(LEFT(CProf[[#This Row],[Session_2]],5),CProf[[#This Row],[Pref_1]:[Pref_6]],0),"")</f>
        <v>1</v>
      </c>
      <c r="P17" s="21" t="str">
        <f>IFERROR(MATCH(LEFT(CProf[[#This Row],[Session_3]],5),CProf[[#This Row],[Pref_1]:[Pref_6]],0),"")</f>
        <v/>
      </c>
      <c r="Q17" s="21" t="str">
        <f>IFERROR(MATCH(LEFT(CProf[[#This Row],[Session_4]],5),CProf[[#This Row],[Pref_1]:[Pref_6]],0),"")</f>
        <v/>
      </c>
    </row>
    <row r="18" spans="1:17" x14ac:dyDescent="0.25">
      <c r="A18" t="s">
        <v>312</v>
      </c>
      <c r="B18" t="s">
        <v>24</v>
      </c>
      <c r="C18">
        <v>0</v>
      </c>
      <c r="D18" t="s">
        <v>57</v>
      </c>
      <c r="E18" t="s">
        <v>83</v>
      </c>
      <c r="F18" t="s">
        <v>106</v>
      </c>
      <c r="G18" t="s">
        <v>71</v>
      </c>
      <c r="H18" t="s">
        <v>78</v>
      </c>
      <c r="J18" t="s">
        <v>228</v>
      </c>
      <c r="N18" s="21">
        <f>IFERROR(MATCH(LEFT(CProf[[#This Row],[Session_1]],5),CProf[[#This Row],[Pref_1]:[Pref_6]],0),"")</f>
        <v>1</v>
      </c>
      <c r="O18" s="21" t="str">
        <f>IFERROR(MATCH(LEFT(CProf[[#This Row],[Session_2]],5),CProf[[#This Row],[Pref_1]:[Pref_6]],0),"")</f>
        <v/>
      </c>
      <c r="P18" s="21" t="str">
        <f>IFERROR(MATCH(LEFT(CProf[[#This Row],[Session_3]],5),CProf[[#This Row],[Pref_1]:[Pref_6]],0),"")</f>
        <v/>
      </c>
      <c r="Q18" s="21" t="str">
        <f>IFERROR(MATCH(LEFT(CProf[[#This Row],[Session_4]],5),CProf[[#This Row],[Pref_1]:[Pref_6]],0),"")</f>
        <v/>
      </c>
    </row>
    <row r="19" spans="1:17" x14ac:dyDescent="0.25">
      <c r="A19" t="s">
        <v>333</v>
      </c>
      <c r="B19" t="s">
        <v>4</v>
      </c>
      <c r="C19">
        <v>2</v>
      </c>
      <c r="D19" t="s">
        <v>68</v>
      </c>
      <c r="E19" t="s">
        <v>107</v>
      </c>
      <c r="F19" t="s">
        <v>7</v>
      </c>
      <c r="G19" t="s">
        <v>81</v>
      </c>
      <c r="H19" t="s">
        <v>89</v>
      </c>
      <c r="I19" t="s">
        <v>11</v>
      </c>
      <c r="J19" t="s">
        <v>26</v>
      </c>
      <c r="K19" t="s">
        <v>239</v>
      </c>
      <c r="N19" s="21">
        <f>IFERROR(MATCH(LEFT(CProf[[#This Row],[Session_1]],5),CProf[[#This Row],[Pref_1]:[Pref_6]],0),"")</f>
        <v>3</v>
      </c>
      <c r="O19" s="21">
        <f>IFERROR(MATCH(LEFT(CProf[[#This Row],[Session_2]],5),CProf[[#This Row],[Pref_1]:[Pref_6]],0),"")</f>
        <v>1</v>
      </c>
      <c r="P19" s="21" t="str">
        <f>IFERROR(MATCH(LEFT(CProf[[#This Row],[Session_3]],5),CProf[[#This Row],[Pref_1]:[Pref_6]],0),"")</f>
        <v/>
      </c>
      <c r="Q19" s="21" t="str">
        <f>IFERROR(MATCH(LEFT(CProf[[#This Row],[Session_4]],5),CProf[[#This Row],[Pref_1]:[Pref_6]],0),"")</f>
        <v/>
      </c>
    </row>
    <row r="20" spans="1:17" x14ac:dyDescent="0.25">
      <c r="A20" t="s">
        <v>303</v>
      </c>
      <c r="B20" t="s">
        <v>4</v>
      </c>
      <c r="C20">
        <v>0</v>
      </c>
      <c r="D20" t="s">
        <v>9</v>
      </c>
      <c r="E20" t="s">
        <v>45</v>
      </c>
      <c r="F20" t="s">
        <v>67</v>
      </c>
      <c r="G20" t="s">
        <v>81</v>
      </c>
      <c r="H20" t="s">
        <v>77</v>
      </c>
      <c r="I20" t="s">
        <v>182</v>
      </c>
      <c r="J20" t="s">
        <v>238</v>
      </c>
      <c r="K20" t="s">
        <v>28</v>
      </c>
      <c r="N20" s="21">
        <f>IFERROR(MATCH(LEFT(CProf[[#This Row],[Session_1]],5),CProf[[#This Row],[Pref_1]:[Pref_6]],0),"")</f>
        <v>3</v>
      </c>
      <c r="O20" s="21">
        <f>IFERROR(MATCH(LEFT(CProf[[#This Row],[Session_2]],5),CProf[[#This Row],[Pref_1]:[Pref_6]],0),"")</f>
        <v>1</v>
      </c>
      <c r="P20" s="21" t="str">
        <f>IFERROR(MATCH(LEFT(CProf[[#This Row],[Session_3]],5),CProf[[#This Row],[Pref_1]:[Pref_6]],0),"")</f>
        <v/>
      </c>
      <c r="Q20" s="21" t="str">
        <f>IFERROR(MATCH(LEFT(CProf[[#This Row],[Session_4]],5),CProf[[#This Row],[Pref_1]:[Pref_6]],0),"")</f>
        <v/>
      </c>
    </row>
    <row r="21" spans="1:17" x14ac:dyDescent="0.25">
      <c r="A21" t="s">
        <v>310</v>
      </c>
      <c r="B21" t="s">
        <v>24</v>
      </c>
      <c r="C21">
        <v>0</v>
      </c>
      <c r="D21" t="s">
        <v>93</v>
      </c>
      <c r="E21" t="s">
        <v>89</v>
      </c>
      <c r="F21" t="s">
        <v>101</v>
      </c>
      <c r="G21" t="s">
        <v>182</v>
      </c>
      <c r="H21" t="s">
        <v>67</v>
      </c>
      <c r="J21" t="s">
        <v>260</v>
      </c>
      <c r="N21" s="21">
        <f>IFERROR(MATCH(LEFT(CProf[[#This Row],[Session_1]],5),CProf[[#This Row],[Pref_1]:[Pref_6]],0),"")</f>
        <v>2</v>
      </c>
      <c r="O21" s="21" t="str">
        <f>IFERROR(MATCH(LEFT(CProf[[#This Row],[Session_2]],5),CProf[[#This Row],[Pref_1]:[Pref_6]],0),"")</f>
        <v/>
      </c>
      <c r="P21" s="21" t="str">
        <f>IFERROR(MATCH(LEFT(CProf[[#This Row],[Session_3]],5),CProf[[#This Row],[Pref_1]:[Pref_6]],0),"")</f>
        <v/>
      </c>
      <c r="Q21" s="21" t="str">
        <f>IFERROR(MATCH(LEFT(CProf[[#This Row],[Session_4]],5),CProf[[#This Row],[Pref_1]:[Pref_6]],0),"")</f>
        <v/>
      </c>
    </row>
    <row r="22" spans="1:17" x14ac:dyDescent="0.25">
      <c r="A22" t="s">
        <v>340</v>
      </c>
      <c r="B22" t="s">
        <v>4</v>
      </c>
      <c r="C22">
        <v>0</v>
      </c>
      <c r="D22" t="s">
        <v>72</v>
      </c>
      <c r="E22" t="s">
        <v>77</v>
      </c>
      <c r="F22" t="s">
        <v>11</v>
      </c>
      <c r="G22" t="s">
        <v>87</v>
      </c>
      <c r="H22" t="s">
        <v>41</v>
      </c>
      <c r="J22" t="s">
        <v>280</v>
      </c>
      <c r="K22" t="s">
        <v>289</v>
      </c>
      <c r="L22" t="s">
        <v>212</v>
      </c>
      <c r="M22" t="s">
        <v>258</v>
      </c>
      <c r="N22" s="21">
        <f>IFERROR(MATCH(LEFT(CProf[[#This Row],[Session_1]],5),CProf[[#This Row],[Pref_1]:[Pref_6]],0),"")</f>
        <v>5</v>
      </c>
      <c r="O22" s="21">
        <f>IFERROR(MATCH(LEFT(CProf[[#This Row],[Session_2]],5),CProf[[#This Row],[Pref_1]:[Pref_6]],0),"")</f>
        <v>5</v>
      </c>
      <c r="P22" s="21">
        <f>IFERROR(MATCH(LEFT(CProf[[#This Row],[Session_3]],5),CProf[[#This Row],[Pref_1]:[Pref_6]],0),"")</f>
        <v>5</v>
      </c>
      <c r="Q22" s="21">
        <f>IFERROR(MATCH(LEFT(CProf[[#This Row],[Session_4]],5),CProf[[#This Row],[Pref_1]:[Pref_6]],0),"")</f>
        <v>4</v>
      </c>
    </row>
    <row r="23" spans="1:17" x14ac:dyDescent="0.25">
      <c r="A23" t="s">
        <v>315</v>
      </c>
      <c r="B23" t="s">
        <v>24</v>
      </c>
      <c r="C23">
        <v>1</v>
      </c>
      <c r="D23" t="s">
        <v>80</v>
      </c>
      <c r="E23" t="s">
        <v>93</v>
      </c>
      <c r="F23" t="s">
        <v>50</v>
      </c>
      <c r="G23" t="s">
        <v>98</v>
      </c>
      <c r="H23" t="s">
        <v>91</v>
      </c>
      <c r="J23" t="s">
        <v>269</v>
      </c>
      <c r="K23" t="s">
        <v>262</v>
      </c>
      <c r="N23" s="21">
        <f>IFERROR(MATCH(LEFT(CProf[[#This Row],[Session_1]],5),CProf[[#This Row],[Pref_1]:[Pref_6]],0),"")</f>
        <v>4</v>
      </c>
      <c r="O23" s="21">
        <f>IFERROR(MATCH(LEFT(CProf[[#This Row],[Session_2]],5),CProf[[#This Row],[Pref_1]:[Pref_6]],0),"")</f>
        <v>5</v>
      </c>
      <c r="P23" s="21" t="str">
        <f>IFERROR(MATCH(LEFT(CProf[[#This Row],[Session_3]],5),CProf[[#This Row],[Pref_1]:[Pref_6]],0),"")</f>
        <v/>
      </c>
      <c r="Q23" s="21" t="str">
        <f>IFERROR(MATCH(LEFT(CProf[[#This Row],[Session_4]],5),CProf[[#This Row],[Pref_1]:[Pref_6]],0),"")</f>
        <v/>
      </c>
    </row>
    <row r="24" spans="1:17" x14ac:dyDescent="0.25">
      <c r="A24" t="s">
        <v>297</v>
      </c>
      <c r="B24" t="s">
        <v>4</v>
      </c>
      <c r="C24">
        <v>0</v>
      </c>
      <c r="D24" t="s">
        <v>52</v>
      </c>
      <c r="E24" t="s">
        <v>96</v>
      </c>
      <c r="F24" t="s">
        <v>66</v>
      </c>
      <c r="G24" t="s">
        <v>183</v>
      </c>
      <c r="H24" t="s">
        <v>107</v>
      </c>
      <c r="I24" t="s">
        <v>71</v>
      </c>
      <c r="J24" t="s">
        <v>267</v>
      </c>
      <c r="K24" t="s">
        <v>223</v>
      </c>
      <c r="L24" t="s">
        <v>242</v>
      </c>
      <c r="N24" s="21">
        <f>IFERROR(MATCH(LEFT(CProf[[#This Row],[Session_1]],5),CProf[[#This Row],[Pref_1]:[Pref_6]],0),"")</f>
        <v>2</v>
      </c>
      <c r="O24" s="21">
        <f>IFERROR(MATCH(LEFT(CProf[[#This Row],[Session_2]],5),CProf[[#This Row],[Pref_1]:[Pref_6]],0),"")</f>
        <v>1</v>
      </c>
      <c r="P24" s="21">
        <f>IFERROR(MATCH(LEFT(CProf[[#This Row],[Session_3]],5),CProf[[#This Row],[Pref_1]:[Pref_6]],0),"")</f>
        <v>6</v>
      </c>
      <c r="Q24" s="21" t="str">
        <f>IFERROR(MATCH(LEFT(CProf[[#This Row],[Session_4]],5),CProf[[#This Row],[Pref_1]:[Pref_6]],0),"")</f>
        <v/>
      </c>
    </row>
    <row r="25" spans="1:17" x14ac:dyDescent="0.25">
      <c r="A25" t="s">
        <v>337</v>
      </c>
      <c r="B25" t="s">
        <v>4</v>
      </c>
      <c r="C25">
        <v>2</v>
      </c>
      <c r="D25" t="s">
        <v>103</v>
      </c>
      <c r="E25" t="s">
        <v>54</v>
      </c>
      <c r="F25" t="s">
        <v>56</v>
      </c>
      <c r="G25" t="s">
        <v>8</v>
      </c>
      <c r="H25" t="s">
        <v>50</v>
      </c>
      <c r="J25" t="s">
        <v>225</v>
      </c>
      <c r="K25" t="s">
        <v>274</v>
      </c>
      <c r="N25" s="21">
        <f>IFERROR(MATCH(LEFT(CProf[[#This Row],[Session_1]],5),CProf[[#This Row],[Pref_1]:[Pref_6]],0),"")</f>
        <v>2</v>
      </c>
      <c r="O25" s="21">
        <f>IFERROR(MATCH(LEFT(CProf[[#This Row],[Session_2]],5),CProf[[#This Row],[Pref_1]:[Pref_6]],0),"")</f>
        <v>1</v>
      </c>
      <c r="P25" s="21" t="str">
        <f>IFERROR(MATCH(LEFT(CProf[[#This Row],[Session_3]],5),CProf[[#This Row],[Pref_1]:[Pref_6]],0),"")</f>
        <v/>
      </c>
      <c r="Q25" s="21" t="str">
        <f>IFERROR(MATCH(LEFT(CProf[[#This Row],[Session_4]],5),CProf[[#This Row],[Pref_1]:[Pref_6]],0),"")</f>
        <v/>
      </c>
    </row>
    <row r="26" spans="1:17" x14ac:dyDescent="0.25">
      <c r="A26" t="s">
        <v>332</v>
      </c>
      <c r="B26" t="s">
        <v>4</v>
      </c>
      <c r="C26">
        <v>2</v>
      </c>
      <c r="D26" t="s">
        <v>8</v>
      </c>
      <c r="E26" t="s">
        <v>65</v>
      </c>
      <c r="J26" t="s">
        <v>27</v>
      </c>
      <c r="K26" t="s">
        <v>236</v>
      </c>
      <c r="N26" s="21">
        <f>IFERROR(MATCH(LEFT(CProf[[#This Row],[Session_1]],5),CProf[[#This Row],[Pref_1]:[Pref_6]],0),"")</f>
        <v>1</v>
      </c>
      <c r="O26" s="21">
        <f>IFERROR(MATCH(LEFT(CProf[[#This Row],[Session_2]],5),CProf[[#This Row],[Pref_1]:[Pref_6]],0),"")</f>
        <v>2</v>
      </c>
      <c r="P26" s="21" t="str">
        <f>IFERROR(MATCH(LEFT(CProf[[#This Row],[Session_3]],5),CProf[[#This Row],[Pref_1]:[Pref_6]],0),"")</f>
        <v/>
      </c>
      <c r="Q26" s="21" t="str">
        <f>IFERROR(MATCH(LEFT(CProf[[#This Row],[Session_4]],5),CProf[[#This Row],[Pref_1]:[Pref_6]],0),"")</f>
        <v/>
      </c>
    </row>
    <row r="27" spans="1:17" x14ac:dyDescent="0.25">
      <c r="A27" t="s">
        <v>334</v>
      </c>
      <c r="B27" t="s">
        <v>4</v>
      </c>
      <c r="C27">
        <v>0</v>
      </c>
      <c r="D27" t="s">
        <v>42</v>
      </c>
      <c r="E27" t="s">
        <v>73</v>
      </c>
      <c r="F27" t="s">
        <v>95</v>
      </c>
      <c r="G27" t="s">
        <v>67</v>
      </c>
      <c r="H27" t="s">
        <v>41</v>
      </c>
      <c r="I27" t="s">
        <v>63</v>
      </c>
      <c r="J27" t="s">
        <v>290</v>
      </c>
      <c r="K27" t="s">
        <v>213</v>
      </c>
      <c r="L27" t="s">
        <v>281</v>
      </c>
      <c r="M27" t="s">
        <v>244</v>
      </c>
      <c r="N27" s="21">
        <f>IFERROR(MATCH(LEFT(CProf[[#This Row],[Session_1]],5),CProf[[#This Row],[Pref_1]:[Pref_6]],0),"")</f>
        <v>1</v>
      </c>
      <c r="O27" s="21">
        <f>IFERROR(MATCH(LEFT(CProf[[#This Row],[Session_2]],5),CProf[[#This Row],[Pref_1]:[Pref_6]],0),"")</f>
        <v>1</v>
      </c>
      <c r="P27" s="21">
        <f>IFERROR(MATCH(LEFT(CProf[[#This Row],[Session_3]],5),CProf[[#This Row],[Pref_1]:[Pref_6]],0),"")</f>
        <v>1</v>
      </c>
      <c r="Q27" s="21">
        <f>IFERROR(MATCH(LEFT(CProf[[#This Row],[Session_4]],5),CProf[[#This Row],[Pref_1]:[Pref_6]],0),"")</f>
        <v>2</v>
      </c>
    </row>
    <row r="28" spans="1:17" x14ac:dyDescent="0.25">
      <c r="A28" t="s">
        <v>318</v>
      </c>
      <c r="B28" t="s">
        <v>4</v>
      </c>
      <c r="C28">
        <v>0</v>
      </c>
      <c r="D28" t="s">
        <v>83</v>
      </c>
      <c r="E28" t="s">
        <v>94</v>
      </c>
      <c r="F28" t="s">
        <v>15</v>
      </c>
      <c r="G28" t="s">
        <v>44</v>
      </c>
      <c r="H28" t="s">
        <v>77</v>
      </c>
      <c r="I28" t="s">
        <v>43</v>
      </c>
      <c r="J28" t="s">
        <v>254</v>
      </c>
      <c r="N28" s="21">
        <f>IFERROR(MATCH(LEFT(CProf[[#This Row],[Session_1]],5),CProf[[#This Row],[Pref_1]:[Pref_6]],0),"")</f>
        <v>1</v>
      </c>
      <c r="O28" s="21" t="str">
        <f>IFERROR(MATCH(LEFT(CProf[[#This Row],[Session_2]],5),CProf[[#This Row],[Pref_1]:[Pref_6]],0),"")</f>
        <v/>
      </c>
      <c r="P28" s="21" t="str">
        <f>IFERROR(MATCH(LEFT(CProf[[#This Row],[Session_3]],5),CProf[[#This Row],[Pref_1]:[Pref_6]],0),"")</f>
        <v/>
      </c>
      <c r="Q28" s="21" t="str">
        <f>IFERROR(MATCH(LEFT(CProf[[#This Row],[Session_4]],5),CProf[[#This Row],[Pref_1]:[Pref_6]],0),"")</f>
        <v/>
      </c>
    </row>
    <row r="29" spans="1:17" x14ac:dyDescent="0.25">
      <c r="A29" t="s">
        <v>327</v>
      </c>
      <c r="B29" t="s">
        <v>4</v>
      </c>
      <c r="C29">
        <v>0</v>
      </c>
      <c r="D29" t="s">
        <v>59</v>
      </c>
      <c r="E29" t="s">
        <v>103</v>
      </c>
      <c r="J29" t="s">
        <v>230</v>
      </c>
      <c r="N29" s="21">
        <f>IFERROR(MATCH(LEFT(CProf[[#This Row],[Session_1]],5),CProf[[#This Row],[Pref_1]:[Pref_6]],0),"")</f>
        <v>1</v>
      </c>
      <c r="O29" s="21" t="str">
        <f>IFERROR(MATCH(LEFT(CProf[[#This Row],[Session_2]],5),CProf[[#This Row],[Pref_1]:[Pref_6]],0),"")</f>
        <v/>
      </c>
      <c r="P29" s="21" t="str">
        <f>IFERROR(MATCH(LEFT(CProf[[#This Row],[Session_3]],5),CProf[[#This Row],[Pref_1]:[Pref_6]],0),"")</f>
        <v/>
      </c>
      <c r="Q29" s="21" t="str">
        <f>IFERROR(MATCH(LEFT(CProf[[#This Row],[Session_4]],5),CProf[[#This Row],[Pref_1]:[Pref_6]],0),"")</f>
        <v/>
      </c>
    </row>
    <row r="30" spans="1:17" x14ac:dyDescent="0.25">
      <c r="A30" t="s">
        <v>335</v>
      </c>
      <c r="B30" t="s">
        <v>4</v>
      </c>
      <c r="C30">
        <v>2</v>
      </c>
      <c r="D30" t="s">
        <v>90</v>
      </c>
      <c r="E30" t="s">
        <v>53</v>
      </c>
      <c r="F30" t="s">
        <v>16</v>
      </c>
      <c r="G30" t="s">
        <v>88</v>
      </c>
      <c r="H30" t="s">
        <v>103</v>
      </c>
      <c r="J30" t="s">
        <v>261</v>
      </c>
      <c r="K30" t="s">
        <v>210</v>
      </c>
      <c r="N30" s="21">
        <f>IFERROR(MATCH(LEFT(CProf[[#This Row],[Session_1]],5),CProf[[#This Row],[Pref_1]:[Pref_6]],0),"")</f>
        <v>1</v>
      </c>
      <c r="O30" s="21">
        <f>IFERROR(MATCH(LEFT(CProf[[#This Row],[Session_2]],5),CProf[[#This Row],[Pref_1]:[Pref_6]],0),"")</f>
        <v>3</v>
      </c>
      <c r="P30" s="21" t="str">
        <f>IFERROR(MATCH(LEFT(CProf[[#This Row],[Session_3]],5),CProf[[#This Row],[Pref_1]:[Pref_6]],0),"")</f>
        <v/>
      </c>
      <c r="Q30" s="21" t="str">
        <f>IFERROR(MATCH(LEFT(CProf[[#This Row],[Session_4]],5),CProf[[#This Row],[Pref_1]:[Pref_6]],0),"")</f>
        <v/>
      </c>
    </row>
    <row r="31" spans="1:17" x14ac:dyDescent="0.25">
      <c r="A31" t="s">
        <v>326</v>
      </c>
      <c r="B31" t="s">
        <v>4</v>
      </c>
      <c r="C31">
        <v>0</v>
      </c>
      <c r="D31" t="s">
        <v>100</v>
      </c>
      <c r="E31" t="s">
        <v>64</v>
      </c>
      <c r="F31" t="s">
        <v>145</v>
      </c>
      <c r="G31" t="s">
        <v>76</v>
      </c>
      <c r="H31" t="s">
        <v>45</v>
      </c>
      <c r="I31" t="s">
        <v>11</v>
      </c>
      <c r="J31" t="s">
        <v>235</v>
      </c>
      <c r="K31" t="s">
        <v>271</v>
      </c>
      <c r="L31" t="s">
        <v>216</v>
      </c>
      <c r="N31" s="21">
        <f>IFERROR(MATCH(LEFT(CProf[[#This Row],[Session_1]],5),CProf[[#This Row],[Pref_1]:[Pref_6]],0),"")</f>
        <v>2</v>
      </c>
      <c r="O31" s="21">
        <f>IFERROR(MATCH(LEFT(CProf[[#This Row],[Session_2]],5),CProf[[#This Row],[Pref_1]:[Pref_6]],0),"")</f>
        <v>1</v>
      </c>
      <c r="P31" s="21">
        <f>IFERROR(MATCH(LEFT(CProf[[#This Row],[Session_3]],5),CProf[[#This Row],[Pref_1]:[Pref_6]],0),"")</f>
        <v>5</v>
      </c>
      <c r="Q31" s="21" t="str">
        <f>IFERROR(MATCH(LEFT(CProf[[#This Row],[Session_4]],5),CProf[[#This Row],[Pref_1]:[Pref_6]],0),"")</f>
        <v/>
      </c>
    </row>
    <row r="32" spans="1:17" x14ac:dyDescent="0.25">
      <c r="A32" t="s">
        <v>307</v>
      </c>
      <c r="B32" t="s">
        <v>4</v>
      </c>
      <c r="C32">
        <v>1</v>
      </c>
      <c r="D32" t="s">
        <v>80</v>
      </c>
      <c r="E32" t="s">
        <v>101</v>
      </c>
      <c r="F32" t="s">
        <v>56</v>
      </c>
      <c r="G32" t="s">
        <v>62</v>
      </c>
      <c r="H32" t="s">
        <v>55</v>
      </c>
      <c r="I32" t="s">
        <v>10</v>
      </c>
      <c r="N32" s="21" t="str">
        <f>IFERROR(MATCH(LEFT(CProf[[#This Row],[Session_1]],5),CProf[[#This Row],[Pref_1]:[Pref_6]],0),"")</f>
        <v/>
      </c>
      <c r="O32" s="21" t="str">
        <f>IFERROR(MATCH(LEFT(CProf[[#This Row],[Session_2]],5),CProf[[#This Row],[Pref_1]:[Pref_6]],0),"")</f>
        <v/>
      </c>
      <c r="P32" s="21" t="str">
        <f>IFERROR(MATCH(LEFT(CProf[[#This Row],[Session_3]],5),CProf[[#This Row],[Pref_1]:[Pref_6]],0),"")</f>
        <v/>
      </c>
      <c r="Q32" s="21" t="str">
        <f>IFERROR(MATCH(LEFT(CProf[[#This Row],[Session_4]],5),CProf[[#This Row],[Pref_1]:[Pref_6]],0),"")</f>
        <v/>
      </c>
    </row>
    <row r="33" spans="1:17" x14ac:dyDescent="0.25">
      <c r="A33" t="s">
        <v>294</v>
      </c>
      <c r="B33" t="s">
        <v>4</v>
      </c>
      <c r="C33">
        <v>0</v>
      </c>
      <c r="D33" t="s">
        <v>13</v>
      </c>
      <c r="E33" t="s">
        <v>56</v>
      </c>
      <c r="F33" t="s">
        <v>96</v>
      </c>
      <c r="G33" t="s">
        <v>74</v>
      </c>
      <c r="H33" t="s">
        <v>100</v>
      </c>
      <c r="I33" t="s">
        <v>93</v>
      </c>
      <c r="J33" t="s">
        <v>227</v>
      </c>
      <c r="K33" t="s">
        <v>245</v>
      </c>
      <c r="L33" t="s">
        <v>207</v>
      </c>
      <c r="N33" s="21">
        <f>IFERROR(MATCH(LEFT(CProf[[#This Row],[Session_1]],5),CProf[[#This Row],[Pref_1]:[Pref_6]],0),"")</f>
        <v>2</v>
      </c>
      <c r="O33" s="21">
        <f>IFERROR(MATCH(LEFT(CProf[[#This Row],[Session_2]],5),CProf[[#This Row],[Pref_1]:[Pref_6]],0),"")</f>
        <v>4</v>
      </c>
      <c r="P33" s="21">
        <f>IFERROR(MATCH(LEFT(CProf[[#This Row],[Session_3]],5),CProf[[#This Row],[Pref_1]:[Pref_6]],0),"")</f>
        <v>1</v>
      </c>
      <c r="Q33" s="21" t="str">
        <f>IFERROR(MATCH(LEFT(CProf[[#This Row],[Session_4]],5),CProf[[#This Row],[Pref_1]:[Pref_6]],0),"")</f>
        <v/>
      </c>
    </row>
    <row r="34" spans="1:17" x14ac:dyDescent="0.25">
      <c r="A34" t="s">
        <v>331</v>
      </c>
      <c r="B34" t="s">
        <v>4</v>
      </c>
      <c r="C34">
        <v>2</v>
      </c>
      <c r="D34" t="s">
        <v>93</v>
      </c>
      <c r="E34" t="s">
        <v>46</v>
      </c>
      <c r="J34" t="s">
        <v>264</v>
      </c>
      <c r="K34" t="s">
        <v>217</v>
      </c>
      <c r="N34" s="21">
        <f>IFERROR(MATCH(LEFT(CProf[[#This Row],[Session_1]],5),CProf[[#This Row],[Pref_1]:[Pref_6]],0),"")</f>
        <v>1</v>
      </c>
      <c r="O34" s="21">
        <f>IFERROR(MATCH(LEFT(CProf[[#This Row],[Session_2]],5),CProf[[#This Row],[Pref_1]:[Pref_6]],0),"")</f>
        <v>2</v>
      </c>
      <c r="P34" s="21" t="str">
        <f>IFERROR(MATCH(LEFT(CProf[[#This Row],[Session_3]],5),CProf[[#This Row],[Pref_1]:[Pref_6]],0),"")</f>
        <v/>
      </c>
      <c r="Q34" s="21" t="str">
        <f>IFERROR(MATCH(LEFT(CProf[[#This Row],[Session_4]],5),CProf[[#This Row],[Pref_1]:[Pref_6]],0),"")</f>
        <v/>
      </c>
    </row>
    <row r="35" spans="1:17" x14ac:dyDescent="0.25">
      <c r="A35" t="s">
        <v>292</v>
      </c>
      <c r="B35" t="s">
        <v>4</v>
      </c>
      <c r="C35">
        <v>1</v>
      </c>
      <c r="D35" t="s">
        <v>53</v>
      </c>
      <c r="E35" t="s">
        <v>105</v>
      </c>
      <c r="F35" t="s">
        <v>96</v>
      </c>
      <c r="G35" t="s">
        <v>13</v>
      </c>
      <c r="H35" t="s">
        <v>9</v>
      </c>
      <c r="N35" s="21" t="str">
        <f>IFERROR(MATCH(LEFT(CProf[[#This Row],[Session_1]],5),CProf[[#This Row],[Pref_1]:[Pref_6]],0),"")</f>
        <v/>
      </c>
      <c r="O35" s="21" t="str">
        <f>IFERROR(MATCH(LEFT(CProf[[#This Row],[Session_2]],5),CProf[[#This Row],[Pref_1]:[Pref_6]],0),"")</f>
        <v/>
      </c>
      <c r="P35" s="21" t="str">
        <f>IFERROR(MATCH(LEFT(CProf[[#This Row],[Session_3]],5),CProf[[#This Row],[Pref_1]:[Pref_6]],0),"")</f>
        <v/>
      </c>
      <c r="Q35" s="21" t="str">
        <f>IFERROR(MATCH(LEFT(CProf[[#This Row],[Session_4]],5),CProf[[#This Row],[Pref_1]:[Pref_6]],0),"")</f>
        <v/>
      </c>
    </row>
    <row r="36" spans="1:17" x14ac:dyDescent="0.25">
      <c r="A36" t="s">
        <v>319</v>
      </c>
      <c r="B36" t="s">
        <v>4</v>
      </c>
      <c r="C36">
        <v>1</v>
      </c>
      <c r="D36" t="s">
        <v>80</v>
      </c>
      <c r="E36" t="s">
        <v>101</v>
      </c>
      <c r="F36" t="s">
        <v>14</v>
      </c>
      <c r="G36" t="s">
        <v>85</v>
      </c>
      <c r="H36" t="s">
        <v>105</v>
      </c>
      <c r="I36" t="s">
        <v>49</v>
      </c>
      <c r="J36" t="s">
        <v>251</v>
      </c>
      <c r="K36" t="s">
        <v>272</v>
      </c>
      <c r="N36" s="21">
        <f>IFERROR(MATCH(LEFT(CProf[[#This Row],[Session_1]],5),CProf[[#This Row],[Pref_1]:[Pref_6]],0),"")</f>
        <v>1</v>
      </c>
      <c r="O36" s="21">
        <f>IFERROR(MATCH(LEFT(CProf[[#This Row],[Session_2]],5),CProf[[#This Row],[Pref_1]:[Pref_6]],0),"")</f>
        <v>2</v>
      </c>
      <c r="P36" s="21" t="str">
        <f>IFERROR(MATCH(LEFT(CProf[[#This Row],[Session_3]],5),CProf[[#This Row],[Pref_1]:[Pref_6]],0),"")</f>
        <v/>
      </c>
      <c r="Q36" s="21" t="str">
        <f>IFERROR(MATCH(LEFT(CProf[[#This Row],[Session_4]],5),CProf[[#This Row],[Pref_1]:[Pref_6]],0),"")</f>
        <v/>
      </c>
    </row>
    <row r="37" spans="1:17" x14ac:dyDescent="0.25">
      <c r="A37" t="s">
        <v>313</v>
      </c>
      <c r="B37" t="s">
        <v>24</v>
      </c>
      <c r="C37">
        <v>2</v>
      </c>
      <c r="D37" t="s">
        <v>58</v>
      </c>
      <c r="E37" t="s">
        <v>72</v>
      </c>
      <c r="F37" t="s">
        <v>143</v>
      </c>
      <c r="G37" t="s">
        <v>84</v>
      </c>
      <c r="H37" t="s">
        <v>86</v>
      </c>
      <c r="J37" t="s">
        <v>255</v>
      </c>
      <c r="K37" t="s">
        <v>229</v>
      </c>
      <c r="N37" s="21">
        <f>IFERROR(MATCH(LEFT(CProf[[#This Row],[Session_1]],5),CProf[[#This Row],[Pref_1]:[Pref_6]],0),"")</f>
        <v>4</v>
      </c>
      <c r="O37" s="21">
        <f>IFERROR(MATCH(LEFT(CProf[[#This Row],[Session_2]],5),CProf[[#This Row],[Pref_1]:[Pref_6]],0),"")</f>
        <v>1</v>
      </c>
      <c r="P37" s="21" t="str">
        <f>IFERROR(MATCH(LEFT(CProf[[#This Row],[Session_3]],5),CProf[[#This Row],[Pref_1]:[Pref_6]],0),"")</f>
        <v/>
      </c>
      <c r="Q37" s="21" t="str">
        <f>IFERROR(MATCH(LEFT(CProf[[#This Row],[Session_4]],5),CProf[[#This Row],[Pref_1]:[Pref_6]],0),"")</f>
        <v/>
      </c>
    </row>
    <row r="38" spans="1:17" x14ac:dyDescent="0.25">
      <c r="A38" t="s">
        <v>339</v>
      </c>
      <c r="B38" t="s">
        <v>4</v>
      </c>
      <c r="C38">
        <v>0</v>
      </c>
      <c r="D38" t="s">
        <v>60</v>
      </c>
      <c r="E38" t="s">
        <v>14</v>
      </c>
      <c r="F38" t="s">
        <v>88</v>
      </c>
      <c r="G38" t="s">
        <v>82</v>
      </c>
      <c r="H38" t="s">
        <v>79</v>
      </c>
      <c r="I38" t="s">
        <v>97</v>
      </c>
      <c r="J38" t="s">
        <v>208</v>
      </c>
      <c r="N38" s="21">
        <f>IFERROR(MATCH(LEFT(CProf[[#This Row],[Session_1]],5),CProf[[#This Row],[Pref_1]:[Pref_6]],0),"")</f>
        <v>2</v>
      </c>
      <c r="O38" s="21" t="str">
        <f>IFERROR(MATCH(LEFT(CProf[[#This Row],[Session_2]],5),CProf[[#This Row],[Pref_1]:[Pref_6]],0),"")</f>
        <v/>
      </c>
      <c r="P38" s="21" t="str">
        <f>IFERROR(MATCH(LEFT(CProf[[#This Row],[Session_3]],5),CProf[[#This Row],[Pref_1]:[Pref_6]],0),"")</f>
        <v/>
      </c>
      <c r="Q38" s="21" t="str">
        <f>IFERROR(MATCH(LEFT(CProf[[#This Row],[Session_4]],5),CProf[[#This Row],[Pref_1]:[Pref_6]],0),"")</f>
        <v/>
      </c>
    </row>
    <row r="39" spans="1:17" x14ac:dyDescent="0.25">
      <c r="A39" t="s">
        <v>295</v>
      </c>
      <c r="B39" t="s">
        <v>24</v>
      </c>
      <c r="C39">
        <v>0</v>
      </c>
      <c r="D39" t="s">
        <v>106</v>
      </c>
      <c r="E39" t="s">
        <v>145</v>
      </c>
      <c r="F39" t="s">
        <v>12</v>
      </c>
      <c r="G39" t="s">
        <v>46</v>
      </c>
      <c r="H39" t="s">
        <v>68</v>
      </c>
      <c r="I39" t="s">
        <v>47</v>
      </c>
      <c r="J39" t="s">
        <v>277</v>
      </c>
      <c r="N39" s="21">
        <f>IFERROR(MATCH(LEFT(CProf[[#This Row],[Session_1]],5),CProf[[#This Row],[Pref_1]:[Pref_6]],0),"")</f>
        <v>1</v>
      </c>
      <c r="O39" s="21" t="str">
        <f>IFERROR(MATCH(LEFT(CProf[[#This Row],[Session_2]],5),CProf[[#This Row],[Pref_1]:[Pref_6]],0),"")</f>
        <v/>
      </c>
      <c r="P39" s="21" t="str">
        <f>IFERROR(MATCH(LEFT(CProf[[#This Row],[Session_3]],5),CProf[[#This Row],[Pref_1]:[Pref_6]],0),"")</f>
        <v/>
      </c>
      <c r="Q39" s="21" t="str">
        <f>IFERROR(MATCH(LEFT(CProf[[#This Row],[Session_4]],5),CProf[[#This Row],[Pref_1]:[Pref_6]],0),"")</f>
        <v/>
      </c>
    </row>
    <row r="40" spans="1:17" x14ac:dyDescent="0.25">
      <c r="A40" t="s">
        <v>296</v>
      </c>
      <c r="B40" t="s">
        <v>4</v>
      </c>
      <c r="C40">
        <v>0</v>
      </c>
      <c r="D40" t="s">
        <v>79</v>
      </c>
      <c r="E40" t="s">
        <v>61</v>
      </c>
      <c r="F40" t="s">
        <v>56</v>
      </c>
      <c r="G40" t="s">
        <v>57</v>
      </c>
      <c r="H40" t="s">
        <v>95</v>
      </c>
      <c r="I40" t="s">
        <v>63</v>
      </c>
      <c r="J40" t="s">
        <v>250</v>
      </c>
      <c r="K40" t="s">
        <v>232</v>
      </c>
      <c r="N40" s="21">
        <f>IFERROR(MATCH(LEFT(CProf[[#This Row],[Session_1]],5),CProf[[#This Row],[Pref_1]:[Pref_6]],0),"")</f>
        <v>1</v>
      </c>
      <c r="O40" s="21">
        <f>IFERROR(MATCH(LEFT(CProf[[#This Row],[Session_2]],5),CProf[[#This Row],[Pref_1]:[Pref_6]],0),"")</f>
        <v>2</v>
      </c>
      <c r="P40" s="21" t="str">
        <f>IFERROR(MATCH(LEFT(CProf[[#This Row],[Session_3]],5),CProf[[#This Row],[Pref_1]:[Pref_6]],0),"")</f>
        <v/>
      </c>
      <c r="Q40" s="21" t="str">
        <f>IFERROR(MATCH(LEFT(CProf[[#This Row],[Session_4]],5),CProf[[#This Row],[Pref_1]:[Pref_6]],0),"")</f>
        <v/>
      </c>
    </row>
    <row r="41" spans="1:17" x14ac:dyDescent="0.25">
      <c r="A41" t="s">
        <v>306</v>
      </c>
      <c r="B41" t="s">
        <v>4</v>
      </c>
      <c r="C41">
        <v>1</v>
      </c>
      <c r="D41" t="s">
        <v>43</v>
      </c>
      <c r="E41" t="s">
        <v>105</v>
      </c>
      <c r="F41" t="s">
        <v>85</v>
      </c>
      <c r="G41" t="s">
        <v>83</v>
      </c>
      <c r="H41" t="s">
        <v>47</v>
      </c>
      <c r="I41" t="s">
        <v>8</v>
      </c>
      <c r="J41" t="s">
        <v>256</v>
      </c>
      <c r="L41" t="s">
        <v>282</v>
      </c>
      <c r="M41" t="s">
        <v>276</v>
      </c>
      <c r="N41" s="21">
        <f>IFERROR(MATCH(LEFT(CProf[[#This Row],[Session_1]],5),CProf[[#This Row],[Pref_1]:[Pref_6]],0),"")</f>
        <v>3</v>
      </c>
      <c r="O41" s="21" t="str">
        <f>IFERROR(MATCH(LEFT(CProf[[#This Row],[Session_2]],5),CProf[[#This Row],[Pref_1]:[Pref_6]],0),"")</f>
        <v/>
      </c>
      <c r="P41" s="21">
        <f>IFERROR(MATCH(LEFT(CProf[[#This Row],[Session_3]],5),CProf[[#This Row],[Pref_1]:[Pref_6]],0),"")</f>
        <v>1</v>
      </c>
      <c r="Q41" s="21">
        <f>IFERROR(MATCH(LEFT(CProf[[#This Row],[Session_4]],5),CProf[[#This Row],[Pref_1]:[Pref_6]],0),"")</f>
        <v>2</v>
      </c>
    </row>
    <row r="42" spans="1:17" x14ac:dyDescent="0.25">
      <c r="A42" t="s">
        <v>301</v>
      </c>
      <c r="B42" t="s">
        <v>4</v>
      </c>
      <c r="C42">
        <v>0</v>
      </c>
      <c r="D42" t="s">
        <v>69</v>
      </c>
      <c r="E42" t="s">
        <v>59</v>
      </c>
      <c r="F42" t="s">
        <v>90</v>
      </c>
      <c r="G42" t="s">
        <v>51</v>
      </c>
      <c r="H42" t="s">
        <v>89</v>
      </c>
      <c r="I42" t="s">
        <v>99</v>
      </c>
      <c r="J42" t="s">
        <v>240</v>
      </c>
      <c r="N42" s="21">
        <f>IFERROR(MATCH(LEFT(CProf[[#This Row],[Session_1]],5),CProf[[#This Row],[Pref_1]:[Pref_6]],0),"")</f>
        <v>1</v>
      </c>
      <c r="O42" s="21" t="str">
        <f>IFERROR(MATCH(LEFT(CProf[[#This Row],[Session_2]],5),CProf[[#This Row],[Pref_1]:[Pref_6]],0),"")</f>
        <v/>
      </c>
      <c r="P42" s="21" t="str">
        <f>IFERROR(MATCH(LEFT(CProf[[#This Row],[Session_3]],5),CProf[[#This Row],[Pref_1]:[Pref_6]],0),"")</f>
        <v/>
      </c>
      <c r="Q42" s="21" t="str">
        <f>IFERROR(MATCH(LEFT(CProf[[#This Row],[Session_4]],5),CProf[[#This Row],[Pref_1]:[Pref_6]],0),"")</f>
        <v/>
      </c>
    </row>
    <row r="43" spans="1:17" x14ac:dyDescent="0.25">
      <c r="A43" t="s">
        <v>324</v>
      </c>
      <c r="B43" t="s">
        <v>4</v>
      </c>
      <c r="C43">
        <v>0</v>
      </c>
      <c r="D43" t="s">
        <v>42</v>
      </c>
      <c r="E43" t="s">
        <v>17</v>
      </c>
      <c r="F43" t="s">
        <v>13</v>
      </c>
      <c r="G43" t="s">
        <v>10</v>
      </c>
      <c r="H43" t="s">
        <v>97</v>
      </c>
      <c r="I43" t="s">
        <v>55</v>
      </c>
      <c r="J43" t="s">
        <v>211</v>
      </c>
      <c r="N43" s="21">
        <f>IFERROR(MATCH(LEFT(CProf[[#This Row],[Session_1]],5),CProf[[#This Row],[Pref_1]:[Pref_6]],0),"")</f>
        <v>2</v>
      </c>
      <c r="O43" s="21" t="str">
        <f>IFERROR(MATCH(LEFT(CProf[[#This Row],[Session_2]],5),CProf[[#This Row],[Pref_1]:[Pref_6]],0),"")</f>
        <v/>
      </c>
      <c r="P43" s="21" t="str">
        <f>IFERROR(MATCH(LEFT(CProf[[#This Row],[Session_3]],5),CProf[[#This Row],[Pref_1]:[Pref_6]],0),"")</f>
        <v/>
      </c>
      <c r="Q43" s="21" t="str">
        <f>IFERROR(MATCH(LEFT(CProf[[#This Row],[Session_4]],5),CProf[[#This Row],[Pref_1]:[Pref_6]],0),"")</f>
        <v/>
      </c>
    </row>
    <row r="44" spans="1:17" x14ac:dyDescent="0.25">
      <c r="A44" t="s">
        <v>329</v>
      </c>
      <c r="B44" t="s">
        <v>4</v>
      </c>
      <c r="C44">
        <v>0</v>
      </c>
      <c r="D44" t="s">
        <v>88</v>
      </c>
      <c r="E44" t="s">
        <v>76</v>
      </c>
      <c r="F44" t="s">
        <v>80</v>
      </c>
      <c r="G44" t="s">
        <v>102</v>
      </c>
      <c r="J44" t="s">
        <v>259</v>
      </c>
      <c r="K44" t="s">
        <v>247</v>
      </c>
      <c r="L44" t="s">
        <v>273</v>
      </c>
      <c r="N44" s="21">
        <f>IFERROR(MATCH(LEFT(CProf[[#This Row],[Session_1]],5),CProf[[#This Row],[Pref_1]:[Pref_6]],0),"")</f>
        <v>1</v>
      </c>
      <c r="O44" s="21">
        <f>IFERROR(MATCH(LEFT(CProf[[#This Row],[Session_2]],5),CProf[[#This Row],[Pref_1]:[Pref_6]],0),"")</f>
        <v>2</v>
      </c>
      <c r="P44" s="21">
        <f>IFERROR(MATCH(LEFT(CProf[[#This Row],[Session_3]],5),CProf[[#This Row],[Pref_1]:[Pref_6]],0),"")</f>
        <v>4</v>
      </c>
      <c r="Q44" s="21" t="str">
        <f>IFERROR(MATCH(LEFT(CProf[[#This Row],[Session_4]],5),CProf[[#This Row],[Pref_1]:[Pref_6]],0),"")</f>
        <v/>
      </c>
    </row>
    <row r="45" spans="1:17" x14ac:dyDescent="0.25">
      <c r="A45" t="s">
        <v>325</v>
      </c>
      <c r="B45" t="s">
        <v>4</v>
      </c>
      <c r="C45">
        <v>0</v>
      </c>
      <c r="D45" t="s">
        <v>48</v>
      </c>
      <c r="E45" t="s">
        <v>81</v>
      </c>
      <c r="F45" t="s">
        <v>88</v>
      </c>
      <c r="G45" t="s">
        <v>47</v>
      </c>
      <c r="H45" t="s">
        <v>106</v>
      </c>
      <c r="I45" t="s">
        <v>57</v>
      </c>
      <c r="J45" t="s">
        <v>219</v>
      </c>
      <c r="K45" t="s">
        <v>252</v>
      </c>
      <c r="N45" s="21">
        <f>IFERROR(MATCH(LEFT(CProf[[#This Row],[Session_1]],5),CProf[[#This Row],[Pref_1]:[Pref_6]],0),"")</f>
        <v>1</v>
      </c>
      <c r="O45" s="21">
        <f>IFERROR(MATCH(LEFT(CProf[[#This Row],[Session_2]],5),CProf[[#This Row],[Pref_1]:[Pref_6]],0),"")</f>
        <v>2</v>
      </c>
      <c r="P45" s="21" t="str">
        <f>IFERROR(MATCH(LEFT(CProf[[#This Row],[Session_3]],5),CProf[[#This Row],[Pref_1]:[Pref_6]],0),"")</f>
        <v/>
      </c>
      <c r="Q45" s="21" t="str">
        <f>IFERROR(MATCH(LEFT(CProf[[#This Row],[Session_4]],5),CProf[[#This Row],[Pref_1]:[Pref_6]],0),"")</f>
        <v/>
      </c>
    </row>
    <row r="46" spans="1:17" x14ac:dyDescent="0.25">
      <c r="A46" t="s">
        <v>317</v>
      </c>
      <c r="B46" t="s">
        <v>24</v>
      </c>
      <c r="C46">
        <v>0</v>
      </c>
      <c r="D46" t="s">
        <v>103</v>
      </c>
      <c r="E46" t="s">
        <v>14</v>
      </c>
      <c r="F46" t="s">
        <v>58</v>
      </c>
      <c r="G46" t="s">
        <v>70</v>
      </c>
      <c r="H46" t="s">
        <v>182</v>
      </c>
      <c r="J46" t="s">
        <v>200</v>
      </c>
      <c r="K46" t="s">
        <v>197</v>
      </c>
      <c r="L46" t="s">
        <v>198</v>
      </c>
      <c r="M46" t="s">
        <v>199</v>
      </c>
      <c r="N46" s="21">
        <f>IFERROR(MATCH(LEFT(CProf[[#This Row],[Session_1]],5),CProf[[#This Row],[Pref_1]:[Pref_6]],0),"")</f>
        <v>5</v>
      </c>
      <c r="O46" s="21">
        <f>IFERROR(MATCH(LEFT(CProf[[#This Row],[Session_2]],5),CProf[[#This Row],[Pref_1]:[Pref_6]],0),"")</f>
        <v>5</v>
      </c>
      <c r="P46" s="21">
        <f>IFERROR(MATCH(LEFT(CProf[[#This Row],[Session_3]],5),CProf[[#This Row],[Pref_1]:[Pref_6]],0),"")</f>
        <v>5</v>
      </c>
      <c r="Q46" s="21">
        <f>IFERROR(MATCH(LEFT(CProf[[#This Row],[Session_4]],5),CProf[[#This Row],[Pref_1]:[Pref_6]],0),"")</f>
        <v>5</v>
      </c>
    </row>
    <row r="47" spans="1:17" x14ac:dyDescent="0.25">
      <c r="A47" t="s">
        <v>323</v>
      </c>
      <c r="B47" t="s">
        <v>4</v>
      </c>
      <c r="C47">
        <v>0</v>
      </c>
      <c r="D47" t="s">
        <v>83</v>
      </c>
      <c r="E47" t="s">
        <v>11</v>
      </c>
      <c r="F47" t="s">
        <v>50</v>
      </c>
      <c r="G47" t="s">
        <v>51</v>
      </c>
      <c r="H47" t="s">
        <v>100</v>
      </c>
      <c r="I47" t="s">
        <v>73</v>
      </c>
      <c r="J47" t="s">
        <v>221</v>
      </c>
      <c r="K47" t="s">
        <v>222</v>
      </c>
      <c r="N47" s="21">
        <f>IFERROR(MATCH(LEFT(CProf[[#This Row],[Session_1]],5),CProf[[#This Row],[Pref_1]:[Pref_6]],0),"")</f>
        <v>3</v>
      </c>
      <c r="O47" s="21">
        <f>IFERROR(MATCH(LEFT(CProf[[#This Row],[Session_2]],5),CProf[[#This Row],[Pref_1]:[Pref_6]],0),"")</f>
        <v>4</v>
      </c>
      <c r="P47" s="21" t="str">
        <f>IFERROR(MATCH(LEFT(CProf[[#This Row],[Session_3]],5),CProf[[#This Row],[Pref_1]:[Pref_6]],0),"")</f>
        <v/>
      </c>
      <c r="Q47" s="21" t="str">
        <f>IFERROR(MATCH(LEFT(CProf[[#This Row],[Session_4]],5),CProf[[#This Row],[Pref_1]:[Pref_6]],0),"")</f>
        <v/>
      </c>
    </row>
    <row r="48" spans="1:17" x14ac:dyDescent="0.25">
      <c r="A48" t="s">
        <v>309</v>
      </c>
      <c r="B48" t="s">
        <v>4</v>
      </c>
      <c r="C48">
        <v>2</v>
      </c>
      <c r="D48" t="s">
        <v>70</v>
      </c>
      <c r="E48" t="s">
        <v>86</v>
      </c>
      <c r="F48" t="s">
        <v>14</v>
      </c>
      <c r="G48" t="s">
        <v>6</v>
      </c>
      <c r="H48" t="s">
        <v>45</v>
      </c>
      <c r="J48" t="s">
        <v>257</v>
      </c>
      <c r="K48" t="s">
        <v>241</v>
      </c>
      <c r="N48" s="21">
        <f>IFERROR(MATCH(LEFT(CProf[[#This Row],[Session_1]],5),CProf[[#This Row],[Pref_1]:[Pref_6]],0),"")</f>
        <v>2</v>
      </c>
      <c r="O48" s="21">
        <f>IFERROR(MATCH(LEFT(CProf[[#This Row],[Session_2]],5),CProf[[#This Row],[Pref_1]:[Pref_6]],0),"")</f>
        <v>1</v>
      </c>
      <c r="P48" s="21" t="str">
        <f>IFERROR(MATCH(LEFT(CProf[[#This Row],[Session_3]],5),CProf[[#This Row],[Pref_1]:[Pref_6]],0),"")</f>
        <v/>
      </c>
      <c r="Q48" s="21" t="str">
        <f>IFERROR(MATCH(LEFT(CProf[[#This Row],[Session_4]],5),CProf[[#This Row],[Pref_1]:[Pref_6]],0),"")</f>
        <v/>
      </c>
    </row>
    <row r="49" spans="1:17" x14ac:dyDescent="0.25">
      <c r="A49" t="s">
        <v>305</v>
      </c>
      <c r="B49" t="s">
        <v>4</v>
      </c>
      <c r="C49">
        <v>2</v>
      </c>
      <c r="D49" t="s">
        <v>43</v>
      </c>
      <c r="E49" t="s">
        <v>49</v>
      </c>
      <c r="F49" t="s">
        <v>15</v>
      </c>
      <c r="G49" t="s">
        <v>83</v>
      </c>
      <c r="H49" t="s">
        <v>53</v>
      </c>
      <c r="I49" t="s">
        <v>82</v>
      </c>
      <c r="J49" t="s">
        <v>220</v>
      </c>
      <c r="K49" t="s">
        <v>253</v>
      </c>
      <c r="N49" s="21">
        <f>IFERROR(MATCH(LEFT(CProf[[#This Row],[Session_1]],5),CProf[[#This Row],[Pref_1]:[Pref_6]],0),"")</f>
        <v>2</v>
      </c>
      <c r="O49" s="21">
        <f>IFERROR(MATCH(LEFT(CProf[[#This Row],[Session_2]],5),CProf[[#This Row],[Pref_1]:[Pref_6]],0),"")</f>
        <v>6</v>
      </c>
      <c r="P49" s="21" t="str">
        <f>IFERROR(MATCH(LEFT(CProf[[#This Row],[Session_3]],5),CProf[[#This Row],[Pref_1]:[Pref_6]],0),"")</f>
        <v/>
      </c>
      <c r="Q49" s="21" t="str">
        <f>IFERROR(MATCH(LEFT(CProf[[#This Row],[Session_4]],5),CProf[[#This Row],[Pref_1]:[Pref_6]],0),"")</f>
        <v/>
      </c>
    </row>
    <row r="50" spans="1:17" x14ac:dyDescent="0.25">
      <c r="A50" t="s">
        <v>308</v>
      </c>
      <c r="B50" t="s">
        <v>4</v>
      </c>
      <c r="C50">
        <v>3</v>
      </c>
      <c r="D50" t="s">
        <v>15</v>
      </c>
      <c r="E50" t="s">
        <v>9</v>
      </c>
      <c r="F50" t="s">
        <v>76</v>
      </c>
      <c r="G50" t="s">
        <v>103</v>
      </c>
      <c r="H50" t="s">
        <v>104</v>
      </c>
      <c r="I50" t="s">
        <v>54</v>
      </c>
      <c r="J50" t="s">
        <v>209</v>
      </c>
      <c r="N50" s="21">
        <f>IFERROR(MATCH(LEFT(CProf[[#This Row],[Session_1]],5),CProf[[#This Row],[Pref_1]:[Pref_6]],0),"")</f>
        <v>1</v>
      </c>
      <c r="O50" s="21" t="str">
        <f>IFERROR(MATCH(LEFT(CProf[[#This Row],[Session_2]],5),CProf[[#This Row],[Pref_1]:[Pref_6]],0),"")</f>
        <v/>
      </c>
      <c r="P50" s="21" t="str">
        <f>IFERROR(MATCH(LEFT(CProf[[#This Row],[Session_3]],5),CProf[[#This Row],[Pref_1]:[Pref_6]],0),"")</f>
        <v/>
      </c>
      <c r="Q50" s="21" t="str">
        <f>IFERROR(MATCH(LEFT(CProf[[#This Row],[Session_4]],5),CProf[[#This Row],[Pref_1]:[Pref_6]],0),"")</f>
        <v/>
      </c>
    </row>
    <row r="51" spans="1:17" x14ac:dyDescent="0.25">
      <c r="A51" t="s">
        <v>304</v>
      </c>
      <c r="B51" t="s">
        <v>4</v>
      </c>
      <c r="C51">
        <v>0</v>
      </c>
      <c r="D51" t="s">
        <v>104</v>
      </c>
      <c r="E51" t="s">
        <v>44</v>
      </c>
      <c r="F51" t="s">
        <v>100</v>
      </c>
      <c r="G51" t="s">
        <v>62</v>
      </c>
      <c r="H51" t="s">
        <v>105</v>
      </c>
      <c r="I51" t="s">
        <v>60</v>
      </c>
      <c r="J51" t="s">
        <v>231</v>
      </c>
      <c r="K51" t="s">
        <v>215</v>
      </c>
      <c r="L51" t="s">
        <v>275</v>
      </c>
      <c r="M51" t="s">
        <v>233</v>
      </c>
      <c r="N51" s="21">
        <f>IFERROR(MATCH(LEFT(CProf[[#This Row],[Session_1]],5),CProf[[#This Row],[Pref_1]:[Pref_6]],0),"")</f>
        <v>6</v>
      </c>
      <c r="O51" s="21">
        <f>IFERROR(MATCH(LEFT(CProf[[#This Row],[Session_2]],5),CProf[[#This Row],[Pref_1]:[Pref_6]],0),"")</f>
        <v>2</v>
      </c>
      <c r="P51" s="21">
        <f>IFERROR(MATCH(LEFT(CProf[[#This Row],[Session_3]],5),CProf[[#This Row],[Pref_1]:[Pref_6]],0),"")</f>
        <v>1</v>
      </c>
      <c r="Q51" s="21">
        <f>IFERROR(MATCH(LEFT(CProf[[#This Row],[Session_4]],5),CProf[[#This Row],[Pref_1]:[Pref_6]],0),"")</f>
        <v>4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O106"/>
  <sheetViews>
    <sheetView topLeftCell="A70" workbookViewId="0">
      <selection activeCell="K96" sqref="K96"/>
    </sheetView>
  </sheetViews>
  <sheetFormatPr defaultRowHeight="15" x14ac:dyDescent="0.25"/>
  <cols>
    <col min="1" max="1" width="9.42578125" customWidth="1"/>
    <col min="2" max="2" width="9.28515625" customWidth="1"/>
    <col min="3" max="3" width="9.85546875" customWidth="1"/>
    <col min="4" max="4" width="7.85546875" customWidth="1"/>
    <col min="5" max="5" width="12.140625" customWidth="1"/>
    <col min="6" max="6" width="10.7109375" customWidth="1"/>
    <col min="9" max="9" width="13.42578125" bestFit="1" customWidth="1"/>
    <col min="10" max="10" width="6.28515625" bestFit="1" customWidth="1"/>
    <col min="11" max="11" width="18.7109375" bestFit="1" customWidth="1"/>
    <col min="12" max="12" width="12" bestFit="1" customWidth="1"/>
  </cols>
  <sheetData>
    <row r="1" spans="1:15" x14ac:dyDescent="0.25">
      <c r="A1" s="19" t="s">
        <v>32</v>
      </c>
      <c r="B1" t="s">
        <v>32</v>
      </c>
      <c r="C1" t="s">
        <v>1</v>
      </c>
      <c r="D1" t="s">
        <v>2</v>
      </c>
      <c r="E1" t="s">
        <v>30</v>
      </c>
      <c r="F1" t="s">
        <v>31</v>
      </c>
      <c r="G1" t="s">
        <v>171</v>
      </c>
      <c r="H1" t="s">
        <v>108</v>
      </c>
      <c r="I1" t="s">
        <v>184</v>
      </c>
      <c r="J1" t="s">
        <v>33</v>
      </c>
      <c r="K1" t="s">
        <v>36</v>
      </c>
      <c r="L1" t="s">
        <v>109</v>
      </c>
    </row>
    <row r="2" spans="1:15" x14ac:dyDescent="0.25">
      <c r="A2" s="5" t="s">
        <v>6</v>
      </c>
      <c r="B2" t="s">
        <v>6</v>
      </c>
      <c r="C2">
        <v>100</v>
      </c>
      <c r="D2" t="s">
        <v>5</v>
      </c>
      <c r="E2" s="21" t="s">
        <v>25</v>
      </c>
      <c r="F2" s="21">
        <f>COUNTIF(CProf[[Pref_1]:[Pref_6]],CCourse[[#This Row],[Course]])</f>
        <v>2</v>
      </c>
      <c r="G2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2" s="21">
        <f>COUNTIF(CCourse[Course],CCourse[[#This Row],[Course]])-COUNTIF(CProf[[Session_1]:[Session_4]],CCourse[[#This Row],[Course]]&amp;"*")</f>
        <v>0</v>
      </c>
      <c r="I2" s="21">
        <v>10</v>
      </c>
      <c r="J2" s="21" t="str">
        <f>IFERROR(INDEX(CProf[Full/Part-time],MATCH(CCourse[[#This Row],[Professor]],CProf[Name],0)),"")</f>
        <v>F</v>
      </c>
      <c r="K2" t="s">
        <v>336</v>
      </c>
      <c r="L2" s="21">
        <v>0.85548785724793164</v>
      </c>
      <c r="N2">
        <f>COUNTIF(CProf[[Session_1]:[Session_4]],CCourse[[#This Row],[SessionPK]])</f>
        <v>1</v>
      </c>
      <c r="O2">
        <v>1</v>
      </c>
    </row>
    <row r="3" spans="1:15" x14ac:dyDescent="0.25">
      <c r="A3" s="5" t="s">
        <v>7</v>
      </c>
      <c r="B3" t="s">
        <v>7</v>
      </c>
      <c r="C3">
        <v>100</v>
      </c>
      <c r="D3" t="s">
        <v>5</v>
      </c>
      <c r="E3" s="21" t="s">
        <v>26</v>
      </c>
      <c r="F3" s="21">
        <f>COUNTIF(CProf[[Pref_1]:[Pref_6]],CCourse[[#This Row],[Course]])</f>
        <v>1</v>
      </c>
      <c r="G3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3" s="21">
        <f>COUNTIF(CCourse[Course],CCourse[[#This Row],[Course]])-COUNTIF(CProf[[Session_1]:[Session_4]],CCourse[[#This Row],[Course]]&amp;"*")</f>
        <v>0</v>
      </c>
      <c r="I3" s="21">
        <v>10</v>
      </c>
      <c r="J3" s="21" t="str">
        <f>IFERROR(INDEX(CProf[Full/Part-time],MATCH(CCourse[[#This Row],[Professor]],CProf[Name],0)),"")</f>
        <v>F</v>
      </c>
      <c r="K3" t="s">
        <v>333</v>
      </c>
      <c r="L3" s="21">
        <v>0.82006072261119767</v>
      </c>
      <c r="N3">
        <f>COUNTIF(CProf[[Session_1]:[Session_4]],CCourse[[#This Row],[SessionPK]])</f>
        <v>1</v>
      </c>
      <c r="O3">
        <v>2</v>
      </c>
    </row>
    <row r="4" spans="1:15" x14ac:dyDescent="0.25">
      <c r="A4" s="5" t="s">
        <v>8</v>
      </c>
      <c r="B4" t="s">
        <v>8</v>
      </c>
      <c r="C4">
        <v>100</v>
      </c>
      <c r="D4" t="s">
        <v>5</v>
      </c>
      <c r="E4" s="21" t="s">
        <v>27</v>
      </c>
      <c r="F4" s="21">
        <f>COUNTIF(CProf[[Pref_1]:[Pref_6]],CCourse[[#This Row],[Course]])</f>
        <v>4</v>
      </c>
      <c r="G4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5</v>
      </c>
      <c r="H4" s="21">
        <f>COUNTIF(CCourse[Course],CCourse[[#This Row],[Course]])-COUNTIF(CProf[[Session_1]:[Session_4]],CCourse[[#This Row],[Course]]&amp;"*")</f>
        <v>0</v>
      </c>
      <c r="I4" s="21">
        <v>10</v>
      </c>
      <c r="J4" s="21" t="str">
        <f>IFERROR(INDEX(CProf[Full/Part-time],MATCH(CCourse[[#This Row],[Professor]],CProf[Name],0)),"")</f>
        <v>F</v>
      </c>
      <c r="K4" t="s">
        <v>332</v>
      </c>
      <c r="L4" s="21">
        <v>0.33012933665520783</v>
      </c>
      <c r="N4">
        <f>COUNTIF(CProf[[Session_1]:[Session_4]],CCourse[[#This Row],[SessionPK]])</f>
        <v>1</v>
      </c>
      <c r="O4">
        <v>3</v>
      </c>
    </row>
    <row r="5" spans="1:15" x14ac:dyDescent="0.25">
      <c r="A5" s="5" t="s">
        <v>9</v>
      </c>
      <c r="B5" t="s">
        <v>9</v>
      </c>
      <c r="C5">
        <v>100</v>
      </c>
      <c r="D5" t="s">
        <v>5</v>
      </c>
      <c r="E5" s="21" t="s">
        <v>28</v>
      </c>
      <c r="F5" s="21">
        <f>COUNTIF(CProf[[Pref_1]:[Pref_6]],CCourse[[#This Row],[Course]])</f>
        <v>3</v>
      </c>
      <c r="G5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4</v>
      </c>
      <c r="H5" s="21">
        <f>COUNTIF(CCourse[Course],CCourse[[#This Row],[Course]])-COUNTIF(CProf[[Session_1]:[Session_4]],CCourse[[#This Row],[Course]]&amp;"*")</f>
        <v>0</v>
      </c>
      <c r="I5" s="21">
        <v>10</v>
      </c>
      <c r="J5" s="21" t="str">
        <f>IFERROR(INDEX(CProf[Full/Part-time],MATCH(CCourse[[#This Row],[Professor]],CProf[Name],0)),"")</f>
        <v>F</v>
      </c>
      <c r="K5" t="s">
        <v>303</v>
      </c>
      <c r="L5" s="21">
        <v>0.40525770044210263</v>
      </c>
      <c r="N5">
        <f>COUNTIF(CProf[[Session_1]:[Session_4]],CCourse[[#This Row],[SessionPK]])</f>
        <v>1</v>
      </c>
      <c r="O5">
        <v>4</v>
      </c>
    </row>
    <row r="6" spans="1:15" x14ac:dyDescent="0.25">
      <c r="A6" s="5" t="s">
        <v>10</v>
      </c>
      <c r="B6" t="s">
        <v>10</v>
      </c>
      <c r="C6">
        <v>100</v>
      </c>
      <c r="D6" t="s">
        <v>5</v>
      </c>
      <c r="E6" s="21" t="s">
        <v>29</v>
      </c>
      <c r="F6" s="21">
        <f>COUNTIF(CProf[[Pref_1]:[Pref_6]],CCourse[[#This Row],[Course]])</f>
        <v>4</v>
      </c>
      <c r="G6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6" s="21">
        <f>COUNTIF(CCourse[Course],CCourse[[#This Row],[Course]])-COUNTIF(CProf[[Session_1]:[Session_4]],CCourse[[#This Row],[Course]]&amp;"*")</f>
        <v>0</v>
      </c>
      <c r="I6" s="21">
        <v>10</v>
      </c>
      <c r="J6" s="21" t="str">
        <f>IFERROR(INDEX(CProf[Full/Part-time],MATCH(CCourse[[#This Row],[Professor]],CProf[Name],0)),"")</f>
        <v>F</v>
      </c>
      <c r="K6" t="s">
        <v>320</v>
      </c>
      <c r="L6" s="21">
        <v>0.86121625709685812</v>
      </c>
      <c r="N6">
        <f>COUNTIF(CProf[[Session_1]:[Session_4]],CCourse[[#This Row],[SessionPK]])</f>
        <v>1</v>
      </c>
      <c r="O6">
        <v>5</v>
      </c>
    </row>
    <row r="7" spans="1:15" x14ac:dyDescent="0.25">
      <c r="A7" s="5" t="s">
        <v>11</v>
      </c>
      <c r="B7" t="s">
        <v>11</v>
      </c>
      <c r="C7">
        <v>100</v>
      </c>
      <c r="D7" t="s">
        <v>5</v>
      </c>
      <c r="E7" s="21" t="s">
        <v>205</v>
      </c>
      <c r="F7" s="21">
        <f>COUNTIF(CProf[[Pref_1]:[Pref_6]],CCourse[[#This Row],[Course]])</f>
        <v>6</v>
      </c>
      <c r="G7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4</v>
      </c>
      <c r="H7" s="21">
        <f>COUNTIF(CCourse[Course],CCourse[[#This Row],[Course]])-COUNTIF(CProf[[Session_1]:[Session_4]],CCourse[[#This Row],[Course]]&amp;"*")</f>
        <v>0</v>
      </c>
      <c r="I7" s="21">
        <v>10</v>
      </c>
      <c r="J7" s="21" t="str">
        <f>IFERROR(INDEX(CProf[Full/Part-time],MATCH(CCourse[[#This Row],[Professor]],CProf[Name],0)),"")</f>
        <v>F</v>
      </c>
      <c r="K7" t="s">
        <v>341</v>
      </c>
      <c r="L7" s="21">
        <v>0.39600026703321733</v>
      </c>
      <c r="N7">
        <f>COUNTIF(CProf[[Session_1]:[Session_4]],CCourse[[#This Row],[SessionPK]])</f>
        <v>1</v>
      </c>
      <c r="O7">
        <v>6</v>
      </c>
    </row>
    <row r="8" spans="1:15" x14ac:dyDescent="0.25">
      <c r="A8" s="5" t="s">
        <v>12</v>
      </c>
      <c r="B8" t="s">
        <v>12</v>
      </c>
      <c r="C8">
        <v>100</v>
      </c>
      <c r="D8" t="s">
        <v>5</v>
      </c>
      <c r="E8" s="21" t="s">
        <v>206</v>
      </c>
      <c r="F8" s="21">
        <f>COUNTIF(CProf[[Pref_1]:[Pref_6]],CCourse[[#This Row],[Course]])</f>
        <v>2</v>
      </c>
      <c r="G8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8" s="21">
        <f>COUNTIF(CCourse[Course],CCourse[[#This Row],[Course]])-COUNTIF(CProf[[Session_1]:[Session_4]],CCourse[[#This Row],[Course]]&amp;"*")</f>
        <v>0</v>
      </c>
      <c r="I8" s="21">
        <v>10</v>
      </c>
      <c r="J8" s="21" t="str">
        <f>IFERROR(INDEX(CProf[Full/Part-time],MATCH(CCourse[[#This Row],[Professor]],CProf[Name],0)),"")</f>
        <v>F</v>
      </c>
      <c r="K8" t="s">
        <v>338</v>
      </c>
      <c r="L8" s="21">
        <v>0.33424280875807399</v>
      </c>
      <c r="N8">
        <f>COUNTIF(CProf[[Session_1]:[Session_4]],CCourse[[#This Row],[SessionPK]])</f>
        <v>1</v>
      </c>
      <c r="O8">
        <v>7</v>
      </c>
    </row>
    <row r="9" spans="1:15" x14ac:dyDescent="0.25">
      <c r="A9" s="5" t="s">
        <v>13</v>
      </c>
      <c r="B9" t="s">
        <v>13</v>
      </c>
      <c r="C9">
        <v>100</v>
      </c>
      <c r="D9" t="s">
        <v>5</v>
      </c>
      <c r="E9" s="21" t="s">
        <v>207</v>
      </c>
      <c r="F9" s="21">
        <f>COUNTIF(CProf[[Pref_1]:[Pref_6]],CCourse[[#This Row],[Course]])</f>
        <v>4</v>
      </c>
      <c r="G9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9" s="21">
        <f>COUNTIF(CCourse[Course],CCourse[[#This Row],[Course]])-COUNTIF(CProf[[Session_1]:[Session_4]],CCourse[[#This Row],[Course]]&amp;"*")</f>
        <v>0</v>
      </c>
      <c r="I9" s="21">
        <v>10</v>
      </c>
      <c r="J9" s="21" t="str">
        <f>IFERROR(INDEX(CProf[Full/Part-time],MATCH(CCourse[[#This Row],[Professor]],CProf[Name],0)),"")</f>
        <v>F</v>
      </c>
      <c r="K9" t="s">
        <v>294</v>
      </c>
      <c r="L9" s="21">
        <v>0.97609620539546049</v>
      </c>
      <c r="N9">
        <f>COUNTIF(CProf[[Session_1]:[Session_4]],CCourse[[#This Row],[SessionPK]])</f>
        <v>1</v>
      </c>
      <c r="O9">
        <v>8</v>
      </c>
    </row>
    <row r="10" spans="1:15" x14ac:dyDescent="0.25">
      <c r="A10" s="5" t="s">
        <v>14</v>
      </c>
      <c r="B10" t="s">
        <v>14</v>
      </c>
      <c r="C10">
        <v>100</v>
      </c>
      <c r="D10" t="s">
        <v>5</v>
      </c>
      <c r="E10" s="21" t="s">
        <v>208</v>
      </c>
      <c r="F10" s="21">
        <f>COUNTIF(CProf[[Pref_1]:[Pref_6]],CCourse[[#This Row],[Course]])</f>
        <v>5</v>
      </c>
      <c r="G10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5</v>
      </c>
      <c r="H10" s="21">
        <f>COUNTIF(CCourse[Course],CCourse[[#This Row],[Course]])-COUNTIF(CProf[[Session_1]:[Session_4]],CCourse[[#This Row],[Course]]&amp;"*")</f>
        <v>0</v>
      </c>
      <c r="I10" s="21">
        <v>10</v>
      </c>
      <c r="J10" s="21" t="str">
        <f>IFERROR(INDEX(CProf[Full/Part-time],MATCH(CCourse[[#This Row],[Professor]],CProf[Name],0)),"")</f>
        <v>F</v>
      </c>
      <c r="K10" t="s">
        <v>339</v>
      </c>
      <c r="L10" s="21">
        <v>0.92512397345862074</v>
      </c>
      <c r="N10">
        <f>COUNTIF(CProf[[Session_1]:[Session_4]],CCourse[[#This Row],[SessionPK]])</f>
        <v>1</v>
      </c>
      <c r="O10">
        <v>9</v>
      </c>
    </row>
    <row r="11" spans="1:15" x14ac:dyDescent="0.25">
      <c r="A11" s="5" t="s">
        <v>15</v>
      </c>
      <c r="B11" t="s">
        <v>15</v>
      </c>
      <c r="C11">
        <v>100</v>
      </c>
      <c r="D11" t="s">
        <v>5</v>
      </c>
      <c r="E11" s="21" t="s">
        <v>209</v>
      </c>
      <c r="F11" s="21">
        <f>COUNTIF(CProf[[Pref_1]:[Pref_6]],CCourse[[#This Row],[Course]])</f>
        <v>3</v>
      </c>
      <c r="G11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5</v>
      </c>
      <c r="H11" s="21">
        <f>COUNTIF(CCourse[Course],CCourse[[#This Row],[Course]])-COUNTIF(CProf[[Session_1]:[Session_4]],CCourse[[#This Row],[Course]]&amp;"*")</f>
        <v>0</v>
      </c>
      <c r="I11" s="21">
        <v>10</v>
      </c>
      <c r="J11" s="21" t="str">
        <f>IFERROR(INDEX(CProf[Full/Part-time],MATCH(CCourse[[#This Row],[Professor]],CProf[Name],0)),"")</f>
        <v>F</v>
      </c>
      <c r="K11" t="s">
        <v>308</v>
      </c>
      <c r="L11" s="21">
        <v>0.48255462111096781</v>
      </c>
      <c r="N11">
        <f>COUNTIF(CProf[[Session_1]:[Session_4]],CCourse[[#This Row],[SessionPK]])</f>
        <v>1</v>
      </c>
      <c r="O11">
        <v>10</v>
      </c>
    </row>
    <row r="12" spans="1:15" x14ac:dyDescent="0.25">
      <c r="A12" s="5" t="s">
        <v>16</v>
      </c>
      <c r="B12" t="s">
        <v>16</v>
      </c>
      <c r="C12">
        <v>100</v>
      </c>
      <c r="D12" t="s">
        <v>5</v>
      </c>
      <c r="E12" s="21" t="s">
        <v>210</v>
      </c>
      <c r="F12" s="21">
        <f>COUNTIF(CProf[[Pref_1]:[Pref_6]],CCourse[[#This Row],[Course]])</f>
        <v>1</v>
      </c>
      <c r="G12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2" s="21">
        <f>COUNTIF(CCourse[Course],CCourse[[#This Row],[Course]])-COUNTIF(CProf[[Session_1]:[Session_4]],CCourse[[#This Row],[Course]]&amp;"*")</f>
        <v>0</v>
      </c>
      <c r="I12" s="21">
        <v>10</v>
      </c>
      <c r="J12" s="21" t="str">
        <f>IFERROR(INDEX(CProf[Full/Part-time],MATCH(CCourse[[#This Row],[Professor]],CProf[Name],0)),"")</f>
        <v>F</v>
      </c>
      <c r="K12" t="s">
        <v>335</v>
      </c>
      <c r="L12" s="21">
        <v>0.62064987244870218</v>
      </c>
      <c r="N12">
        <f>COUNTIF(CProf[[Session_1]:[Session_4]],CCourse[[#This Row],[SessionPK]])</f>
        <v>1</v>
      </c>
      <c r="O12">
        <v>11</v>
      </c>
    </row>
    <row r="13" spans="1:15" x14ac:dyDescent="0.25">
      <c r="A13" s="5" t="s">
        <v>17</v>
      </c>
      <c r="B13" t="s">
        <v>17</v>
      </c>
      <c r="C13">
        <v>100</v>
      </c>
      <c r="D13" t="s">
        <v>5</v>
      </c>
      <c r="E13" s="21" t="s">
        <v>211</v>
      </c>
      <c r="F13" s="21">
        <f>COUNTIF(CProf[[Pref_1]:[Pref_6]],CCourse[[#This Row],[Course]])</f>
        <v>2</v>
      </c>
      <c r="G13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3" s="21">
        <f>COUNTIF(CCourse[Course],CCourse[[#This Row],[Course]])-COUNTIF(CProf[[Session_1]:[Session_4]],CCourse[[#This Row],[Course]]&amp;"*")</f>
        <v>0</v>
      </c>
      <c r="I13" s="21">
        <v>10</v>
      </c>
      <c r="J13" s="21" t="str">
        <f>IFERROR(INDEX(CProf[Full/Part-time],MATCH(CCourse[[#This Row],[Professor]],CProf[Name],0)),"")</f>
        <v>F</v>
      </c>
      <c r="K13" t="s">
        <v>324</v>
      </c>
      <c r="L13" s="21">
        <v>0.56981850537077239</v>
      </c>
      <c r="N13">
        <f>COUNTIF(CProf[[Session_1]:[Session_4]],CCourse[[#This Row],[SessionPK]])</f>
        <v>1</v>
      </c>
      <c r="O13">
        <v>12</v>
      </c>
    </row>
    <row r="14" spans="1:15" x14ac:dyDescent="0.25">
      <c r="A14" s="5" t="s">
        <v>41</v>
      </c>
      <c r="B14" t="s">
        <v>143</v>
      </c>
      <c r="C14">
        <v>100</v>
      </c>
      <c r="D14" t="s">
        <v>3</v>
      </c>
      <c r="E14" s="21" t="s">
        <v>185</v>
      </c>
      <c r="F14" s="21">
        <f>COUNTIF(CProf[[Pref_1]:[Pref_6]],CCourse[[#This Row],[Course]])</f>
        <v>3</v>
      </c>
      <c r="G14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4" s="21">
        <f>COUNTIF(CCourse[Course],CCourse[[#This Row],[Course]])-COUNTIF(CProf[[Session_1]:[Session_4]],CCourse[[#This Row],[Course]]&amp;"*")</f>
        <v>0</v>
      </c>
      <c r="I14" s="21">
        <v>10</v>
      </c>
      <c r="J14" s="21" t="str">
        <f>IFERROR(INDEX(CProf[Full/Part-time],MATCH(CCourse[[#This Row],[Professor]],CProf[Name],0)),"")</f>
        <v>F</v>
      </c>
      <c r="K14" t="s">
        <v>293</v>
      </c>
      <c r="L14" s="21">
        <v>0.28214765939439801</v>
      </c>
      <c r="N14">
        <f>COUNTIF(CProf[[Session_1]:[Session_4]],CCourse[[#This Row],[SessionPK]])</f>
        <v>1</v>
      </c>
      <c r="O14">
        <v>13</v>
      </c>
    </row>
    <row r="15" spans="1:15" x14ac:dyDescent="0.25">
      <c r="A15" s="5" t="s">
        <v>42</v>
      </c>
      <c r="B15" t="s">
        <v>143</v>
      </c>
      <c r="C15">
        <v>200</v>
      </c>
      <c r="D15" t="s">
        <v>3</v>
      </c>
      <c r="E15" s="21" t="s">
        <v>186</v>
      </c>
      <c r="F15" s="21">
        <f>COUNTIF(CProf[[Pref_1]:[Pref_6]],CCourse[[#This Row],[Course]])</f>
        <v>3</v>
      </c>
      <c r="G15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5" s="21">
        <f>COUNTIF(CCourse[Course],CCourse[[#This Row],[Course]])-COUNTIF(CProf[[Session_1]:[Session_4]],CCourse[[#This Row],[Course]]&amp;"*")</f>
        <v>0</v>
      </c>
      <c r="I15" s="21">
        <v>10</v>
      </c>
      <c r="J15" s="21" t="str">
        <f>IFERROR(INDEX(CProf[Full/Part-time],MATCH(CCourse[[#This Row],[Professor]],CProf[Name],0)),"")</f>
        <v>F</v>
      </c>
      <c r="K15" t="s">
        <v>293</v>
      </c>
      <c r="L15" s="21">
        <v>0.42610701993339517</v>
      </c>
      <c r="N15">
        <f>COUNTIF(CProf[[Session_1]:[Session_4]],CCourse[[#This Row],[SessionPK]])</f>
        <v>1</v>
      </c>
      <c r="O15">
        <v>14</v>
      </c>
    </row>
    <row r="16" spans="1:15" x14ac:dyDescent="0.25">
      <c r="A16" s="5" t="s">
        <v>43</v>
      </c>
      <c r="B16" t="s">
        <v>143</v>
      </c>
      <c r="C16">
        <v>300</v>
      </c>
      <c r="D16" t="s">
        <v>3</v>
      </c>
      <c r="E16" s="21" t="s">
        <v>187</v>
      </c>
      <c r="F16" s="21">
        <f>COUNTIF(CProf[[Pref_1]:[Pref_6]],CCourse[[#This Row],[Course]])</f>
        <v>3</v>
      </c>
      <c r="G16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6" s="21">
        <f>COUNTIF(CCourse[Course],CCourse[[#This Row],[Course]])-COUNTIF(CProf[[Session_1]:[Session_4]],CCourse[[#This Row],[Course]]&amp;"*")</f>
        <v>0</v>
      </c>
      <c r="I16" s="21">
        <v>10</v>
      </c>
      <c r="J16" s="21" t="str">
        <f>IFERROR(INDEX(CProf[Full/Part-time],MATCH(CCourse[[#This Row],[Professor]],CProf[Name],0)),"")</f>
        <v>F</v>
      </c>
      <c r="K16" t="s">
        <v>293</v>
      </c>
      <c r="L16" s="21">
        <v>0.37254222439349582</v>
      </c>
      <c r="N16">
        <f>COUNTIF(CProf[[Session_1]:[Session_4]],CCourse[[#This Row],[SessionPK]])</f>
        <v>1</v>
      </c>
      <c r="O16">
        <v>15</v>
      </c>
    </row>
    <row r="17" spans="1:15" x14ac:dyDescent="0.25">
      <c r="A17" s="5" t="s">
        <v>44</v>
      </c>
      <c r="B17" t="s">
        <v>143</v>
      </c>
      <c r="C17">
        <v>400</v>
      </c>
      <c r="D17" t="s">
        <v>3</v>
      </c>
      <c r="E17" s="21" t="s">
        <v>188</v>
      </c>
      <c r="F17" s="21">
        <f>COUNTIF(CProf[[Pref_1]:[Pref_6]],CCourse[[#This Row],[Course]])</f>
        <v>3</v>
      </c>
      <c r="G17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7" s="21">
        <f>COUNTIF(CCourse[Course],CCourse[[#This Row],[Course]])-COUNTIF(CProf[[Session_1]:[Session_4]],CCourse[[#This Row],[Course]]&amp;"*")</f>
        <v>0</v>
      </c>
      <c r="I17" s="21">
        <v>10</v>
      </c>
      <c r="J17" s="21" t="str">
        <f>IFERROR(INDEX(CProf[Full/Part-time],MATCH(CCourse[[#This Row],[Professor]],CProf[Name],0)),"")</f>
        <v>F</v>
      </c>
      <c r="K17" t="s">
        <v>293</v>
      </c>
      <c r="L17" s="21">
        <v>6.2012133240320289E-2</v>
      </c>
      <c r="N17">
        <f>COUNTIF(CProf[[Session_1]:[Session_4]],CCourse[[#This Row],[SessionPK]])</f>
        <v>1</v>
      </c>
      <c r="O17">
        <v>16</v>
      </c>
    </row>
    <row r="18" spans="1:15" x14ac:dyDescent="0.25">
      <c r="A18" s="5" t="s">
        <v>45</v>
      </c>
      <c r="B18" t="s">
        <v>144</v>
      </c>
      <c r="C18">
        <v>100</v>
      </c>
      <c r="D18" t="s">
        <v>3</v>
      </c>
      <c r="E18" s="21" t="s">
        <v>189</v>
      </c>
      <c r="F18" s="21">
        <f>COUNTIF(CProf[[Pref_1]:[Pref_6]],CCourse[[#This Row],[Course]])</f>
        <v>2</v>
      </c>
      <c r="G18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8" s="21">
        <f>COUNTIF(CCourse[Course],CCourse[[#This Row],[Course]])-COUNTIF(CProf[[Session_1]:[Session_4]],CCourse[[#This Row],[Course]]&amp;"*")</f>
        <v>0</v>
      </c>
      <c r="I18" s="21">
        <v>10</v>
      </c>
      <c r="J18" s="21" t="str">
        <f>IFERROR(INDEX(CProf[Full/Part-time],MATCH(CCourse[[#This Row],[Professor]],CProf[Name],0)),"")</f>
        <v>F</v>
      </c>
      <c r="K18" t="s">
        <v>302</v>
      </c>
      <c r="L18" s="21">
        <v>0.14014750458898007</v>
      </c>
      <c r="N18">
        <f>COUNTIF(CProf[[Session_1]:[Session_4]],CCourse[[#This Row],[SessionPK]])</f>
        <v>1</v>
      </c>
      <c r="O18">
        <v>17</v>
      </c>
    </row>
    <row r="19" spans="1:15" x14ac:dyDescent="0.25">
      <c r="A19" s="5" t="s">
        <v>46</v>
      </c>
      <c r="B19" t="s">
        <v>144</v>
      </c>
      <c r="C19">
        <v>200</v>
      </c>
      <c r="D19" t="s">
        <v>3</v>
      </c>
      <c r="E19" s="21" t="s">
        <v>190</v>
      </c>
      <c r="F19" s="21">
        <f>COUNTIF(CProf[[Pref_1]:[Pref_6]],CCourse[[#This Row],[Course]])</f>
        <v>2</v>
      </c>
      <c r="G19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9" s="21">
        <f>COUNTIF(CCourse[Course],CCourse[[#This Row],[Course]])-COUNTIF(CProf[[Session_1]:[Session_4]],CCourse[[#This Row],[Course]]&amp;"*")</f>
        <v>0</v>
      </c>
      <c r="I19" s="21">
        <v>10</v>
      </c>
      <c r="J19" s="21" t="str">
        <f>IFERROR(INDEX(CProf[Full/Part-time],MATCH(CCourse[[#This Row],[Professor]],CProf[Name],0)),"")</f>
        <v>F</v>
      </c>
      <c r="K19" t="s">
        <v>302</v>
      </c>
      <c r="L19" s="21">
        <v>0.90673195845831123</v>
      </c>
      <c r="N19">
        <f>COUNTIF(CProf[[Session_1]:[Session_4]],CCourse[[#This Row],[SessionPK]])</f>
        <v>1</v>
      </c>
      <c r="O19">
        <v>18</v>
      </c>
    </row>
    <row r="20" spans="1:15" x14ac:dyDescent="0.25">
      <c r="A20" s="5" t="s">
        <v>47</v>
      </c>
      <c r="B20" t="s">
        <v>144</v>
      </c>
      <c r="C20">
        <v>300</v>
      </c>
      <c r="D20" t="s">
        <v>3</v>
      </c>
      <c r="E20" s="21" t="s">
        <v>191</v>
      </c>
      <c r="F20" s="21">
        <f>COUNTIF(CProf[[Pref_1]:[Pref_6]],CCourse[[#This Row],[Course]])</f>
        <v>2</v>
      </c>
      <c r="G20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20" s="21">
        <f>COUNTIF(CCourse[Course],CCourse[[#This Row],[Course]])-COUNTIF(CProf[[Session_1]:[Session_4]],CCourse[[#This Row],[Course]]&amp;"*")</f>
        <v>0</v>
      </c>
      <c r="I20" s="21">
        <v>10</v>
      </c>
      <c r="J20" s="21" t="str">
        <f>IFERROR(INDEX(CProf[Full/Part-time],MATCH(CCourse[[#This Row],[Professor]],CProf[Name],0)),"")</f>
        <v>F</v>
      </c>
      <c r="K20" t="s">
        <v>302</v>
      </c>
      <c r="L20" s="21">
        <v>0.32356708779605481</v>
      </c>
      <c r="N20">
        <f>COUNTIF(CProf[[Session_1]:[Session_4]],CCourse[[#This Row],[SessionPK]])</f>
        <v>1</v>
      </c>
      <c r="O20">
        <v>19</v>
      </c>
    </row>
    <row r="21" spans="1:15" x14ac:dyDescent="0.25">
      <c r="A21" s="5" t="s">
        <v>48</v>
      </c>
      <c r="B21" t="s">
        <v>144</v>
      </c>
      <c r="C21">
        <v>400</v>
      </c>
      <c r="D21" t="s">
        <v>3</v>
      </c>
      <c r="E21" s="21" t="s">
        <v>192</v>
      </c>
      <c r="F21" s="21">
        <f>COUNTIF(CProf[[Pref_1]:[Pref_6]],CCourse[[#This Row],[Course]])</f>
        <v>2</v>
      </c>
      <c r="G21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21" s="21">
        <f>COUNTIF(CCourse[Course],CCourse[[#This Row],[Course]])-COUNTIF(CProf[[Session_1]:[Session_4]],CCourse[[#This Row],[Course]]&amp;"*")</f>
        <v>0</v>
      </c>
      <c r="I21" s="21">
        <v>10</v>
      </c>
      <c r="J21" s="21" t="str">
        <f>IFERROR(INDEX(CProf[Full/Part-time],MATCH(CCourse[[#This Row],[Professor]],CProf[Name],0)),"")</f>
        <v>F</v>
      </c>
      <c r="K21" t="s">
        <v>302</v>
      </c>
      <c r="L21" s="21">
        <v>4.5494144300867179E-2</v>
      </c>
      <c r="N21">
        <f>COUNTIF(CProf[[Session_1]:[Session_4]],CCourse[[#This Row],[SessionPK]])</f>
        <v>1</v>
      </c>
      <c r="O21">
        <v>20</v>
      </c>
    </row>
    <row r="22" spans="1:15" x14ac:dyDescent="0.25">
      <c r="A22" s="5" t="s">
        <v>49</v>
      </c>
      <c r="B22" t="s">
        <v>145</v>
      </c>
      <c r="C22">
        <v>100</v>
      </c>
      <c r="D22" t="s">
        <v>3</v>
      </c>
      <c r="E22" s="21" t="s">
        <v>193</v>
      </c>
      <c r="F22" s="21">
        <f>COUNTIF(CProf[[Pref_1]:[Pref_6]],CCourse[[#This Row],[Course]])</f>
        <v>3</v>
      </c>
      <c r="G22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2" s="21">
        <f>COUNTIF(CCourse[Course],CCourse[[#This Row],[Course]])-COUNTIF(CProf[[Session_1]:[Session_4]],CCourse[[#This Row],[Course]]&amp;"*")</f>
        <v>0</v>
      </c>
      <c r="I22" s="21">
        <v>10</v>
      </c>
      <c r="J22" s="21" t="str">
        <f>IFERROR(INDEX(CProf[Full/Part-time],MATCH(CCourse[[#This Row],[Professor]],CProf[Name],0)),"")</f>
        <v>F</v>
      </c>
      <c r="K22" t="s">
        <v>300</v>
      </c>
      <c r="L22" s="21">
        <v>0.54855752036354999</v>
      </c>
      <c r="N22">
        <f>COUNTIF(CProf[[Session_1]:[Session_4]],CCourse[[#This Row],[SessionPK]])</f>
        <v>1</v>
      </c>
      <c r="O22">
        <v>21</v>
      </c>
    </row>
    <row r="23" spans="1:15" x14ac:dyDescent="0.25">
      <c r="A23" s="5" t="s">
        <v>50</v>
      </c>
      <c r="B23" t="s">
        <v>145</v>
      </c>
      <c r="C23">
        <v>200</v>
      </c>
      <c r="D23" t="s">
        <v>3</v>
      </c>
      <c r="E23" s="21" t="s">
        <v>194</v>
      </c>
      <c r="F23" s="21">
        <f>COUNTIF(CProf[[Pref_1]:[Pref_6]],CCourse[[#This Row],[Course]])</f>
        <v>3</v>
      </c>
      <c r="G23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3" s="21">
        <f>COUNTIF(CCourse[Course],CCourse[[#This Row],[Course]])-COUNTIF(CProf[[Session_1]:[Session_4]],CCourse[[#This Row],[Course]]&amp;"*")</f>
        <v>0</v>
      </c>
      <c r="I23" s="21">
        <v>10</v>
      </c>
      <c r="J23" s="21" t="str">
        <f>IFERROR(INDEX(CProf[Full/Part-time],MATCH(CCourse[[#This Row],[Professor]],CProf[Name],0)),"")</f>
        <v>F</v>
      </c>
      <c r="K23" t="s">
        <v>300</v>
      </c>
      <c r="L23" s="21">
        <v>0.16329595138794462</v>
      </c>
      <c r="N23">
        <f>COUNTIF(CProf[[Session_1]:[Session_4]],CCourse[[#This Row],[SessionPK]])</f>
        <v>1</v>
      </c>
      <c r="O23">
        <v>22</v>
      </c>
    </row>
    <row r="24" spans="1:15" x14ac:dyDescent="0.25">
      <c r="A24" s="5" t="s">
        <v>51</v>
      </c>
      <c r="B24" t="s">
        <v>145</v>
      </c>
      <c r="C24">
        <v>300</v>
      </c>
      <c r="D24" t="s">
        <v>3</v>
      </c>
      <c r="E24" s="21" t="s">
        <v>195</v>
      </c>
      <c r="F24" s="21">
        <f>COUNTIF(CProf[[Pref_1]:[Pref_6]],CCourse[[#This Row],[Course]])</f>
        <v>3</v>
      </c>
      <c r="G24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4" s="21">
        <f>COUNTIF(CCourse[Course],CCourse[[#This Row],[Course]])-COUNTIF(CProf[[Session_1]:[Session_4]],CCourse[[#This Row],[Course]]&amp;"*")</f>
        <v>0</v>
      </c>
      <c r="I24" s="21">
        <v>10</v>
      </c>
      <c r="J24" s="21" t="str">
        <f>IFERROR(INDEX(CProf[Full/Part-time],MATCH(CCourse[[#This Row],[Professor]],CProf[Name],0)),"")</f>
        <v>F</v>
      </c>
      <c r="K24" t="s">
        <v>300</v>
      </c>
      <c r="L24" s="21">
        <v>0.6162352934383627</v>
      </c>
      <c r="N24">
        <f>COUNTIF(CProf[[Session_1]:[Session_4]],CCourse[[#This Row],[SessionPK]])</f>
        <v>1</v>
      </c>
      <c r="O24">
        <v>23</v>
      </c>
    </row>
    <row r="25" spans="1:15" x14ac:dyDescent="0.25">
      <c r="A25" s="5" t="s">
        <v>52</v>
      </c>
      <c r="B25" t="s">
        <v>145</v>
      </c>
      <c r="C25">
        <v>400</v>
      </c>
      <c r="D25" t="s">
        <v>3</v>
      </c>
      <c r="E25" s="21" t="s">
        <v>196</v>
      </c>
      <c r="F25" s="21">
        <f>COUNTIF(CProf[[Pref_1]:[Pref_6]],CCourse[[#This Row],[Course]])</f>
        <v>3</v>
      </c>
      <c r="G25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5" s="21">
        <f>COUNTIF(CCourse[Course],CCourse[[#This Row],[Course]])-COUNTIF(CProf[[Session_1]:[Session_4]],CCourse[[#This Row],[Course]]&amp;"*")</f>
        <v>0</v>
      </c>
      <c r="I25" s="21">
        <v>10</v>
      </c>
      <c r="J25" s="21" t="str">
        <f>IFERROR(INDEX(CProf[Full/Part-time],MATCH(CCourse[[#This Row],[Professor]],CProf[Name],0)),"")</f>
        <v>F</v>
      </c>
      <c r="K25" t="s">
        <v>300</v>
      </c>
      <c r="L25" s="21">
        <v>0.41559276831393888</v>
      </c>
      <c r="N25">
        <f>COUNTIF(CProf[[Session_1]:[Session_4]],CCourse[[#This Row],[SessionPK]])</f>
        <v>1</v>
      </c>
      <c r="O25">
        <v>24</v>
      </c>
    </row>
    <row r="26" spans="1:15" x14ac:dyDescent="0.25">
      <c r="A26" s="5" t="s">
        <v>53</v>
      </c>
      <c r="B26" t="s">
        <v>182</v>
      </c>
      <c r="C26">
        <v>100</v>
      </c>
      <c r="D26" t="s">
        <v>3</v>
      </c>
      <c r="E26" s="21" t="s">
        <v>197</v>
      </c>
      <c r="F26" s="21">
        <f>COUNTIF(CProf[[Pref_1]:[Pref_6]],CCourse[[#This Row],[Course]])</f>
        <v>3</v>
      </c>
      <c r="G26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6" s="21">
        <f>COUNTIF(CCourse[Course],CCourse[[#This Row],[Course]])-COUNTIF(CProf[[Session_1]:[Session_4]],CCourse[[#This Row],[Course]]&amp;"*")</f>
        <v>0</v>
      </c>
      <c r="I26" s="21">
        <v>10</v>
      </c>
      <c r="J26" s="21" t="str">
        <f>IFERROR(INDEX(CProf[Full/Part-time],MATCH(CCourse[[#This Row],[Professor]],CProf[Name],0)),"")</f>
        <v>P</v>
      </c>
      <c r="K26" t="s">
        <v>317</v>
      </c>
      <c r="L26" s="21">
        <v>0.6577395731836323</v>
      </c>
      <c r="N26">
        <f>COUNTIF(CProf[[Session_1]:[Session_4]],CCourse[[#This Row],[SessionPK]])</f>
        <v>1</v>
      </c>
      <c r="O26">
        <v>25</v>
      </c>
    </row>
    <row r="27" spans="1:15" x14ac:dyDescent="0.25">
      <c r="A27" s="5" t="s">
        <v>54</v>
      </c>
      <c r="B27" t="s">
        <v>182</v>
      </c>
      <c r="C27">
        <v>200</v>
      </c>
      <c r="D27" t="s">
        <v>3</v>
      </c>
      <c r="E27" s="21" t="s">
        <v>198</v>
      </c>
      <c r="F27" s="21">
        <f>COUNTIF(CProf[[Pref_1]:[Pref_6]],CCourse[[#This Row],[Course]])</f>
        <v>3</v>
      </c>
      <c r="G27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7" s="21">
        <f>COUNTIF(CCourse[Course],CCourse[[#This Row],[Course]])-COUNTIF(CProf[[Session_1]:[Session_4]],CCourse[[#This Row],[Course]]&amp;"*")</f>
        <v>0</v>
      </c>
      <c r="I27" s="21">
        <v>10</v>
      </c>
      <c r="J27" s="21" t="str">
        <f>IFERROR(INDEX(CProf[Full/Part-time],MATCH(CCourse[[#This Row],[Professor]],CProf[Name],0)),"")</f>
        <v>P</v>
      </c>
      <c r="K27" t="s">
        <v>317</v>
      </c>
      <c r="L27" s="21">
        <v>0.68243954747521762</v>
      </c>
      <c r="N27">
        <f>COUNTIF(CProf[[Session_1]:[Session_4]],CCourse[[#This Row],[SessionPK]])</f>
        <v>1</v>
      </c>
      <c r="O27">
        <v>26</v>
      </c>
    </row>
    <row r="28" spans="1:15" x14ac:dyDescent="0.25">
      <c r="A28" s="5" t="s">
        <v>55</v>
      </c>
      <c r="B28" t="s">
        <v>182</v>
      </c>
      <c r="C28">
        <v>300</v>
      </c>
      <c r="D28" t="s">
        <v>3</v>
      </c>
      <c r="E28" s="21" t="s">
        <v>199</v>
      </c>
      <c r="F28" s="21">
        <f>COUNTIF(CProf[[Pref_1]:[Pref_6]],CCourse[[#This Row],[Course]])</f>
        <v>3</v>
      </c>
      <c r="G28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8" s="21">
        <f>COUNTIF(CCourse[Course],CCourse[[#This Row],[Course]])-COUNTIF(CProf[[Session_1]:[Session_4]],CCourse[[#This Row],[Course]]&amp;"*")</f>
        <v>0</v>
      </c>
      <c r="I28" s="21">
        <v>10</v>
      </c>
      <c r="J28" s="21" t="str">
        <f>IFERROR(INDEX(CProf[Full/Part-time],MATCH(CCourse[[#This Row],[Professor]],CProf[Name],0)),"")</f>
        <v>P</v>
      </c>
      <c r="K28" t="s">
        <v>317</v>
      </c>
      <c r="L28" s="21">
        <v>0.97007391802470044</v>
      </c>
      <c r="N28">
        <f>COUNTIF(CProf[[Session_1]:[Session_4]],CCourse[[#This Row],[SessionPK]])</f>
        <v>1</v>
      </c>
      <c r="O28">
        <v>27</v>
      </c>
    </row>
    <row r="29" spans="1:15" x14ac:dyDescent="0.25">
      <c r="A29" s="5" t="s">
        <v>56</v>
      </c>
      <c r="B29" t="s">
        <v>182</v>
      </c>
      <c r="C29">
        <v>400</v>
      </c>
      <c r="D29" t="s">
        <v>3</v>
      </c>
      <c r="E29" s="21" t="s">
        <v>200</v>
      </c>
      <c r="F29" s="21">
        <f>COUNTIF(CProf[[Pref_1]:[Pref_6]],CCourse[[#This Row],[Course]])</f>
        <v>3</v>
      </c>
      <c r="G29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29" s="21">
        <f>COUNTIF(CCourse[Course],CCourse[[#This Row],[Course]])-COUNTIF(CProf[[Session_1]:[Session_4]],CCourse[[#This Row],[Course]]&amp;"*")</f>
        <v>0</v>
      </c>
      <c r="I29" s="21">
        <v>10</v>
      </c>
      <c r="J29" s="21" t="str">
        <f>IFERROR(INDEX(CProf[Full/Part-time],MATCH(CCourse[[#This Row],[Professor]],CProf[Name],0)),"")</f>
        <v>P</v>
      </c>
      <c r="K29" t="s">
        <v>317</v>
      </c>
      <c r="L29" s="21">
        <v>0.17777309869258684</v>
      </c>
      <c r="N29">
        <f>COUNTIF(CProf[[Session_1]:[Session_4]],CCourse[[#This Row],[SessionPK]])</f>
        <v>1</v>
      </c>
      <c r="O29">
        <v>28</v>
      </c>
    </row>
    <row r="30" spans="1:15" x14ac:dyDescent="0.25">
      <c r="A30" s="5" t="s">
        <v>57</v>
      </c>
      <c r="B30" t="s">
        <v>183</v>
      </c>
      <c r="C30">
        <v>100</v>
      </c>
      <c r="D30" t="s">
        <v>3</v>
      </c>
      <c r="E30" s="21" t="s">
        <v>201</v>
      </c>
      <c r="F30" s="21">
        <f>COUNTIF(CProf[[Pref_1]:[Pref_6]],CCourse[[#This Row],[Course]])</f>
        <v>3</v>
      </c>
      <c r="G30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30" s="21">
        <f>COUNTIF(CCourse[Course],CCourse[[#This Row],[Course]])-COUNTIF(CProf[[Session_1]:[Session_4]],CCourse[[#This Row],[Course]]&amp;"*")</f>
        <v>0</v>
      </c>
      <c r="I30" s="21">
        <v>10</v>
      </c>
      <c r="J30" s="21" t="str">
        <f>IFERROR(INDEX(CProf[Full/Part-time],MATCH(CCourse[[#This Row],[Professor]],CProf[Name],0)),"")</f>
        <v>P</v>
      </c>
      <c r="K30" t="s">
        <v>314</v>
      </c>
      <c r="L30" s="21">
        <v>4.5896796315269883E-2</v>
      </c>
      <c r="N30">
        <f>COUNTIF(CProf[[Session_1]:[Session_4]],CCourse[[#This Row],[SessionPK]])</f>
        <v>1</v>
      </c>
      <c r="O30">
        <v>29</v>
      </c>
    </row>
    <row r="31" spans="1:15" x14ac:dyDescent="0.25">
      <c r="A31" s="5" t="s">
        <v>58</v>
      </c>
      <c r="B31" t="s">
        <v>183</v>
      </c>
      <c r="C31">
        <v>200</v>
      </c>
      <c r="D31" t="s">
        <v>3</v>
      </c>
      <c r="E31" s="21" t="s">
        <v>202</v>
      </c>
      <c r="F31" s="21">
        <f>COUNTIF(CProf[[Pref_1]:[Pref_6]],CCourse[[#This Row],[Course]])</f>
        <v>3</v>
      </c>
      <c r="G31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31" s="21">
        <f>COUNTIF(CCourse[Course],CCourse[[#This Row],[Course]])-COUNTIF(CProf[[Session_1]:[Session_4]],CCourse[[#This Row],[Course]]&amp;"*")</f>
        <v>0</v>
      </c>
      <c r="I31" s="21">
        <v>10</v>
      </c>
      <c r="J31" s="21" t="str">
        <f>IFERROR(INDEX(CProf[Full/Part-time],MATCH(CCourse[[#This Row],[Professor]],CProf[Name],0)),"")</f>
        <v>P</v>
      </c>
      <c r="K31" t="s">
        <v>314</v>
      </c>
      <c r="L31" s="21">
        <v>0.85188706658953639</v>
      </c>
      <c r="N31">
        <f>COUNTIF(CProf[[Session_1]:[Session_4]],CCourse[[#This Row],[SessionPK]])</f>
        <v>1</v>
      </c>
      <c r="O31">
        <v>30</v>
      </c>
    </row>
    <row r="32" spans="1:15" x14ac:dyDescent="0.25">
      <c r="A32" s="5" t="s">
        <v>59</v>
      </c>
      <c r="B32" t="s">
        <v>183</v>
      </c>
      <c r="C32">
        <v>300</v>
      </c>
      <c r="D32" t="s">
        <v>3</v>
      </c>
      <c r="E32" s="21" t="s">
        <v>203</v>
      </c>
      <c r="F32" s="21">
        <f>COUNTIF(CProf[[Pref_1]:[Pref_6]],CCourse[[#This Row],[Course]])</f>
        <v>3</v>
      </c>
      <c r="G32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32" s="21">
        <f>COUNTIF(CCourse[Course],CCourse[[#This Row],[Course]])-COUNTIF(CProf[[Session_1]:[Session_4]],CCourse[[#This Row],[Course]]&amp;"*")</f>
        <v>0</v>
      </c>
      <c r="I32" s="21">
        <v>10</v>
      </c>
      <c r="J32" s="21" t="str">
        <f>IFERROR(INDEX(CProf[Full/Part-time],MATCH(CCourse[[#This Row],[Professor]],CProf[Name],0)),"")</f>
        <v>P</v>
      </c>
      <c r="K32" t="s">
        <v>314</v>
      </c>
      <c r="L32" s="21">
        <v>1.4220850004388552E-2</v>
      </c>
      <c r="N32">
        <f>COUNTIF(CProf[[Session_1]:[Session_4]],CCourse[[#This Row],[SessionPK]])</f>
        <v>1</v>
      </c>
      <c r="O32">
        <v>31</v>
      </c>
    </row>
    <row r="33" spans="1:15" x14ac:dyDescent="0.25">
      <c r="A33" s="5" t="s">
        <v>60</v>
      </c>
      <c r="B33" t="s">
        <v>183</v>
      </c>
      <c r="C33">
        <v>400</v>
      </c>
      <c r="D33" t="s">
        <v>3</v>
      </c>
      <c r="E33" s="21" t="s">
        <v>204</v>
      </c>
      <c r="F33" s="21">
        <f>COUNTIF(CProf[[Pref_1]:[Pref_6]],CCourse[[#This Row],[Course]])</f>
        <v>3</v>
      </c>
      <c r="G33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33" s="21">
        <f>COUNTIF(CCourse[Course],CCourse[[#This Row],[Course]])-COUNTIF(CProf[[Session_1]:[Session_4]],CCourse[[#This Row],[Course]]&amp;"*")</f>
        <v>0</v>
      </c>
      <c r="I33" s="21">
        <v>10</v>
      </c>
      <c r="J33" s="21" t="str">
        <f>IFERROR(INDEX(CProf[Full/Part-time],MATCH(CCourse[[#This Row],[Professor]],CProf[Name],0)),"")</f>
        <v>P</v>
      </c>
      <c r="K33" t="s">
        <v>314</v>
      </c>
      <c r="L33" s="21">
        <v>0.82277755752269643</v>
      </c>
      <c r="N33">
        <f>COUNTIF(CProf[[Session_1]:[Session_4]],CCourse[[#This Row],[SessionPK]])</f>
        <v>1</v>
      </c>
      <c r="O33">
        <v>32</v>
      </c>
    </row>
    <row r="34" spans="1:15" x14ac:dyDescent="0.25">
      <c r="A34" s="5" t="s">
        <v>61</v>
      </c>
      <c r="B34" t="s">
        <v>41</v>
      </c>
      <c r="C34">
        <v>100</v>
      </c>
      <c r="D34" t="s">
        <v>3</v>
      </c>
      <c r="E34" s="21" t="s">
        <v>212</v>
      </c>
      <c r="F34" s="21">
        <f>COUNTIF(CProf[[Pref_1]:[Pref_6]],CCourse[[#This Row],[Course]])</f>
        <v>2</v>
      </c>
      <c r="G34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34" s="21">
        <f>COUNTIF(CCourse[Course],CCourse[[#This Row],[Course]])-COUNTIF(CProf[[Session_1]:[Session_4]],CCourse[[#This Row],[Course]]&amp;"*")</f>
        <v>0</v>
      </c>
      <c r="I34" s="21">
        <v>10</v>
      </c>
      <c r="J34" s="21" t="str">
        <f>IFERROR(INDEX(CProf[Full/Part-time],MATCH(CCourse[[#This Row],[Professor]],CProf[Name],0)),"")</f>
        <v>F</v>
      </c>
      <c r="K34" t="s">
        <v>340</v>
      </c>
      <c r="L34" s="21">
        <v>0.52802362595248731</v>
      </c>
      <c r="N34">
        <f>COUNTIF(CProf[[Session_1]:[Session_4]],CCourse[[#This Row],[SessionPK]])</f>
        <v>1</v>
      </c>
      <c r="O34">
        <v>33</v>
      </c>
    </row>
    <row r="35" spans="1:15" x14ac:dyDescent="0.25">
      <c r="A35" s="5" t="s">
        <v>62</v>
      </c>
      <c r="B35" t="s">
        <v>41</v>
      </c>
      <c r="C35">
        <v>200</v>
      </c>
      <c r="D35" t="s">
        <v>3</v>
      </c>
      <c r="E35" s="21" t="s">
        <v>280</v>
      </c>
      <c r="F35" s="21">
        <f>COUNTIF(CProf[[Pref_1]:[Pref_6]],CCourse[[#This Row],[Course]])</f>
        <v>2</v>
      </c>
      <c r="G35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35" s="21">
        <f>COUNTIF(CCourse[Course],CCourse[[#This Row],[Course]])-COUNTIF(CProf[[Session_1]:[Session_4]],CCourse[[#This Row],[Course]]&amp;"*")</f>
        <v>0</v>
      </c>
      <c r="I35" s="21">
        <v>10</v>
      </c>
      <c r="J35" s="21" t="str">
        <f>IFERROR(INDEX(CProf[Full/Part-time],MATCH(CCourse[[#This Row],[Professor]],CProf[Name],0)),"")</f>
        <v>F</v>
      </c>
      <c r="K35" t="s">
        <v>340</v>
      </c>
      <c r="L35" s="21">
        <v>0.25719715645358698</v>
      </c>
      <c r="N35">
        <f>COUNTIF(CProf[[Session_1]:[Session_4]],CCourse[[#This Row],[SessionPK]])</f>
        <v>1</v>
      </c>
      <c r="O35">
        <v>34</v>
      </c>
    </row>
    <row r="36" spans="1:15" x14ac:dyDescent="0.25">
      <c r="A36" s="5" t="s">
        <v>63</v>
      </c>
      <c r="B36" t="s">
        <v>41</v>
      </c>
      <c r="C36">
        <v>300</v>
      </c>
      <c r="D36" t="s">
        <v>3</v>
      </c>
      <c r="E36" s="21" t="s">
        <v>289</v>
      </c>
      <c r="F36" s="21">
        <f>COUNTIF(CProf[[Pref_1]:[Pref_6]],CCourse[[#This Row],[Course]])</f>
        <v>2</v>
      </c>
      <c r="G36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36" s="21">
        <f>COUNTIF(CCourse[Course],CCourse[[#This Row],[Course]])-COUNTIF(CProf[[Session_1]:[Session_4]],CCourse[[#This Row],[Course]]&amp;"*")</f>
        <v>0</v>
      </c>
      <c r="I36" s="21">
        <v>10</v>
      </c>
      <c r="J36" s="21" t="str">
        <f>IFERROR(INDEX(CProf[Full/Part-time],MATCH(CCourse[[#This Row],[Professor]],CProf[Name],0)),"")</f>
        <v>F</v>
      </c>
      <c r="K36" t="s">
        <v>340</v>
      </c>
      <c r="L36" s="21">
        <v>0.29631711262720339</v>
      </c>
      <c r="N36">
        <f>COUNTIF(CProf[[Session_1]:[Session_4]],CCourse[[#This Row],[SessionPK]])</f>
        <v>1</v>
      </c>
      <c r="O36">
        <v>35</v>
      </c>
    </row>
    <row r="37" spans="1:15" x14ac:dyDescent="0.25">
      <c r="A37" s="5" t="s">
        <v>64</v>
      </c>
      <c r="B37" t="s">
        <v>42</v>
      </c>
      <c r="C37">
        <v>100</v>
      </c>
      <c r="D37" t="s">
        <v>3</v>
      </c>
      <c r="E37" s="21" t="s">
        <v>213</v>
      </c>
      <c r="F37" s="21">
        <f>COUNTIF(CProf[[Pref_1]:[Pref_6]],CCourse[[#This Row],[Course]])</f>
        <v>2</v>
      </c>
      <c r="G37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37" s="21">
        <f>COUNTIF(CCourse[Course],CCourse[[#This Row],[Course]])-COUNTIF(CProf[[Session_1]:[Session_4]],CCourse[[#This Row],[Course]]&amp;"*")</f>
        <v>0</v>
      </c>
      <c r="I37" s="21">
        <v>10</v>
      </c>
      <c r="J37" s="21" t="str">
        <f>IFERROR(INDEX(CProf[Full/Part-time],MATCH(CCourse[[#This Row],[Professor]],CProf[Name],0)),"")</f>
        <v>F</v>
      </c>
      <c r="K37" t="s">
        <v>334</v>
      </c>
      <c r="L37" s="21">
        <v>0.19367872699105515</v>
      </c>
      <c r="N37">
        <f>COUNTIF(CProf[[Session_1]:[Session_4]],CCourse[[#This Row],[SessionPK]])</f>
        <v>1</v>
      </c>
      <c r="O37">
        <v>36</v>
      </c>
    </row>
    <row r="38" spans="1:15" x14ac:dyDescent="0.25">
      <c r="A38" s="5" t="s">
        <v>65</v>
      </c>
      <c r="B38" t="s">
        <v>42</v>
      </c>
      <c r="C38">
        <v>200</v>
      </c>
      <c r="D38" t="s">
        <v>3</v>
      </c>
      <c r="E38" s="21" t="s">
        <v>281</v>
      </c>
      <c r="F38" s="21">
        <f>COUNTIF(CProf[[Pref_1]:[Pref_6]],CCourse[[#This Row],[Course]])</f>
        <v>2</v>
      </c>
      <c r="G38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38" s="21">
        <f>COUNTIF(CCourse[Course],CCourse[[#This Row],[Course]])-COUNTIF(CProf[[Session_1]:[Session_4]],CCourse[[#This Row],[Course]]&amp;"*")</f>
        <v>0</v>
      </c>
      <c r="I38" s="21">
        <v>10</v>
      </c>
      <c r="J38" s="21" t="str">
        <f>IFERROR(INDEX(CProf[Full/Part-time],MATCH(CCourse[[#This Row],[Professor]],CProf[Name],0)),"")</f>
        <v>F</v>
      </c>
      <c r="K38" t="s">
        <v>334</v>
      </c>
      <c r="L38" s="21">
        <v>0.61524650792775581</v>
      </c>
      <c r="N38">
        <f>COUNTIF(CProf[[Session_1]:[Session_4]],CCourse[[#This Row],[SessionPK]])</f>
        <v>1</v>
      </c>
      <c r="O38">
        <v>37</v>
      </c>
    </row>
    <row r="39" spans="1:15" x14ac:dyDescent="0.25">
      <c r="A39" s="5" t="s">
        <v>66</v>
      </c>
      <c r="B39" t="s">
        <v>42</v>
      </c>
      <c r="C39">
        <v>300</v>
      </c>
      <c r="D39" t="s">
        <v>3</v>
      </c>
      <c r="E39" s="21" t="s">
        <v>290</v>
      </c>
      <c r="F39" s="21">
        <f>COUNTIF(CProf[[Pref_1]:[Pref_6]],CCourse[[#This Row],[Course]])</f>
        <v>2</v>
      </c>
      <c r="G39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39" s="21">
        <f>COUNTIF(CCourse[Course],CCourse[[#This Row],[Course]])-COUNTIF(CProf[[Session_1]:[Session_4]],CCourse[[#This Row],[Course]]&amp;"*")</f>
        <v>0</v>
      </c>
      <c r="I39" s="21">
        <v>10</v>
      </c>
      <c r="J39" s="21" t="str">
        <f>IFERROR(INDEX(CProf[Full/Part-time],MATCH(CCourse[[#This Row],[Professor]],CProf[Name],0)),"")</f>
        <v>F</v>
      </c>
      <c r="K39" t="s">
        <v>334</v>
      </c>
      <c r="L39" s="21">
        <v>0.10522957373307873</v>
      </c>
      <c r="N39">
        <f>COUNTIF(CProf[[Session_1]:[Session_4]],CCourse[[#This Row],[SessionPK]])</f>
        <v>1</v>
      </c>
      <c r="O39">
        <v>38</v>
      </c>
    </row>
    <row r="40" spans="1:15" x14ac:dyDescent="0.25">
      <c r="A40" s="5" t="s">
        <v>67</v>
      </c>
      <c r="B40" t="s">
        <v>43</v>
      </c>
      <c r="C40">
        <v>100</v>
      </c>
      <c r="D40" t="s">
        <v>3</v>
      </c>
      <c r="E40" s="21" t="s">
        <v>214</v>
      </c>
      <c r="F40" s="21">
        <f>COUNTIF(CProf[[Pref_1]:[Pref_6]],CCourse[[#This Row],[Course]])</f>
        <v>7</v>
      </c>
      <c r="G40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10</v>
      </c>
      <c r="H40" s="21">
        <f>COUNTIF(CCourse[Course],CCourse[[#This Row],[Course]])-COUNTIF(CProf[[Session_1]:[Session_4]],CCourse[[#This Row],[Course]]&amp;"*")</f>
        <v>0</v>
      </c>
      <c r="I40" s="21">
        <v>10</v>
      </c>
      <c r="J40" s="21" t="str">
        <f>IFERROR(INDEX(CProf[Full/Part-time],MATCH(CCourse[[#This Row],[Professor]],CProf[Name],0)),"")</f>
        <v>F</v>
      </c>
      <c r="K40" t="s">
        <v>321</v>
      </c>
      <c r="L40" s="21">
        <v>0.61668919510264242</v>
      </c>
      <c r="N40">
        <f>COUNTIF(CProf[[Session_1]:[Session_4]],CCourse[[#This Row],[SessionPK]])</f>
        <v>1</v>
      </c>
      <c r="O40">
        <v>39</v>
      </c>
    </row>
    <row r="41" spans="1:15" x14ac:dyDescent="0.25">
      <c r="A41" s="5" t="s">
        <v>68</v>
      </c>
      <c r="B41" t="s">
        <v>43</v>
      </c>
      <c r="C41">
        <v>200</v>
      </c>
      <c r="D41" t="s">
        <v>3</v>
      </c>
      <c r="E41" s="21" t="s">
        <v>282</v>
      </c>
      <c r="F41" s="21">
        <f>COUNTIF(CProf[[Pref_1]:[Pref_6]],CCourse[[#This Row],[Course]])</f>
        <v>7</v>
      </c>
      <c r="G41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10</v>
      </c>
      <c r="H41" s="21">
        <f>COUNTIF(CCourse[Course],CCourse[[#This Row],[Course]])-COUNTIF(CProf[[Session_1]:[Session_4]],CCourse[[#This Row],[Course]]&amp;"*")</f>
        <v>0</v>
      </c>
      <c r="I41" s="21">
        <v>10</v>
      </c>
      <c r="J41" s="21" t="str">
        <f>IFERROR(INDEX(CProf[Full/Part-time],MATCH(CCourse[[#This Row],[Professor]],CProf[Name],0)),"")</f>
        <v>F</v>
      </c>
      <c r="K41" t="s">
        <v>306</v>
      </c>
      <c r="L41" s="21">
        <v>0.28854180252970885</v>
      </c>
      <c r="N41">
        <f>COUNTIF(CProf[[Session_1]:[Session_4]],CCourse[[#This Row],[SessionPK]])</f>
        <v>1</v>
      </c>
      <c r="O41">
        <v>40</v>
      </c>
    </row>
    <row r="42" spans="1:15" x14ac:dyDescent="0.25">
      <c r="A42" s="5" t="s">
        <v>69</v>
      </c>
      <c r="B42" t="s">
        <v>43</v>
      </c>
      <c r="C42">
        <v>300</v>
      </c>
      <c r="D42" t="s">
        <v>3</v>
      </c>
      <c r="E42" s="21" t="s">
        <v>291</v>
      </c>
      <c r="F42" s="21">
        <f>COUNTIF(CProf[[Pref_1]:[Pref_6]],CCourse[[#This Row],[Course]])</f>
        <v>7</v>
      </c>
      <c r="G42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10</v>
      </c>
      <c r="H42" s="21">
        <f>COUNTIF(CCourse[Course],CCourse[[#This Row],[Course]])-COUNTIF(CProf[[Session_1]:[Session_4]],CCourse[[#This Row],[Course]]&amp;"*")</f>
        <v>0</v>
      </c>
      <c r="I42" s="21">
        <v>10</v>
      </c>
      <c r="J42" s="21" t="str">
        <f>IFERROR(INDEX(CProf[Full/Part-time],MATCH(CCourse[[#This Row],[Professor]],CProf[Name],0)),"")</f>
        <v>F</v>
      </c>
      <c r="K42" t="s">
        <v>321</v>
      </c>
      <c r="L42" s="21">
        <v>0.35537768036697959</v>
      </c>
      <c r="N42">
        <f>COUNTIF(CProf[[Session_1]:[Session_4]],CCourse[[#This Row],[SessionPK]])</f>
        <v>1</v>
      </c>
      <c r="O42">
        <v>41</v>
      </c>
    </row>
    <row r="43" spans="1:15" x14ac:dyDescent="0.25">
      <c r="A43" s="5" t="s">
        <v>70</v>
      </c>
      <c r="B43" t="s">
        <v>44</v>
      </c>
      <c r="C43">
        <v>100</v>
      </c>
      <c r="D43" t="s">
        <v>3</v>
      </c>
      <c r="E43" s="21" t="s">
        <v>215</v>
      </c>
      <c r="F43" s="21">
        <f>COUNTIF(CProf[[Pref_1]:[Pref_6]],CCourse[[#This Row],[Course]])</f>
        <v>3</v>
      </c>
      <c r="G43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43" s="21">
        <f>COUNTIF(CCourse[Course],CCourse[[#This Row],[Course]])-COUNTIF(CProf[[Session_1]:[Session_4]],CCourse[[#This Row],[Course]]&amp;"*")</f>
        <v>0</v>
      </c>
      <c r="I43" s="21">
        <v>10</v>
      </c>
      <c r="J43" s="21" t="str">
        <f>IFERROR(INDEX(CProf[Full/Part-time],MATCH(CCourse[[#This Row],[Professor]],CProf[Name],0)),"")</f>
        <v>F</v>
      </c>
      <c r="K43" t="s">
        <v>304</v>
      </c>
      <c r="L43" s="21">
        <v>0.2267883509641283</v>
      </c>
      <c r="N43">
        <f>COUNTIF(CProf[[Session_1]:[Session_4]],CCourse[[#This Row],[SessionPK]])</f>
        <v>1</v>
      </c>
      <c r="O43">
        <v>42</v>
      </c>
    </row>
    <row r="44" spans="1:15" x14ac:dyDescent="0.25">
      <c r="A44" s="5" t="s">
        <v>71</v>
      </c>
      <c r="B44" t="s">
        <v>45</v>
      </c>
      <c r="C44">
        <v>100</v>
      </c>
      <c r="D44" t="s">
        <v>3</v>
      </c>
      <c r="E44" s="21" t="s">
        <v>216</v>
      </c>
      <c r="F44" s="21">
        <f>COUNTIF(CProf[[Pref_1]:[Pref_6]],CCourse[[#This Row],[Course]])</f>
        <v>3</v>
      </c>
      <c r="G44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44" s="21">
        <f>COUNTIF(CCourse[Course],CCourse[[#This Row],[Course]])-COUNTIF(CProf[[Session_1]:[Session_4]],CCourse[[#This Row],[Course]]&amp;"*")</f>
        <v>0</v>
      </c>
      <c r="I44" s="21">
        <v>10</v>
      </c>
      <c r="J44" s="21" t="str">
        <f>IFERROR(INDEX(CProf[Full/Part-time],MATCH(CCourse[[#This Row],[Professor]],CProf[Name],0)),"")</f>
        <v>F</v>
      </c>
      <c r="K44" t="s">
        <v>326</v>
      </c>
      <c r="L44" s="21">
        <v>0.65128873945513921</v>
      </c>
      <c r="N44">
        <f>COUNTIF(CProf[[Session_1]:[Session_4]],CCourse[[#This Row],[SessionPK]])</f>
        <v>1</v>
      </c>
      <c r="O44">
        <v>43</v>
      </c>
    </row>
    <row r="45" spans="1:15" x14ac:dyDescent="0.25">
      <c r="A45" s="5" t="s">
        <v>72</v>
      </c>
      <c r="B45" t="s">
        <v>46</v>
      </c>
      <c r="C45">
        <v>100</v>
      </c>
      <c r="D45" t="s">
        <v>3</v>
      </c>
      <c r="E45" s="21" t="s">
        <v>217</v>
      </c>
      <c r="F45" s="21">
        <f>COUNTIF(CProf[[Pref_1]:[Pref_6]],CCourse[[#This Row],[Course]])</f>
        <v>2</v>
      </c>
      <c r="G45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45" s="21">
        <f>COUNTIF(CCourse[Course],CCourse[[#This Row],[Course]])-COUNTIF(CProf[[Session_1]:[Session_4]],CCourse[[#This Row],[Course]]&amp;"*")</f>
        <v>0</v>
      </c>
      <c r="I45" s="21">
        <v>10</v>
      </c>
      <c r="J45" s="21" t="str">
        <f>IFERROR(INDEX(CProf[Full/Part-time],MATCH(CCourse[[#This Row],[Professor]],CProf[Name],0)),"")</f>
        <v>F</v>
      </c>
      <c r="K45" t="s">
        <v>331</v>
      </c>
      <c r="L45" s="21">
        <v>0.71011290243116809</v>
      </c>
      <c r="N45" s="6">
        <f>COUNTIF(CProf[[Session_1]:[Session_4]],CCourse[[#This Row],[SessionPK]])</f>
        <v>1</v>
      </c>
      <c r="O45" s="6">
        <v>44</v>
      </c>
    </row>
    <row r="46" spans="1:15" x14ac:dyDescent="0.25">
      <c r="A46" s="5" t="s">
        <v>73</v>
      </c>
      <c r="B46" t="s">
        <v>47</v>
      </c>
      <c r="C46">
        <v>100</v>
      </c>
      <c r="D46" t="s">
        <v>3</v>
      </c>
      <c r="E46" s="21" t="s">
        <v>218</v>
      </c>
      <c r="F46" s="21">
        <f>COUNTIF(CProf[[Pref_1]:[Pref_6]],CCourse[[#This Row],[Course]])</f>
        <v>4</v>
      </c>
      <c r="G46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46" s="21">
        <f>COUNTIF(CCourse[Course],CCourse[[#This Row],[Course]])-COUNTIF(CProf[[Session_1]:[Session_4]],CCourse[[#This Row],[Course]]&amp;"*")</f>
        <v>0</v>
      </c>
      <c r="I46" s="21">
        <v>10</v>
      </c>
      <c r="J46" s="21" t="str">
        <f>IFERROR(INDEX(CProf[Full/Part-time],MATCH(CCourse[[#This Row],[Professor]],CProf[Name],0)),"")</f>
        <v>P</v>
      </c>
      <c r="K46" t="s">
        <v>298</v>
      </c>
      <c r="L46" s="21">
        <v>0.59079932990706607</v>
      </c>
      <c r="N46">
        <f>COUNTIF(CProf[[Session_1]:[Session_4]],CCourse[[#This Row],[SessionPK]])</f>
        <v>1</v>
      </c>
      <c r="O46">
        <v>45</v>
      </c>
    </row>
    <row r="47" spans="1:15" x14ac:dyDescent="0.25">
      <c r="A47" s="5" t="s">
        <v>74</v>
      </c>
      <c r="B47" t="s">
        <v>48</v>
      </c>
      <c r="C47">
        <v>100</v>
      </c>
      <c r="D47" t="s">
        <v>3</v>
      </c>
      <c r="E47" s="21" t="s">
        <v>219</v>
      </c>
      <c r="F47" s="21">
        <f>COUNTIF(CProf[[Pref_1]:[Pref_6]],CCourse[[#This Row],[Course]])</f>
        <v>1</v>
      </c>
      <c r="G47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47" s="21">
        <f>COUNTIF(CCourse[Course],CCourse[[#This Row],[Course]])-COUNTIF(CProf[[Session_1]:[Session_4]],CCourse[[#This Row],[Course]]&amp;"*")</f>
        <v>0</v>
      </c>
      <c r="I47" s="21">
        <v>10</v>
      </c>
      <c r="J47" s="21" t="str">
        <f>IFERROR(INDEX(CProf[Full/Part-time],MATCH(CCourse[[#This Row],[Professor]],CProf[Name],0)),"")</f>
        <v>F</v>
      </c>
      <c r="K47" t="s">
        <v>325</v>
      </c>
      <c r="L47" s="21">
        <v>0.31779520997377253</v>
      </c>
      <c r="N47">
        <f>COUNTIF(CProf[[Session_1]:[Session_4]],CCourse[[#This Row],[SessionPK]])</f>
        <v>1</v>
      </c>
      <c r="O47">
        <v>46</v>
      </c>
    </row>
    <row r="48" spans="1:15" x14ac:dyDescent="0.25">
      <c r="A48" s="5" t="s">
        <v>75</v>
      </c>
      <c r="B48" t="s">
        <v>49</v>
      </c>
      <c r="C48">
        <v>100</v>
      </c>
      <c r="D48" t="s">
        <v>3</v>
      </c>
      <c r="E48" s="21" t="s">
        <v>220</v>
      </c>
      <c r="F48" s="21">
        <f>COUNTIF(CProf[[Pref_1]:[Pref_6]],CCourse[[#This Row],[Course]])</f>
        <v>3</v>
      </c>
      <c r="G48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4</v>
      </c>
      <c r="H48" s="21">
        <f>COUNTIF(CCourse[Course],CCourse[[#This Row],[Course]])-COUNTIF(CProf[[Session_1]:[Session_4]],CCourse[[#This Row],[Course]]&amp;"*")</f>
        <v>0</v>
      </c>
      <c r="I48" s="21">
        <v>10</v>
      </c>
      <c r="J48" s="21" t="str">
        <f>IFERROR(INDEX(CProf[Full/Part-time],MATCH(CCourse[[#This Row],[Professor]],CProf[Name],0)),"")</f>
        <v>F</v>
      </c>
      <c r="K48" t="s">
        <v>305</v>
      </c>
      <c r="L48" s="21">
        <v>3.8796700294193243E-2</v>
      </c>
      <c r="N48">
        <f>COUNTIF(CProf[[Session_1]:[Session_4]],CCourse[[#This Row],[SessionPK]])</f>
        <v>1</v>
      </c>
      <c r="O48">
        <v>47</v>
      </c>
    </row>
    <row r="49" spans="1:15" x14ac:dyDescent="0.25">
      <c r="A49" s="5" t="s">
        <v>76</v>
      </c>
      <c r="B49" t="s">
        <v>50</v>
      </c>
      <c r="C49">
        <v>100</v>
      </c>
      <c r="D49" t="s">
        <v>3</v>
      </c>
      <c r="E49" s="21" t="s">
        <v>221</v>
      </c>
      <c r="F49" s="21">
        <f>COUNTIF(CProf[[Pref_1]:[Pref_6]],CCourse[[#This Row],[Course]])</f>
        <v>5</v>
      </c>
      <c r="G49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5</v>
      </c>
      <c r="H49" s="21">
        <f>COUNTIF(CCourse[Course],CCourse[[#This Row],[Course]])-COUNTIF(CProf[[Session_1]:[Session_4]],CCourse[[#This Row],[Course]]&amp;"*")</f>
        <v>0</v>
      </c>
      <c r="I49" s="21">
        <v>10</v>
      </c>
      <c r="J49" s="21" t="str">
        <f>IFERROR(INDEX(CProf[Full/Part-time],MATCH(CCourse[[#This Row],[Professor]],CProf[Name],0)),"")</f>
        <v>F</v>
      </c>
      <c r="K49" t="s">
        <v>323</v>
      </c>
      <c r="L49" s="21">
        <v>0.55645806010907595</v>
      </c>
      <c r="N49">
        <f>COUNTIF(CProf[[Session_1]:[Session_4]],CCourse[[#This Row],[SessionPK]])</f>
        <v>1</v>
      </c>
      <c r="O49">
        <v>48</v>
      </c>
    </row>
    <row r="50" spans="1:15" x14ac:dyDescent="0.25">
      <c r="A50" s="5" t="s">
        <v>77</v>
      </c>
      <c r="B50" t="s">
        <v>51</v>
      </c>
      <c r="C50">
        <v>100</v>
      </c>
      <c r="D50" t="s">
        <v>3</v>
      </c>
      <c r="E50" s="21" t="s">
        <v>222</v>
      </c>
      <c r="F50" s="21">
        <f>COUNTIF(CProf[[Pref_1]:[Pref_6]],CCourse[[#This Row],[Course]])</f>
        <v>3</v>
      </c>
      <c r="G50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50" s="21">
        <f>COUNTIF(CCourse[Course],CCourse[[#This Row],[Course]])-COUNTIF(CProf[[Session_1]:[Session_4]],CCourse[[#This Row],[Course]]&amp;"*")</f>
        <v>0</v>
      </c>
      <c r="I50" s="21">
        <v>10</v>
      </c>
      <c r="J50" s="21" t="str">
        <f>IFERROR(INDEX(CProf[Full/Part-time],MATCH(CCourse[[#This Row],[Professor]],CProf[Name],0)),"")</f>
        <v>F</v>
      </c>
      <c r="K50" t="s">
        <v>323</v>
      </c>
      <c r="L50" s="21">
        <v>7.6375904889948165E-2</v>
      </c>
      <c r="N50">
        <f>COUNTIF(CProf[[Session_1]:[Session_4]],CCourse[[#This Row],[SessionPK]])</f>
        <v>1</v>
      </c>
      <c r="O50">
        <v>49</v>
      </c>
    </row>
    <row r="51" spans="1:15" x14ac:dyDescent="0.25">
      <c r="A51" s="5" t="s">
        <v>78</v>
      </c>
      <c r="B51" t="s">
        <v>52</v>
      </c>
      <c r="C51">
        <v>100</v>
      </c>
      <c r="D51" t="s">
        <v>3</v>
      </c>
      <c r="E51" s="21" t="s">
        <v>223</v>
      </c>
      <c r="F51" s="21">
        <f>COUNTIF(CProf[[Pref_1]:[Pref_6]],CCourse[[#This Row],[Course]])</f>
        <v>1</v>
      </c>
      <c r="G51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51" s="21">
        <f>COUNTIF(CCourse[Course],CCourse[[#This Row],[Course]])-COUNTIF(CProf[[Session_1]:[Session_4]],CCourse[[#This Row],[Course]]&amp;"*")</f>
        <v>0</v>
      </c>
      <c r="I51" s="21">
        <v>10</v>
      </c>
      <c r="J51" s="21" t="str">
        <f>IFERROR(INDEX(CProf[Full/Part-time],MATCH(CCourse[[#This Row],[Professor]],CProf[Name],0)),"")</f>
        <v>F</v>
      </c>
      <c r="K51" t="s">
        <v>297</v>
      </c>
      <c r="L51" s="21">
        <v>0.82731757879692147</v>
      </c>
      <c r="N51">
        <f>COUNTIF(CProf[[Session_1]:[Session_4]],CCourse[[#This Row],[SessionPK]])</f>
        <v>1</v>
      </c>
      <c r="O51">
        <v>50</v>
      </c>
    </row>
    <row r="52" spans="1:15" x14ac:dyDescent="0.25">
      <c r="A52" s="5" t="s">
        <v>79</v>
      </c>
      <c r="B52" t="s">
        <v>53</v>
      </c>
      <c r="C52">
        <v>100</v>
      </c>
      <c r="D52" t="s">
        <v>3</v>
      </c>
      <c r="E52" s="21" t="s">
        <v>224</v>
      </c>
      <c r="F52" s="21">
        <f>COUNTIF(CProf[[Pref_1]:[Pref_6]],CCourse[[#This Row],[Course]])</f>
        <v>4</v>
      </c>
      <c r="G52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5</v>
      </c>
      <c r="H52" s="21">
        <f>COUNTIF(CCourse[Course],CCourse[[#This Row],[Course]])-COUNTIF(CProf[[Session_1]:[Session_4]],CCourse[[#This Row],[Course]]&amp;"*")</f>
        <v>0</v>
      </c>
      <c r="I52" s="21">
        <v>10</v>
      </c>
      <c r="J52" s="21" t="str">
        <f>IFERROR(INDEX(CProf[Full/Part-time],MATCH(CCourse[[#This Row],[Professor]],CProf[Name],0)),"")</f>
        <v>F</v>
      </c>
      <c r="K52" t="s">
        <v>328</v>
      </c>
      <c r="L52" s="21">
        <v>0.10713419084517883</v>
      </c>
      <c r="N52">
        <f>COUNTIF(CProf[[Session_1]:[Session_4]],CCourse[[#This Row],[SessionPK]])</f>
        <v>1</v>
      </c>
      <c r="O52">
        <v>51</v>
      </c>
    </row>
    <row r="53" spans="1:15" x14ac:dyDescent="0.25">
      <c r="A53" s="5" t="s">
        <v>80</v>
      </c>
      <c r="B53" t="s">
        <v>54</v>
      </c>
      <c r="C53">
        <v>100</v>
      </c>
      <c r="D53" t="s">
        <v>3</v>
      </c>
      <c r="E53" s="21" t="s">
        <v>225</v>
      </c>
      <c r="F53" s="21">
        <f>COUNTIF(CProf[[Pref_1]:[Pref_6]],CCourse[[#This Row],[Course]])</f>
        <v>2</v>
      </c>
      <c r="G53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5</v>
      </c>
      <c r="H53" s="21">
        <f>COUNTIF(CCourse[Course],CCourse[[#This Row],[Course]])-COUNTIF(CProf[[Session_1]:[Session_4]],CCourse[[#This Row],[Course]]&amp;"*")</f>
        <v>0</v>
      </c>
      <c r="I53" s="21">
        <v>10</v>
      </c>
      <c r="J53" s="21" t="str">
        <f>IFERROR(INDEX(CProf[Full/Part-time],MATCH(CCourse[[#This Row],[Professor]],CProf[Name],0)),"")</f>
        <v>F</v>
      </c>
      <c r="K53" t="s">
        <v>337</v>
      </c>
      <c r="L53" s="21">
        <v>0.19061670343784209</v>
      </c>
      <c r="N53">
        <f>COUNTIF(CProf[[Session_1]:[Session_4]],CCourse[[#This Row],[SessionPK]])</f>
        <v>1</v>
      </c>
      <c r="O53">
        <v>52</v>
      </c>
    </row>
    <row r="54" spans="1:15" x14ac:dyDescent="0.25">
      <c r="A54" s="5" t="s">
        <v>81</v>
      </c>
      <c r="B54" t="s">
        <v>55</v>
      </c>
      <c r="C54">
        <v>100</v>
      </c>
      <c r="D54" t="s">
        <v>3</v>
      </c>
      <c r="E54" s="21" t="s">
        <v>226</v>
      </c>
      <c r="F54" s="21">
        <f>COUNTIF(CProf[[Pref_1]:[Pref_6]],CCourse[[#This Row],[Course]])</f>
        <v>3</v>
      </c>
      <c r="G54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54" s="21">
        <f>COUNTIF(CCourse[Course],CCourse[[#This Row],[Course]])-COUNTIF(CProf[[Session_1]:[Session_4]],CCourse[[#This Row],[Course]]&amp;"*")</f>
        <v>0</v>
      </c>
      <c r="I54" s="21">
        <v>10</v>
      </c>
      <c r="J54" s="21" t="str">
        <f>IFERROR(INDEX(CProf[Full/Part-time],MATCH(CCourse[[#This Row],[Professor]],CProf[Name],0)),"")</f>
        <v>F</v>
      </c>
      <c r="K54" t="s">
        <v>322</v>
      </c>
      <c r="L54" s="21">
        <v>0.75855881838223316</v>
      </c>
      <c r="N54">
        <f>COUNTIF(CProf[[Session_1]:[Session_4]],CCourse[[#This Row],[SessionPK]])</f>
        <v>1</v>
      </c>
      <c r="O54">
        <v>53</v>
      </c>
    </row>
    <row r="55" spans="1:15" x14ac:dyDescent="0.25">
      <c r="A55" s="5" t="s">
        <v>82</v>
      </c>
      <c r="B55" t="s">
        <v>56</v>
      </c>
      <c r="C55">
        <v>100</v>
      </c>
      <c r="D55" t="s">
        <v>3</v>
      </c>
      <c r="E55" s="21" t="s">
        <v>227</v>
      </c>
      <c r="F55" s="21">
        <f>COUNTIF(CProf[[Pref_1]:[Pref_6]],CCourse[[#This Row],[Course]])</f>
        <v>4</v>
      </c>
      <c r="G55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55" s="21">
        <f>COUNTIF(CCourse[Course],CCourse[[#This Row],[Course]])-COUNTIF(CProf[[Session_1]:[Session_4]],CCourse[[#This Row],[Course]]&amp;"*")</f>
        <v>0</v>
      </c>
      <c r="I55" s="21">
        <v>10</v>
      </c>
      <c r="J55" s="21" t="str">
        <f>IFERROR(INDEX(CProf[Full/Part-time],MATCH(CCourse[[#This Row],[Professor]],CProf[Name],0)),"")</f>
        <v>F</v>
      </c>
      <c r="K55" t="s">
        <v>294</v>
      </c>
      <c r="L55" s="21">
        <v>0.17280011051262101</v>
      </c>
      <c r="N55">
        <f>COUNTIF(CProf[[Session_1]:[Session_4]],CCourse[[#This Row],[SessionPK]])</f>
        <v>1</v>
      </c>
      <c r="O55">
        <v>54</v>
      </c>
    </row>
    <row r="56" spans="1:15" x14ac:dyDescent="0.25">
      <c r="A56" s="5" t="s">
        <v>83</v>
      </c>
      <c r="B56" t="s">
        <v>57</v>
      </c>
      <c r="C56">
        <v>100</v>
      </c>
      <c r="D56" t="s">
        <v>3</v>
      </c>
      <c r="E56" s="21" t="s">
        <v>228</v>
      </c>
      <c r="F56" s="21">
        <f>COUNTIF(CProf[[Pref_1]:[Pref_6]],CCourse[[#This Row],[Course]])</f>
        <v>3</v>
      </c>
      <c r="G56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56" s="21">
        <f>COUNTIF(CCourse[Course],CCourse[[#This Row],[Course]])-COUNTIF(CProf[[Session_1]:[Session_4]],CCourse[[#This Row],[Course]]&amp;"*")</f>
        <v>0</v>
      </c>
      <c r="I56" s="21">
        <v>10</v>
      </c>
      <c r="J56" s="21" t="str">
        <f>IFERROR(INDEX(CProf[Full/Part-time],MATCH(CCourse[[#This Row],[Professor]],CProf[Name],0)),"")</f>
        <v>P</v>
      </c>
      <c r="K56" t="s">
        <v>312</v>
      </c>
      <c r="L56" s="21">
        <v>0.10171277115047572</v>
      </c>
      <c r="N56">
        <f>COUNTIF(CProf[[Session_1]:[Session_4]],CCourse[[#This Row],[SessionPK]])</f>
        <v>1</v>
      </c>
      <c r="O56">
        <v>55</v>
      </c>
    </row>
    <row r="57" spans="1:15" x14ac:dyDescent="0.25">
      <c r="A57" s="5" t="s">
        <v>84</v>
      </c>
      <c r="B57" t="s">
        <v>58</v>
      </c>
      <c r="C57">
        <v>100</v>
      </c>
      <c r="D57" t="s">
        <v>3</v>
      </c>
      <c r="E57" s="21" t="s">
        <v>229</v>
      </c>
      <c r="F57" s="21">
        <f>COUNTIF(CProf[[Pref_1]:[Pref_6]],CCourse[[#This Row],[Course]])</f>
        <v>3</v>
      </c>
      <c r="G57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57" s="21">
        <f>COUNTIF(CCourse[Course],CCourse[[#This Row],[Course]])-COUNTIF(CProf[[Session_1]:[Session_4]],CCourse[[#This Row],[Course]]&amp;"*")</f>
        <v>0</v>
      </c>
      <c r="I57" s="21">
        <v>10</v>
      </c>
      <c r="J57" s="21" t="str">
        <f>IFERROR(INDEX(CProf[Full/Part-time],MATCH(CCourse[[#This Row],[Professor]],CProf[Name],0)),"")</f>
        <v>P</v>
      </c>
      <c r="K57" t="s">
        <v>313</v>
      </c>
      <c r="L57" s="21">
        <v>0.75269751657962292</v>
      </c>
      <c r="N57">
        <f>COUNTIF(CProf[[Session_1]:[Session_4]],CCourse[[#This Row],[SessionPK]])</f>
        <v>1</v>
      </c>
      <c r="O57">
        <v>56</v>
      </c>
    </row>
    <row r="58" spans="1:15" x14ac:dyDescent="0.25">
      <c r="A58" s="5" t="s">
        <v>85</v>
      </c>
      <c r="B58" t="s">
        <v>59</v>
      </c>
      <c r="C58">
        <v>100</v>
      </c>
      <c r="D58" t="s">
        <v>3</v>
      </c>
      <c r="E58" s="21" t="s">
        <v>230</v>
      </c>
      <c r="F58" s="21">
        <f>COUNTIF(CProf[[Pref_1]:[Pref_6]],CCourse[[#This Row],[Course]])</f>
        <v>3</v>
      </c>
      <c r="G58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58" s="21">
        <f>COUNTIF(CCourse[Course],CCourse[[#This Row],[Course]])-COUNTIF(CProf[[Session_1]:[Session_4]],CCourse[[#This Row],[Course]]&amp;"*")</f>
        <v>0</v>
      </c>
      <c r="I58" s="21">
        <v>10</v>
      </c>
      <c r="J58" s="21" t="str">
        <f>IFERROR(INDEX(CProf[Full/Part-time],MATCH(CCourse[[#This Row],[Professor]],CProf[Name],0)),"")</f>
        <v>F</v>
      </c>
      <c r="K58" t="s">
        <v>327</v>
      </c>
      <c r="L58" s="21">
        <v>0.45967935663795212</v>
      </c>
      <c r="N58">
        <f>COUNTIF(CProf[[Session_1]:[Session_4]],CCourse[[#This Row],[SessionPK]])</f>
        <v>1</v>
      </c>
      <c r="O58">
        <v>57</v>
      </c>
    </row>
    <row r="59" spans="1:15" x14ac:dyDescent="0.25">
      <c r="A59" s="5" t="s">
        <v>86</v>
      </c>
      <c r="B59" t="s">
        <v>60</v>
      </c>
      <c r="C59">
        <v>100</v>
      </c>
      <c r="D59" t="s">
        <v>3</v>
      </c>
      <c r="E59" s="21" t="s">
        <v>231</v>
      </c>
      <c r="F59" s="21">
        <f>COUNTIF(CProf[[Pref_1]:[Pref_6]],CCourse[[#This Row],[Course]])</f>
        <v>2</v>
      </c>
      <c r="G59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59" s="21">
        <f>COUNTIF(CCourse[Course],CCourse[[#This Row],[Course]])-COUNTIF(CProf[[Session_1]:[Session_4]],CCourse[[#This Row],[Course]]&amp;"*")</f>
        <v>0</v>
      </c>
      <c r="I59" s="21">
        <v>10</v>
      </c>
      <c r="J59" s="21" t="str">
        <f>IFERROR(INDEX(CProf[Full/Part-time],MATCH(CCourse[[#This Row],[Professor]],CProf[Name],0)),"")</f>
        <v>F</v>
      </c>
      <c r="K59" t="s">
        <v>304</v>
      </c>
      <c r="L59" s="21">
        <v>0.9471210053576169</v>
      </c>
      <c r="N59">
        <f>COUNTIF(CProf[[Session_1]:[Session_4]],CCourse[[#This Row],[SessionPK]])</f>
        <v>1</v>
      </c>
      <c r="O59">
        <v>58</v>
      </c>
    </row>
    <row r="60" spans="1:15" x14ac:dyDescent="0.25">
      <c r="A60" s="5" t="s">
        <v>87</v>
      </c>
      <c r="B60" t="s">
        <v>61</v>
      </c>
      <c r="C60">
        <v>100</v>
      </c>
      <c r="D60" t="s">
        <v>3</v>
      </c>
      <c r="E60" s="21" t="s">
        <v>232</v>
      </c>
      <c r="F60" s="21">
        <f>COUNTIF(CProf[[Pref_1]:[Pref_6]],CCourse[[#This Row],[Course]])</f>
        <v>2</v>
      </c>
      <c r="G60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60" s="21">
        <f>COUNTIF(CCourse[Course],CCourse[[#This Row],[Course]])-COUNTIF(CProf[[Session_1]:[Session_4]],CCourse[[#This Row],[Course]]&amp;"*")</f>
        <v>0</v>
      </c>
      <c r="I60" s="21">
        <v>10</v>
      </c>
      <c r="J60" s="21" t="str">
        <f>IFERROR(INDEX(CProf[Full/Part-time],MATCH(CCourse[[#This Row],[Professor]],CProf[Name],0)),"")</f>
        <v>F</v>
      </c>
      <c r="K60" t="s">
        <v>296</v>
      </c>
      <c r="L60" s="21">
        <v>0.67190677388692588</v>
      </c>
      <c r="N60">
        <f>COUNTIF(CProf[[Session_1]:[Session_4]],CCourse[[#This Row],[SessionPK]])</f>
        <v>1</v>
      </c>
      <c r="O60">
        <v>59</v>
      </c>
    </row>
    <row r="61" spans="1:15" x14ac:dyDescent="0.25">
      <c r="A61" s="5" t="s">
        <v>88</v>
      </c>
      <c r="B61" t="s">
        <v>62</v>
      </c>
      <c r="C61">
        <v>100</v>
      </c>
      <c r="D61" t="s">
        <v>3</v>
      </c>
      <c r="E61" s="21" t="s">
        <v>233</v>
      </c>
      <c r="F61" s="21">
        <f>COUNTIF(CProf[[Pref_1]:[Pref_6]],CCourse[[#This Row],[Course]])</f>
        <v>2</v>
      </c>
      <c r="G61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61" s="21">
        <f>COUNTIF(CCourse[Course],CCourse[[#This Row],[Course]])-COUNTIF(CProf[[Session_1]:[Session_4]],CCourse[[#This Row],[Course]]&amp;"*")</f>
        <v>0</v>
      </c>
      <c r="I61" s="21">
        <v>10</v>
      </c>
      <c r="J61" s="21" t="str">
        <f>IFERROR(INDEX(CProf[Full/Part-time],MATCH(CCourse[[#This Row],[Professor]],CProf[Name],0)),"")</f>
        <v>F</v>
      </c>
      <c r="K61" t="s">
        <v>304</v>
      </c>
      <c r="L61" s="21">
        <v>0.4094355155970355</v>
      </c>
      <c r="N61">
        <f>COUNTIF(CProf[[Session_1]:[Session_4]],CCourse[[#This Row],[SessionPK]])</f>
        <v>1</v>
      </c>
      <c r="O61">
        <v>60</v>
      </c>
    </row>
    <row r="62" spans="1:15" x14ac:dyDescent="0.25">
      <c r="A62" s="5" t="s">
        <v>89</v>
      </c>
      <c r="B62" t="s">
        <v>63</v>
      </c>
      <c r="C62">
        <v>100</v>
      </c>
      <c r="D62" t="s">
        <v>3</v>
      </c>
      <c r="E62" s="21" t="s">
        <v>234</v>
      </c>
      <c r="F62" s="21">
        <f>COUNTIF(CProf[[Pref_1]:[Pref_6]],CCourse[[#This Row],[Course]])</f>
        <v>3</v>
      </c>
      <c r="G62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62" s="21">
        <f>COUNTIF(CCourse[Course],CCourse[[#This Row],[Course]])-COUNTIF(CProf[[Session_1]:[Session_4]],CCourse[[#This Row],[Course]]&amp;"*")</f>
        <v>0</v>
      </c>
      <c r="I62" s="21">
        <v>10</v>
      </c>
      <c r="J62" s="21" t="str">
        <f>IFERROR(INDEX(CProf[Full/Part-time],MATCH(CCourse[[#This Row],[Professor]],CProf[Name],0)),"")</f>
        <v>P</v>
      </c>
      <c r="K62" t="s">
        <v>311</v>
      </c>
      <c r="L62" s="21">
        <v>2.4779089979112712E-2</v>
      </c>
      <c r="N62">
        <f>COUNTIF(CProf[[Session_1]:[Session_4]],CCourse[[#This Row],[SessionPK]])</f>
        <v>1</v>
      </c>
      <c r="O62">
        <v>61</v>
      </c>
    </row>
    <row r="63" spans="1:15" x14ac:dyDescent="0.25">
      <c r="A63" s="5" t="s">
        <v>90</v>
      </c>
      <c r="B63" t="s">
        <v>64</v>
      </c>
      <c r="C63">
        <v>100</v>
      </c>
      <c r="D63" t="s">
        <v>3</v>
      </c>
      <c r="E63" s="21" t="s">
        <v>235</v>
      </c>
      <c r="F63" s="21">
        <f>COUNTIF(CProf[[Pref_1]:[Pref_6]],CCourse[[#This Row],[Course]])</f>
        <v>3</v>
      </c>
      <c r="G63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63" s="21">
        <f>COUNTIF(CCourse[Course],CCourse[[#This Row],[Course]])-COUNTIF(CProf[[Session_1]:[Session_4]],CCourse[[#This Row],[Course]]&amp;"*")</f>
        <v>0</v>
      </c>
      <c r="I63" s="21">
        <v>10</v>
      </c>
      <c r="J63" s="21" t="str">
        <f>IFERROR(INDEX(CProf[Full/Part-time],MATCH(CCourse[[#This Row],[Professor]],CProf[Name],0)),"")</f>
        <v>F</v>
      </c>
      <c r="K63" t="s">
        <v>326</v>
      </c>
      <c r="L63" s="21">
        <v>0.8550928122004986</v>
      </c>
      <c r="N63">
        <f>COUNTIF(CProf[[Session_1]:[Session_4]],CCourse[[#This Row],[SessionPK]])</f>
        <v>1</v>
      </c>
      <c r="O63">
        <v>62</v>
      </c>
    </row>
    <row r="64" spans="1:15" x14ac:dyDescent="0.25">
      <c r="A64" s="5" t="s">
        <v>91</v>
      </c>
      <c r="B64" t="s">
        <v>65</v>
      </c>
      <c r="C64">
        <v>100</v>
      </c>
      <c r="D64" t="s">
        <v>3</v>
      </c>
      <c r="E64" s="21" t="s">
        <v>236</v>
      </c>
      <c r="F64" s="21">
        <f>COUNTIF(CProf[[Pref_1]:[Pref_6]],CCourse[[#This Row],[Course]])</f>
        <v>1</v>
      </c>
      <c r="G64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64" s="21">
        <f>COUNTIF(CCourse[Course],CCourse[[#This Row],[Course]])-COUNTIF(CProf[[Session_1]:[Session_4]],CCourse[[#This Row],[Course]]&amp;"*")</f>
        <v>0</v>
      </c>
      <c r="I64" s="21">
        <v>10</v>
      </c>
      <c r="J64" s="21" t="str">
        <f>IFERROR(INDEX(CProf[Full/Part-time],MATCH(CCourse[[#This Row],[Professor]],CProf[Name],0)),"")</f>
        <v>F</v>
      </c>
      <c r="K64" t="s">
        <v>332</v>
      </c>
      <c r="L64" s="21">
        <v>0.60186431703116949</v>
      </c>
      <c r="N64">
        <f>COUNTIF(CProf[[Session_1]:[Session_4]],CCourse[[#This Row],[SessionPK]])</f>
        <v>1</v>
      </c>
      <c r="O64">
        <v>63</v>
      </c>
    </row>
    <row r="65" spans="1:15" x14ac:dyDescent="0.25">
      <c r="A65" s="5" t="s">
        <v>92</v>
      </c>
      <c r="B65" t="s">
        <v>66</v>
      </c>
      <c r="C65">
        <v>100</v>
      </c>
      <c r="D65" t="s">
        <v>3</v>
      </c>
      <c r="E65" s="21" t="s">
        <v>237</v>
      </c>
      <c r="F65" s="21">
        <f>COUNTIF(CProf[[Pref_1]:[Pref_6]],CCourse[[#This Row],[Course]])</f>
        <v>3</v>
      </c>
      <c r="G65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4</v>
      </c>
      <c r="H65" s="21">
        <f>COUNTIF(CCourse[Course],CCourse[[#This Row],[Course]])-COUNTIF(CProf[[Session_1]:[Session_4]],CCourse[[#This Row],[Course]]&amp;"*")</f>
        <v>0</v>
      </c>
      <c r="I65" s="21">
        <v>10</v>
      </c>
      <c r="J65" s="21" t="str">
        <f>IFERROR(INDEX(CProf[Full/Part-time],MATCH(CCourse[[#This Row],[Professor]],CProf[Name],0)),"")</f>
        <v>P</v>
      </c>
      <c r="K65" t="s">
        <v>311</v>
      </c>
      <c r="L65" s="21">
        <v>0.29085250235269711</v>
      </c>
      <c r="N65">
        <f>COUNTIF(CProf[[Session_1]:[Session_4]],CCourse[[#This Row],[SessionPK]])</f>
        <v>1</v>
      </c>
      <c r="O65">
        <v>64</v>
      </c>
    </row>
    <row r="66" spans="1:15" x14ac:dyDescent="0.25">
      <c r="A66" s="5" t="s">
        <v>93</v>
      </c>
      <c r="B66" t="s">
        <v>67</v>
      </c>
      <c r="C66">
        <v>100</v>
      </c>
      <c r="D66" t="s">
        <v>3</v>
      </c>
      <c r="E66" s="21" t="s">
        <v>238</v>
      </c>
      <c r="F66" s="21">
        <f>COUNTIF(CProf[[Pref_1]:[Pref_6]],CCourse[[#This Row],[Course]])</f>
        <v>4</v>
      </c>
      <c r="G66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66" s="21">
        <f>COUNTIF(CCourse[Course],CCourse[[#This Row],[Course]])-COUNTIF(CProf[[Session_1]:[Session_4]],CCourse[[#This Row],[Course]]&amp;"*")</f>
        <v>0</v>
      </c>
      <c r="I66" s="21">
        <v>10</v>
      </c>
      <c r="J66" s="21" t="str">
        <f>IFERROR(INDEX(CProf[Full/Part-time],MATCH(CCourse[[#This Row],[Professor]],CProf[Name],0)),"")</f>
        <v>F</v>
      </c>
      <c r="K66" t="s">
        <v>303</v>
      </c>
      <c r="L66" s="21">
        <v>7.9207148252963266E-2</v>
      </c>
      <c r="N66">
        <f>COUNTIF(CProf[[Session_1]:[Session_4]],CCourse[[#This Row],[SessionPK]])</f>
        <v>1</v>
      </c>
      <c r="O66">
        <v>65</v>
      </c>
    </row>
    <row r="67" spans="1:15" x14ac:dyDescent="0.25">
      <c r="A67" s="5" t="s">
        <v>94</v>
      </c>
      <c r="B67" t="s">
        <v>68</v>
      </c>
      <c r="C67">
        <v>100</v>
      </c>
      <c r="D67" t="s">
        <v>3</v>
      </c>
      <c r="E67" s="21" t="s">
        <v>239</v>
      </c>
      <c r="F67" s="21">
        <f>COUNTIF(CProf[[Pref_1]:[Pref_6]],CCourse[[#This Row],[Course]])</f>
        <v>3</v>
      </c>
      <c r="G67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67" s="21">
        <f>COUNTIF(CCourse[Course],CCourse[[#This Row],[Course]])-COUNTIF(CProf[[Session_1]:[Session_4]],CCourse[[#This Row],[Course]]&amp;"*")</f>
        <v>0</v>
      </c>
      <c r="I67" s="21">
        <v>10</v>
      </c>
      <c r="J67" s="21" t="str">
        <f>IFERROR(INDEX(CProf[Full/Part-time],MATCH(CCourse[[#This Row],[Professor]],CProf[Name],0)),"")</f>
        <v>F</v>
      </c>
      <c r="K67" t="s">
        <v>333</v>
      </c>
      <c r="L67" s="21">
        <v>0.95720507233870566</v>
      </c>
      <c r="N67">
        <f>COUNTIF(CProf[[Session_1]:[Session_4]],CCourse[[#This Row],[SessionPK]])</f>
        <v>1</v>
      </c>
      <c r="O67">
        <v>66</v>
      </c>
    </row>
    <row r="68" spans="1:15" x14ac:dyDescent="0.25">
      <c r="A68" s="5" t="s">
        <v>95</v>
      </c>
      <c r="B68" t="s">
        <v>69</v>
      </c>
      <c r="C68">
        <v>100</v>
      </c>
      <c r="D68" t="s">
        <v>3</v>
      </c>
      <c r="E68" s="21" t="s">
        <v>240</v>
      </c>
      <c r="F68" s="21">
        <f>COUNTIF(CProf[[Pref_1]:[Pref_6]],CCourse[[#This Row],[Course]])</f>
        <v>2</v>
      </c>
      <c r="G68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68" s="21">
        <f>COUNTIF(CCourse[Course],CCourse[[#This Row],[Course]])-COUNTIF(CProf[[Session_1]:[Session_4]],CCourse[[#This Row],[Course]]&amp;"*")</f>
        <v>0</v>
      </c>
      <c r="I68" s="21">
        <v>10</v>
      </c>
      <c r="J68" s="21" t="str">
        <f>IFERROR(INDEX(CProf[Full/Part-time],MATCH(CCourse[[#This Row],[Professor]],CProf[Name],0)),"")</f>
        <v>F</v>
      </c>
      <c r="K68" t="s">
        <v>301</v>
      </c>
      <c r="L68" s="21">
        <v>0.57709267158039668</v>
      </c>
      <c r="N68">
        <f>COUNTIF(CProf[[Session_1]:[Session_4]],CCourse[[#This Row],[SessionPK]])</f>
        <v>1</v>
      </c>
      <c r="O68">
        <v>67</v>
      </c>
    </row>
    <row r="69" spans="1:15" x14ac:dyDescent="0.25">
      <c r="A69" s="5" t="s">
        <v>96</v>
      </c>
      <c r="B69" t="s">
        <v>70</v>
      </c>
      <c r="C69">
        <v>100</v>
      </c>
      <c r="D69" t="s">
        <v>3</v>
      </c>
      <c r="E69" s="21" t="s">
        <v>241</v>
      </c>
      <c r="F69" s="21">
        <f>COUNTIF(CProf[[Pref_1]:[Pref_6]],CCourse[[#This Row],[Course]])</f>
        <v>4</v>
      </c>
      <c r="G69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7</v>
      </c>
      <c r="H69" s="21">
        <f>COUNTIF(CCourse[Course],CCourse[[#This Row],[Course]])-COUNTIF(CProf[[Session_1]:[Session_4]],CCourse[[#This Row],[Course]]&amp;"*")</f>
        <v>0</v>
      </c>
      <c r="I69" s="21">
        <v>10</v>
      </c>
      <c r="J69" s="21" t="str">
        <f>IFERROR(INDEX(CProf[Full/Part-time],MATCH(CCourse[[#This Row],[Professor]],CProf[Name],0)),"")</f>
        <v>F</v>
      </c>
      <c r="K69" t="s">
        <v>309</v>
      </c>
      <c r="L69" s="21">
        <v>0.86610549950371074</v>
      </c>
      <c r="N69">
        <f>COUNTIF(CProf[[Session_1]:[Session_4]],CCourse[[#This Row],[SessionPK]])</f>
        <v>1</v>
      </c>
      <c r="O69">
        <v>68</v>
      </c>
    </row>
    <row r="70" spans="1:15" x14ac:dyDescent="0.25">
      <c r="A70" s="5" t="s">
        <v>97</v>
      </c>
      <c r="B70" t="s">
        <v>71</v>
      </c>
      <c r="C70">
        <v>100</v>
      </c>
      <c r="D70" t="s">
        <v>3</v>
      </c>
      <c r="E70" s="21" t="s">
        <v>242</v>
      </c>
      <c r="F70" s="21">
        <f>COUNTIF(CProf[[Pref_1]:[Pref_6]],CCourse[[#This Row],[Course]])</f>
        <v>2</v>
      </c>
      <c r="G70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70" s="21">
        <f>COUNTIF(CCourse[Course],CCourse[[#This Row],[Course]])-COUNTIF(CProf[[Session_1]:[Session_4]],CCourse[[#This Row],[Course]]&amp;"*")</f>
        <v>0</v>
      </c>
      <c r="I70" s="21">
        <v>10</v>
      </c>
      <c r="J70" s="21" t="str">
        <f>IFERROR(INDEX(CProf[Full/Part-time],MATCH(CCourse[[#This Row],[Professor]],CProf[Name],0)),"")</f>
        <v>F</v>
      </c>
      <c r="K70" t="s">
        <v>297</v>
      </c>
      <c r="L70" s="21">
        <v>0.85642281746457749</v>
      </c>
      <c r="N70">
        <f>COUNTIF(CProf[[Session_1]:[Session_4]],CCourse[[#This Row],[SessionPK]])</f>
        <v>1</v>
      </c>
      <c r="O70">
        <v>69</v>
      </c>
    </row>
    <row r="71" spans="1:15" x14ac:dyDescent="0.25">
      <c r="A71" s="5" t="s">
        <v>98</v>
      </c>
      <c r="B71" t="s">
        <v>72</v>
      </c>
      <c r="C71">
        <v>100</v>
      </c>
      <c r="D71" t="s">
        <v>3</v>
      </c>
      <c r="E71" s="21" t="s">
        <v>243</v>
      </c>
      <c r="F71" s="21">
        <f>COUNTIF(CProf[[Pref_1]:[Pref_6]],CCourse[[#This Row],[Course]])</f>
        <v>4</v>
      </c>
      <c r="G71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71" s="21">
        <f>COUNTIF(CCourse[Course],CCourse[[#This Row],[Course]])-COUNTIF(CProf[[Session_1]:[Session_4]],CCourse[[#This Row],[Course]]&amp;"*")</f>
        <v>0</v>
      </c>
      <c r="I71" s="21">
        <v>10</v>
      </c>
      <c r="J71" s="21" t="str">
        <f>IFERROR(INDEX(CProf[Full/Part-time],MATCH(CCourse[[#This Row],[Professor]],CProf[Name],0)),"")</f>
        <v>F</v>
      </c>
      <c r="K71" t="s">
        <v>336</v>
      </c>
      <c r="L71" s="21">
        <v>0.1565733291050424</v>
      </c>
      <c r="N71">
        <f>COUNTIF(CProf[[Session_1]:[Session_4]],CCourse[[#This Row],[SessionPK]])</f>
        <v>1</v>
      </c>
      <c r="O71">
        <v>70</v>
      </c>
    </row>
    <row r="72" spans="1:15" x14ac:dyDescent="0.25">
      <c r="A72" s="5" t="s">
        <v>99</v>
      </c>
      <c r="B72" t="s">
        <v>73</v>
      </c>
      <c r="C72">
        <v>100</v>
      </c>
      <c r="D72" t="s">
        <v>3</v>
      </c>
      <c r="E72" s="21" t="s">
        <v>244</v>
      </c>
      <c r="F72" s="21">
        <f>COUNTIF(CProf[[Pref_1]:[Pref_6]],CCourse[[#This Row],[Course]])</f>
        <v>3</v>
      </c>
      <c r="G72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72" s="21">
        <f>COUNTIF(CCourse[Course],CCourse[[#This Row],[Course]])-COUNTIF(CProf[[Session_1]:[Session_4]],CCourse[[#This Row],[Course]]&amp;"*")</f>
        <v>0</v>
      </c>
      <c r="I72" s="21">
        <v>10</v>
      </c>
      <c r="J72" s="21" t="str">
        <f>IFERROR(INDEX(CProf[Full/Part-time],MATCH(CCourse[[#This Row],[Professor]],CProf[Name],0)),"")</f>
        <v>F</v>
      </c>
      <c r="K72" t="s">
        <v>334</v>
      </c>
      <c r="L72" s="21">
        <v>0.3941013141382802</v>
      </c>
      <c r="N72">
        <f>COUNTIF(CProf[[Session_1]:[Session_4]],CCourse[[#This Row],[SessionPK]])</f>
        <v>1</v>
      </c>
      <c r="O72">
        <v>71</v>
      </c>
    </row>
    <row r="73" spans="1:15" x14ac:dyDescent="0.25">
      <c r="A73" s="5" t="s">
        <v>100</v>
      </c>
      <c r="B73" t="s">
        <v>74</v>
      </c>
      <c r="C73">
        <v>100</v>
      </c>
      <c r="D73" t="s">
        <v>3</v>
      </c>
      <c r="E73" s="21" t="s">
        <v>245</v>
      </c>
      <c r="F73" s="21">
        <f>COUNTIF(CProf[[Pref_1]:[Pref_6]],CCourse[[#This Row],[Course]])</f>
        <v>2</v>
      </c>
      <c r="G73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73" s="21">
        <f>COUNTIF(CCourse[Course],CCourse[[#This Row],[Course]])-COUNTIF(CProf[[Session_1]:[Session_4]],CCourse[[#This Row],[Course]]&amp;"*")</f>
        <v>0</v>
      </c>
      <c r="I73" s="21">
        <v>10</v>
      </c>
      <c r="J73" s="21" t="str">
        <f>IFERROR(INDEX(CProf[Full/Part-time],MATCH(CCourse[[#This Row],[Professor]],CProf[Name],0)),"")</f>
        <v>F</v>
      </c>
      <c r="K73" t="s">
        <v>294</v>
      </c>
      <c r="L73" s="21">
        <v>0.55109955685379364</v>
      </c>
      <c r="N73">
        <f>COUNTIF(CProf[[Session_1]:[Session_4]],CCourse[[#This Row],[SessionPK]])</f>
        <v>1</v>
      </c>
      <c r="O73">
        <v>72</v>
      </c>
    </row>
    <row r="74" spans="1:15" x14ac:dyDescent="0.25">
      <c r="A74" s="5" t="s">
        <v>101</v>
      </c>
      <c r="B74" t="s">
        <v>75</v>
      </c>
      <c r="C74">
        <v>100</v>
      </c>
      <c r="D74" t="s">
        <v>3</v>
      </c>
      <c r="E74" s="21" t="s">
        <v>246</v>
      </c>
      <c r="F74" s="21">
        <f>COUNTIF(CProf[[Pref_1]:[Pref_6]],CCourse[[#This Row],[Course]])</f>
        <v>2</v>
      </c>
      <c r="G74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74" s="21">
        <f>COUNTIF(CCourse[Course],CCourse[[#This Row],[Course]])-COUNTIF(CProf[[Session_1]:[Session_4]],CCourse[[#This Row],[Course]]&amp;"*")</f>
        <v>0</v>
      </c>
      <c r="I74" s="21">
        <v>10</v>
      </c>
      <c r="J74" s="21" t="str">
        <f>IFERROR(INDEX(CProf[Full/Part-time],MATCH(CCourse[[#This Row],[Professor]],CProf[Name],0)),"")</f>
        <v>P</v>
      </c>
      <c r="K74" t="s">
        <v>316</v>
      </c>
      <c r="L74" s="21">
        <v>0.61122316910809193</v>
      </c>
      <c r="N74">
        <f>COUNTIF(CProf[[Session_1]:[Session_4]],CCourse[[#This Row],[SessionPK]])</f>
        <v>1</v>
      </c>
      <c r="O74">
        <v>73</v>
      </c>
    </row>
    <row r="75" spans="1:15" x14ac:dyDescent="0.25">
      <c r="A75" s="5" t="s">
        <v>102</v>
      </c>
      <c r="B75" t="s">
        <v>76</v>
      </c>
      <c r="C75">
        <v>100</v>
      </c>
      <c r="D75" t="s">
        <v>3</v>
      </c>
      <c r="E75" s="21" t="s">
        <v>247</v>
      </c>
      <c r="F75" s="21">
        <f>COUNTIF(CProf[[Pref_1]:[Pref_6]],CCourse[[#This Row],[Course]])</f>
        <v>3</v>
      </c>
      <c r="G75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75" s="21">
        <f>COUNTIF(CCourse[Course],CCourse[[#This Row],[Course]])-COUNTIF(CProf[[Session_1]:[Session_4]],CCourse[[#This Row],[Course]]&amp;"*")</f>
        <v>0</v>
      </c>
      <c r="I75" s="21">
        <v>10</v>
      </c>
      <c r="J75" s="21" t="str">
        <f>IFERROR(INDEX(CProf[Full/Part-time],MATCH(CCourse[[#This Row],[Professor]],CProf[Name],0)),"")</f>
        <v>F</v>
      </c>
      <c r="K75" t="s">
        <v>329</v>
      </c>
      <c r="L75" s="21">
        <v>0.51842989464304123</v>
      </c>
      <c r="N75">
        <f>COUNTIF(CProf[[Session_1]:[Session_4]],CCourse[[#This Row],[SessionPK]])</f>
        <v>1</v>
      </c>
      <c r="O75">
        <v>74</v>
      </c>
    </row>
    <row r="76" spans="1:15" x14ac:dyDescent="0.25">
      <c r="A76" s="5" t="s">
        <v>103</v>
      </c>
      <c r="B76" t="s">
        <v>77</v>
      </c>
      <c r="C76">
        <v>100</v>
      </c>
      <c r="D76" t="s">
        <v>3</v>
      </c>
      <c r="E76" s="21" t="s">
        <v>248</v>
      </c>
      <c r="F76" s="21">
        <f>COUNTIF(CProf[[Pref_1]:[Pref_6]],CCourse[[#This Row],[Course]])</f>
        <v>5</v>
      </c>
      <c r="G76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76" s="21">
        <f>COUNTIF(CCourse[Course],CCourse[[#This Row],[Course]])-COUNTIF(CProf[[Session_1]:[Session_4]],CCourse[[#This Row],[Course]]&amp;"*")</f>
        <v>0</v>
      </c>
      <c r="I76" s="21">
        <v>10</v>
      </c>
      <c r="J76" s="21" t="str">
        <f>IFERROR(INDEX(CProf[Full/Part-time],MATCH(CCourse[[#This Row],[Professor]],CProf[Name],0)),"")</f>
        <v>P</v>
      </c>
      <c r="K76" t="s">
        <v>298</v>
      </c>
      <c r="L76" s="21">
        <v>0.84973965722654843</v>
      </c>
      <c r="N76">
        <f>COUNTIF(CProf[[Session_1]:[Session_4]],CCourse[[#This Row],[SessionPK]])</f>
        <v>1</v>
      </c>
      <c r="O76">
        <v>75</v>
      </c>
    </row>
    <row r="77" spans="1:15" x14ac:dyDescent="0.25">
      <c r="A77" s="5" t="s">
        <v>104</v>
      </c>
      <c r="B77" t="s">
        <v>78</v>
      </c>
      <c r="C77">
        <v>100</v>
      </c>
      <c r="D77" t="s">
        <v>3</v>
      </c>
      <c r="E77" s="21" t="s">
        <v>249</v>
      </c>
      <c r="F77" s="21">
        <f>COUNTIF(CProf[[Pref_1]:[Pref_6]],CCourse[[#This Row],[Course]])</f>
        <v>2</v>
      </c>
      <c r="G77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77" s="21">
        <f>COUNTIF(CCourse[Course],CCourse[[#This Row],[Course]])-COUNTIF(CProf[[Session_1]:[Session_4]],CCourse[[#This Row],[Course]]&amp;"*")</f>
        <v>0</v>
      </c>
      <c r="I77" s="21">
        <v>10</v>
      </c>
      <c r="J77" s="21" t="str">
        <f>IFERROR(INDEX(CProf[Full/Part-time],MATCH(CCourse[[#This Row],[Professor]],CProf[Name],0)),"")</f>
        <v>F</v>
      </c>
      <c r="K77" t="s">
        <v>322</v>
      </c>
      <c r="L77" s="21">
        <v>0.46963050658364636</v>
      </c>
      <c r="N77" s="6">
        <f>COUNTIF(CProf[[Session_1]:[Session_4]],CCourse[[#This Row],[SessionPK]])</f>
        <v>1</v>
      </c>
      <c r="O77" s="6">
        <v>76</v>
      </c>
    </row>
    <row r="78" spans="1:15" x14ac:dyDescent="0.25">
      <c r="A78" s="5" t="s">
        <v>105</v>
      </c>
      <c r="B78" t="s">
        <v>79</v>
      </c>
      <c r="C78">
        <v>100</v>
      </c>
      <c r="D78" t="s">
        <v>3</v>
      </c>
      <c r="E78" s="21" t="s">
        <v>250</v>
      </c>
      <c r="F78" s="21">
        <f>COUNTIF(CProf[[Pref_1]:[Pref_6]],CCourse[[#This Row],[Course]])</f>
        <v>2</v>
      </c>
      <c r="G78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78" s="21">
        <f>COUNTIF(CCourse[Course],CCourse[[#This Row],[Course]])-COUNTIF(CProf[[Session_1]:[Session_4]],CCourse[[#This Row],[Course]]&amp;"*")</f>
        <v>0</v>
      </c>
      <c r="I78" s="21">
        <v>10</v>
      </c>
      <c r="J78" s="21" t="str">
        <f>IFERROR(INDEX(CProf[Full/Part-time],MATCH(CCourse[[#This Row],[Professor]],CProf[Name],0)),"")</f>
        <v>F</v>
      </c>
      <c r="K78" t="s">
        <v>296</v>
      </c>
      <c r="L78" s="21">
        <v>0.42959560872715363</v>
      </c>
      <c r="N78">
        <f>COUNTIF(CProf[[Session_1]:[Session_4]],CCourse[[#This Row],[SessionPK]])</f>
        <v>1</v>
      </c>
      <c r="O78">
        <v>77</v>
      </c>
    </row>
    <row r="79" spans="1:15" x14ac:dyDescent="0.25">
      <c r="A79" s="5" t="s">
        <v>106</v>
      </c>
      <c r="B79" t="s">
        <v>80</v>
      </c>
      <c r="C79">
        <v>100</v>
      </c>
      <c r="D79" t="s">
        <v>3</v>
      </c>
      <c r="E79" s="21" t="s">
        <v>251</v>
      </c>
      <c r="F79" s="21">
        <f>COUNTIF(CProf[[Pref_1]:[Pref_6]],CCourse[[#This Row],[Course]])</f>
        <v>6</v>
      </c>
      <c r="G79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8</v>
      </c>
      <c r="H79" s="21">
        <f>COUNTIF(CCourse[Course],CCourse[[#This Row],[Course]])-COUNTIF(CProf[[Session_1]:[Session_4]],CCourse[[#This Row],[Course]]&amp;"*")</f>
        <v>0</v>
      </c>
      <c r="I79" s="21">
        <v>10</v>
      </c>
      <c r="J79" s="21" t="str">
        <f>IFERROR(INDEX(CProf[Full/Part-time],MATCH(CCourse[[#This Row],[Professor]],CProf[Name],0)),"")</f>
        <v>F</v>
      </c>
      <c r="K79" t="s">
        <v>319</v>
      </c>
      <c r="L79" s="21">
        <v>7.5482479889493526E-2</v>
      </c>
      <c r="N79">
        <f>COUNTIF(CProf[[Session_1]:[Session_4]],CCourse[[#This Row],[SessionPK]])</f>
        <v>1</v>
      </c>
      <c r="O79">
        <v>78</v>
      </c>
    </row>
    <row r="80" spans="1:15" x14ac:dyDescent="0.25">
      <c r="A80" s="5" t="s">
        <v>107</v>
      </c>
      <c r="B80" t="s">
        <v>81</v>
      </c>
      <c r="C80">
        <v>100</v>
      </c>
      <c r="D80" t="s">
        <v>3</v>
      </c>
      <c r="E80" s="21" t="s">
        <v>252</v>
      </c>
      <c r="F80" s="21">
        <f>COUNTIF(CProf[[Pref_1]:[Pref_6]],CCourse[[#This Row],[Course]])</f>
        <v>3</v>
      </c>
      <c r="G80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80" s="21">
        <f>COUNTIF(CCourse[Course],CCourse[[#This Row],[Course]])-COUNTIF(CProf[[Session_1]:[Session_4]],CCourse[[#This Row],[Course]]&amp;"*")</f>
        <v>0</v>
      </c>
      <c r="I80" s="21">
        <v>10</v>
      </c>
      <c r="J80" s="21" t="str">
        <f>IFERROR(INDEX(CProf[Full/Part-time],MATCH(CCourse[[#This Row],[Professor]],CProf[Name],0)),"")</f>
        <v>F</v>
      </c>
      <c r="K80" t="s">
        <v>325</v>
      </c>
      <c r="L80" s="21">
        <v>0.52535965798624373</v>
      </c>
      <c r="N80">
        <f>COUNTIF(CProf[[Session_1]:[Session_4]],CCourse[[#This Row],[SessionPK]])</f>
        <v>1</v>
      </c>
      <c r="O80">
        <v>79</v>
      </c>
    </row>
    <row r="81" spans="1:15" x14ac:dyDescent="0.25">
      <c r="A81" s="5" t="s">
        <v>143</v>
      </c>
      <c r="B81" t="s">
        <v>82</v>
      </c>
      <c r="C81">
        <v>100</v>
      </c>
      <c r="D81" t="s">
        <v>3</v>
      </c>
      <c r="E81" s="21" t="s">
        <v>253</v>
      </c>
      <c r="F81" s="21">
        <f>COUNTIF(CProf[[Pref_1]:[Pref_6]],CCourse[[#This Row],[Course]])</f>
        <v>2</v>
      </c>
      <c r="G81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81" s="21">
        <f>COUNTIF(CCourse[Course],CCourse[[#This Row],[Course]])-COUNTIF(CProf[[Session_1]:[Session_4]],CCourse[[#This Row],[Course]]&amp;"*")</f>
        <v>0</v>
      </c>
      <c r="I81" s="21">
        <v>10</v>
      </c>
      <c r="J81" s="21" t="str">
        <f>IFERROR(INDEX(CProf[Full/Part-time],MATCH(CCourse[[#This Row],[Professor]],CProf[Name],0)),"")</f>
        <v>F</v>
      </c>
      <c r="K81" t="s">
        <v>305</v>
      </c>
      <c r="L81" s="21">
        <v>0.95803529270015475</v>
      </c>
      <c r="N81">
        <f>COUNTIF(CProf[[Session_1]:[Session_4]],CCourse[[#This Row],[SessionPK]])</f>
        <v>1</v>
      </c>
      <c r="O81">
        <v>80</v>
      </c>
    </row>
    <row r="82" spans="1:15" x14ac:dyDescent="0.25">
      <c r="A82" s="5" t="s">
        <v>144</v>
      </c>
      <c r="B82" t="s">
        <v>83</v>
      </c>
      <c r="C82">
        <v>100</v>
      </c>
      <c r="D82" t="s">
        <v>3</v>
      </c>
      <c r="E82" s="21" t="s">
        <v>254</v>
      </c>
      <c r="F82" s="21">
        <f>COUNTIF(CProf[[Pref_1]:[Pref_6]],CCourse[[#This Row],[Course]])</f>
        <v>7</v>
      </c>
      <c r="G82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4</v>
      </c>
      <c r="H82" s="21">
        <f>COUNTIF(CCourse[Course],CCourse[[#This Row],[Course]])-COUNTIF(CProf[[Session_1]:[Session_4]],CCourse[[#This Row],[Course]]&amp;"*")</f>
        <v>0</v>
      </c>
      <c r="I82" s="21">
        <v>10</v>
      </c>
      <c r="J82" s="21" t="str">
        <f>IFERROR(INDEX(CProf[Full/Part-time],MATCH(CCourse[[#This Row],[Professor]],CProf[Name],0)),"")</f>
        <v>F</v>
      </c>
      <c r="K82" t="s">
        <v>318</v>
      </c>
      <c r="L82" s="21">
        <v>0.91895718107992297</v>
      </c>
      <c r="N82">
        <f>COUNTIF(CProf[[Session_1]:[Session_4]],CCourse[[#This Row],[SessionPK]])</f>
        <v>1</v>
      </c>
      <c r="O82">
        <v>81</v>
      </c>
    </row>
    <row r="83" spans="1:15" x14ac:dyDescent="0.25">
      <c r="A83" s="5" t="s">
        <v>145</v>
      </c>
      <c r="B83" t="s">
        <v>84</v>
      </c>
      <c r="C83">
        <v>100</v>
      </c>
      <c r="D83" t="s">
        <v>3</v>
      </c>
      <c r="E83" s="21" t="s">
        <v>255</v>
      </c>
      <c r="F83" s="21">
        <f>COUNTIF(CProf[[Pref_1]:[Pref_6]],CCourse[[#This Row],[Course]])</f>
        <v>2</v>
      </c>
      <c r="G83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83" s="21">
        <f>COUNTIF(CCourse[Course],CCourse[[#This Row],[Course]])-COUNTIF(CProf[[Session_1]:[Session_4]],CCourse[[#This Row],[Course]]&amp;"*")</f>
        <v>0</v>
      </c>
      <c r="I83" s="21">
        <v>10</v>
      </c>
      <c r="J83" s="21" t="str">
        <f>IFERROR(INDEX(CProf[Full/Part-time],MATCH(CCourse[[#This Row],[Professor]],CProf[Name],0)),"")</f>
        <v>P</v>
      </c>
      <c r="K83" t="s">
        <v>313</v>
      </c>
      <c r="L83" s="21">
        <v>0.1935125282893615</v>
      </c>
      <c r="N83">
        <f>COUNTIF(CProf[[Session_1]:[Session_4]],CCourse[[#This Row],[SessionPK]])</f>
        <v>1</v>
      </c>
      <c r="O83">
        <v>82</v>
      </c>
    </row>
    <row r="84" spans="1:15" x14ac:dyDescent="0.25">
      <c r="A84" s="5" t="s">
        <v>182</v>
      </c>
      <c r="B84" t="s">
        <v>85</v>
      </c>
      <c r="C84">
        <v>100</v>
      </c>
      <c r="D84" t="s">
        <v>3</v>
      </c>
      <c r="E84" s="21" t="s">
        <v>256</v>
      </c>
      <c r="F84" s="21">
        <f>COUNTIF(CProf[[Pref_1]:[Pref_6]],CCourse[[#This Row],[Course]])</f>
        <v>2</v>
      </c>
      <c r="G84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84" s="21">
        <f>COUNTIF(CCourse[Course],CCourse[[#This Row],[Course]])-COUNTIF(CProf[[Session_1]:[Session_4]],CCourse[[#This Row],[Course]]&amp;"*")</f>
        <v>0</v>
      </c>
      <c r="I84" s="21">
        <v>10</v>
      </c>
      <c r="J84" s="21" t="str">
        <f>IFERROR(INDEX(CProf[Full/Part-time],MATCH(CCourse[[#This Row],[Professor]],CProf[Name],0)),"")</f>
        <v>F</v>
      </c>
      <c r="K84" t="s">
        <v>306</v>
      </c>
      <c r="L84" s="21">
        <v>0.16065638540875105</v>
      </c>
      <c r="N84" s="6">
        <f>COUNTIF(CProf[[Session_1]:[Session_4]],CCourse[[#This Row],[SessionPK]])</f>
        <v>1</v>
      </c>
      <c r="O84" s="6">
        <v>83</v>
      </c>
    </row>
    <row r="85" spans="1:15" x14ac:dyDescent="0.25">
      <c r="A85" s="5" t="s">
        <v>183</v>
      </c>
      <c r="B85" t="s">
        <v>86</v>
      </c>
      <c r="C85">
        <v>100</v>
      </c>
      <c r="D85" t="s">
        <v>3</v>
      </c>
      <c r="E85" s="21" t="s">
        <v>257</v>
      </c>
      <c r="F85" s="21">
        <f>COUNTIF(CProf[[Pref_1]:[Pref_6]],CCourse[[#This Row],[Course]])</f>
        <v>4</v>
      </c>
      <c r="G85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4</v>
      </c>
      <c r="H85" s="21">
        <f>COUNTIF(CCourse[Course],CCourse[[#This Row],[Course]])-COUNTIF(CProf[[Session_1]:[Session_4]],CCourse[[#This Row],[Course]]&amp;"*")</f>
        <v>0</v>
      </c>
      <c r="I85" s="21">
        <v>10</v>
      </c>
      <c r="J85" s="21" t="str">
        <f>IFERROR(INDEX(CProf[Full/Part-time],MATCH(CCourse[[#This Row],[Professor]],CProf[Name],0)),"")</f>
        <v>F</v>
      </c>
      <c r="K85" t="s">
        <v>309</v>
      </c>
      <c r="L85" s="21">
        <v>0.70034094872667552</v>
      </c>
      <c r="N85">
        <f>COUNTIF(CProf[[Session_1]:[Session_4]],CCourse[[#This Row],[SessionPK]])</f>
        <v>1</v>
      </c>
      <c r="O85">
        <v>84</v>
      </c>
    </row>
    <row r="86" spans="1:15" x14ac:dyDescent="0.25">
      <c r="B86" t="s">
        <v>87</v>
      </c>
      <c r="C86">
        <v>100</v>
      </c>
      <c r="D86" t="s">
        <v>3</v>
      </c>
      <c r="E86" s="21" t="s">
        <v>258</v>
      </c>
      <c r="F86" s="21">
        <f>COUNTIF(CProf[[Pref_1]:[Pref_6]],CCourse[[#This Row],[Course]])</f>
        <v>2</v>
      </c>
      <c r="G86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86" s="21">
        <f>COUNTIF(CCourse[Course],CCourse[[#This Row],[Course]])-COUNTIF(CProf[[Session_1]:[Session_4]],CCourse[[#This Row],[Course]]&amp;"*")</f>
        <v>0</v>
      </c>
      <c r="I86" s="21">
        <v>10</v>
      </c>
      <c r="J86" s="21" t="str">
        <f>IFERROR(INDEX(CProf[Full/Part-time],MATCH(CCourse[[#This Row],[Professor]],CProf[Name],0)),"")</f>
        <v>F</v>
      </c>
      <c r="K86" t="s">
        <v>340</v>
      </c>
      <c r="L86" s="21">
        <v>0.17859187739889992</v>
      </c>
      <c r="N86">
        <f>COUNTIF(CProf[[Session_1]:[Session_4]],CCourse[[#This Row],[SessionPK]])</f>
        <v>1</v>
      </c>
      <c r="O86">
        <v>85</v>
      </c>
    </row>
    <row r="87" spans="1:15" x14ac:dyDescent="0.25">
      <c r="B87" t="s">
        <v>88</v>
      </c>
      <c r="C87">
        <v>100</v>
      </c>
      <c r="D87" t="s">
        <v>3</v>
      </c>
      <c r="E87" s="21" t="s">
        <v>259</v>
      </c>
      <c r="F87" s="21">
        <f>COUNTIF(CProf[[Pref_1]:[Pref_6]],CCourse[[#This Row],[Course]])</f>
        <v>4</v>
      </c>
      <c r="G87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87" s="21">
        <f>COUNTIF(CCourse[Course],CCourse[[#This Row],[Course]])-COUNTIF(CProf[[Session_1]:[Session_4]],CCourse[[#This Row],[Course]]&amp;"*")</f>
        <v>0</v>
      </c>
      <c r="I87" s="21">
        <v>10</v>
      </c>
      <c r="J87" s="21" t="str">
        <f>IFERROR(INDEX(CProf[Full/Part-time],MATCH(CCourse[[#This Row],[Professor]],CProf[Name],0)),"")</f>
        <v>F</v>
      </c>
      <c r="K87" t="s">
        <v>329</v>
      </c>
      <c r="L87" s="21">
        <v>0.45661447685821321</v>
      </c>
      <c r="N87">
        <f>COUNTIF(CProf[[Session_1]:[Session_4]],CCourse[[#This Row],[SessionPK]])</f>
        <v>1</v>
      </c>
      <c r="O87">
        <v>86</v>
      </c>
    </row>
    <row r="88" spans="1:15" x14ac:dyDescent="0.25">
      <c r="B88" t="s">
        <v>89</v>
      </c>
      <c r="C88">
        <v>100</v>
      </c>
      <c r="D88" t="s">
        <v>3</v>
      </c>
      <c r="E88" s="21" t="s">
        <v>260</v>
      </c>
      <c r="F88" s="21">
        <f>COUNTIF(CProf[[Pref_1]:[Pref_6]],CCourse[[#This Row],[Course]])</f>
        <v>5</v>
      </c>
      <c r="G88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88" s="21">
        <f>COUNTIF(CCourse[Course],CCourse[[#This Row],[Course]])-COUNTIF(CProf[[Session_1]:[Session_4]],CCourse[[#This Row],[Course]]&amp;"*")</f>
        <v>0</v>
      </c>
      <c r="I88" s="21">
        <v>10</v>
      </c>
      <c r="J88" s="21" t="str">
        <f>IFERROR(INDEX(CProf[Full/Part-time],MATCH(CCourse[[#This Row],[Professor]],CProf[Name],0)),"")</f>
        <v>P</v>
      </c>
      <c r="K88" t="s">
        <v>310</v>
      </c>
      <c r="L88" s="21">
        <v>0.83117992912984484</v>
      </c>
      <c r="N88">
        <f>COUNTIF(CProf[[Session_1]:[Session_4]],CCourse[[#This Row],[SessionPK]])</f>
        <v>1</v>
      </c>
      <c r="O88">
        <v>87</v>
      </c>
    </row>
    <row r="89" spans="1:15" x14ac:dyDescent="0.25">
      <c r="B89" t="s">
        <v>90</v>
      </c>
      <c r="C89">
        <v>100</v>
      </c>
      <c r="D89" t="s">
        <v>3</v>
      </c>
      <c r="E89" s="21" t="s">
        <v>261</v>
      </c>
      <c r="F89" s="21">
        <f>COUNTIF(CProf[[Pref_1]:[Pref_6]],CCourse[[#This Row],[Course]])</f>
        <v>3</v>
      </c>
      <c r="G89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89" s="21">
        <f>COUNTIF(CCourse[Course],CCourse[[#This Row],[Course]])-COUNTIF(CProf[[Session_1]:[Session_4]],CCourse[[#This Row],[Course]]&amp;"*")</f>
        <v>0</v>
      </c>
      <c r="I89" s="21">
        <v>10</v>
      </c>
      <c r="J89" s="21" t="str">
        <f>IFERROR(INDEX(CProf[Full/Part-time],MATCH(CCourse[[#This Row],[Professor]],CProf[Name],0)),"")</f>
        <v>F</v>
      </c>
      <c r="K89" t="s">
        <v>335</v>
      </c>
      <c r="L89" s="21">
        <v>6.8619058646060438E-2</v>
      </c>
      <c r="N89">
        <f>COUNTIF(CProf[[Session_1]:[Session_4]],CCourse[[#This Row],[SessionPK]])</f>
        <v>1</v>
      </c>
      <c r="O89">
        <v>88</v>
      </c>
    </row>
    <row r="90" spans="1:15" x14ac:dyDescent="0.25">
      <c r="B90" t="s">
        <v>91</v>
      </c>
      <c r="C90">
        <v>100</v>
      </c>
      <c r="D90" t="s">
        <v>3</v>
      </c>
      <c r="E90" s="21" t="s">
        <v>262</v>
      </c>
      <c r="F90" s="21">
        <f>COUNTIF(CProf[[Pref_1]:[Pref_6]],CCourse[[#This Row],[Course]])</f>
        <v>2</v>
      </c>
      <c r="G90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90" s="21">
        <f>COUNTIF(CCourse[Course],CCourse[[#This Row],[Course]])-COUNTIF(CProf[[Session_1]:[Session_4]],CCourse[[#This Row],[Course]]&amp;"*")</f>
        <v>0</v>
      </c>
      <c r="I90" s="21">
        <v>10</v>
      </c>
      <c r="J90" s="21" t="str">
        <f>IFERROR(INDEX(CProf[Full/Part-time],MATCH(CCourse[[#This Row],[Professor]],CProf[Name],0)),"")</f>
        <v>P</v>
      </c>
      <c r="K90" t="s">
        <v>315</v>
      </c>
      <c r="L90" s="21">
        <v>0.53808097546981226</v>
      </c>
      <c r="N90">
        <f>COUNTIF(CProf[[Session_1]:[Session_4]],CCourse[[#This Row],[SessionPK]])</f>
        <v>1</v>
      </c>
      <c r="O90">
        <v>89</v>
      </c>
    </row>
    <row r="91" spans="1:15" x14ac:dyDescent="0.25">
      <c r="B91" t="s">
        <v>92</v>
      </c>
      <c r="C91">
        <v>100</v>
      </c>
      <c r="D91" t="s">
        <v>3</v>
      </c>
      <c r="E91" s="21" t="s">
        <v>263</v>
      </c>
      <c r="F91" s="21">
        <f>COUNTIF(CProf[[Pref_1]:[Pref_6]],CCourse[[#This Row],[Course]])</f>
        <v>3</v>
      </c>
      <c r="G91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5</v>
      </c>
      <c r="H91" s="21">
        <f>COUNTIF(CCourse[Course],CCourse[[#This Row],[Course]])-COUNTIF(CProf[[Session_1]:[Session_4]],CCourse[[#This Row],[Course]]&amp;"*")</f>
        <v>0</v>
      </c>
      <c r="I91" s="21">
        <v>10</v>
      </c>
      <c r="J91" s="21" t="str">
        <f>IFERROR(INDEX(CProf[Full/Part-time],MATCH(CCourse[[#This Row],[Professor]],CProf[Name],0)),"")</f>
        <v>P</v>
      </c>
      <c r="K91" t="s">
        <v>316</v>
      </c>
      <c r="L91" s="21">
        <v>7.7616622689317794E-2</v>
      </c>
      <c r="N91">
        <f>COUNTIF(CProf[[Session_1]:[Session_4]],CCourse[[#This Row],[SessionPK]])</f>
        <v>1</v>
      </c>
      <c r="O91">
        <v>90</v>
      </c>
    </row>
    <row r="92" spans="1:15" x14ac:dyDescent="0.25">
      <c r="B92" t="s">
        <v>93</v>
      </c>
      <c r="C92">
        <v>100</v>
      </c>
      <c r="D92" t="s">
        <v>3</v>
      </c>
      <c r="E92" s="21" t="s">
        <v>264</v>
      </c>
      <c r="F92" s="21">
        <f>COUNTIF(CProf[[Pref_1]:[Pref_6]],CCourse[[#This Row],[Course]])</f>
        <v>4</v>
      </c>
      <c r="G92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92" s="21">
        <f>COUNTIF(CCourse[Course],CCourse[[#This Row],[Course]])-COUNTIF(CProf[[Session_1]:[Session_4]],CCourse[[#This Row],[Course]]&amp;"*")</f>
        <v>0</v>
      </c>
      <c r="I92" s="21">
        <v>10</v>
      </c>
      <c r="J92" s="21" t="str">
        <f>IFERROR(INDEX(CProf[Full/Part-time],MATCH(CCourse[[#This Row],[Professor]],CProf[Name],0)),"")</f>
        <v>F</v>
      </c>
      <c r="K92" t="s">
        <v>331</v>
      </c>
      <c r="L92" s="21">
        <v>2.6026039264835377E-2</v>
      </c>
      <c r="N92">
        <f>COUNTIF(CProf[[Session_1]:[Session_4]],CCourse[[#This Row],[SessionPK]])</f>
        <v>1</v>
      </c>
      <c r="O92">
        <v>91</v>
      </c>
    </row>
    <row r="93" spans="1:15" x14ac:dyDescent="0.25">
      <c r="B93" t="s">
        <v>94</v>
      </c>
      <c r="C93">
        <v>100</v>
      </c>
      <c r="D93" t="s">
        <v>3</v>
      </c>
      <c r="E93" s="21" t="s">
        <v>265</v>
      </c>
      <c r="F93" s="21">
        <f>COUNTIF(CProf[[Pref_1]:[Pref_6]],CCourse[[#This Row],[Course]])</f>
        <v>2</v>
      </c>
      <c r="G93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93" s="21">
        <f>COUNTIF(CCourse[Course],CCourse[[#This Row],[Course]])-COUNTIF(CProf[[Session_1]:[Session_4]],CCourse[[#This Row],[Course]]&amp;"*")</f>
        <v>0</v>
      </c>
      <c r="I93" s="21">
        <v>10</v>
      </c>
      <c r="J93" s="21" t="str">
        <f>IFERROR(INDEX(CProf[Full/Part-time],MATCH(CCourse[[#This Row],[Professor]],CProf[Name],0)),"")</f>
        <v>F</v>
      </c>
      <c r="K93" t="s">
        <v>330</v>
      </c>
      <c r="L93" s="21">
        <v>0.77905988344770039</v>
      </c>
      <c r="N93">
        <f>COUNTIF(CProf[[Session_1]:[Session_4]],CCourse[[#This Row],[SessionPK]])</f>
        <v>1</v>
      </c>
      <c r="O93">
        <v>92</v>
      </c>
    </row>
    <row r="94" spans="1:15" x14ac:dyDescent="0.25">
      <c r="B94" t="s">
        <v>95</v>
      </c>
      <c r="C94">
        <v>100</v>
      </c>
      <c r="D94" t="s">
        <v>3</v>
      </c>
      <c r="E94" s="21" t="s">
        <v>266</v>
      </c>
      <c r="F94" s="21">
        <f>COUNTIF(CProf[[Pref_1]:[Pref_6]],CCourse[[#This Row],[Course]])</f>
        <v>4</v>
      </c>
      <c r="G94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94" s="21">
        <f>COUNTIF(CCourse[Course],CCourse[[#This Row],[Course]])-COUNTIF(CProf[[Session_1]:[Session_4]],CCourse[[#This Row],[Course]]&amp;"*")</f>
        <v>0</v>
      </c>
      <c r="I94" s="21">
        <v>10</v>
      </c>
      <c r="J94" s="21" t="str">
        <f>IFERROR(INDEX(CProf[Full/Part-time],MATCH(CCourse[[#This Row],[Professor]],CProf[Name],0)),"")</f>
        <v>F</v>
      </c>
      <c r="K94" t="s">
        <v>320</v>
      </c>
      <c r="L94" s="21">
        <v>0.41875255206947748</v>
      </c>
      <c r="N94">
        <f>COUNTIF(CProf[[Session_1]:[Session_4]],CCourse[[#This Row],[SessionPK]])</f>
        <v>1</v>
      </c>
      <c r="O94">
        <v>93</v>
      </c>
    </row>
    <row r="95" spans="1:15" x14ac:dyDescent="0.25">
      <c r="B95" t="s">
        <v>96</v>
      </c>
      <c r="C95">
        <v>100</v>
      </c>
      <c r="D95" t="s">
        <v>3</v>
      </c>
      <c r="E95" s="21" t="s">
        <v>267</v>
      </c>
      <c r="F95" s="21">
        <f>COUNTIF(CProf[[Pref_1]:[Pref_6]],CCourse[[#This Row],[Course]])</f>
        <v>3</v>
      </c>
      <c r="G95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95" s="21">
        <f>COUNTIF(CCourse[Course],CCourse[[#This Row],[Course]])-COUNTIF(CProf[[Session_1]:[Session_4]],CCourse[[#This Row],[Course]]&amp;"*")</f>
        <v>0</v>
      </c>
      <c r="I95" s="21">
        <v>10</v>
      </c>
      <c r="J95" s="21" t="str">
        <f>IFERROR(INDEX(CProf[Full/Part-time],MATCH(CCourse[[#This Row],[Professor]],CProf[Name],0)),"")</f>
        <v>F</v>
      </c>
      <c r="K95" t="s">
        <v>297</v>
      </c>
      <c r="L95" s="21">
        <v>0.12037157193805736</v>
      </c>
      <c r="N95">
        <f>COUNTIF(CProf[[Session_1]:[Session_4]],CCourse[[#This Row],[SessionPK]])</f>
        <v>1</v>
      </c>
      <c r="O95">
        <v>94</v>
      </c>
    </row>
    <row r="96" spans="1:15" x14ac:dyDescent="0.25">
      <c r="B96" t="s">
        <v>97</v>
      </c>
      <c r="C96">
        <v>100</v>
      </c>
      <c r="D96" t="s">
        <v>3</v>
      </c>
      <c r="E96" s="21" t="s">
        <v>268</v>
      </c>
      <c r="F96" s="21">
        <f>COUNTIF(CProf[[Pref_1]:[Pref_6]],CCourse[[#This Row],[Course]])</f>
        <v>4</v>
      </c>
      <c r="G96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96" s="21">
        <f>COUNTIF(CCourse[Course],CCourse[[#This Row],[Course]])-COUNTIF(CProf[[Session_1]:[Session_4]],CCourse[[#This Row],[Course]]&amp;"*")</f>
        <v>0</v>
      </c>
      <c r="I96" s="21">
        <v>10</v>
      </c>
      <c r="J96" s="21" t="str">
        <f>IFERROR(INDEX(CProf[Full/Part-time],MATCH(CCourse[[#This Row],[Professor]],CProf[Name],0)),"")</f>
        <v>F</v>
      </c>
      <c r="K96" t="s">
        <v>322</v>
      </c>
      <c r="L96" s="21">
        <v>0.99027244777585666</v>
      </c>
      <c r="N96">
        <f>COUNTIF(CProf[[Session_1]:[Session_4]],CCourse[[#This Row],[SessionPK]])</f>
        <v>1</v>
      </c>
      <c r="O96">
        <v>95</v>
      </c>
    </row>
    <row r="97" spans="2:15" x14ac:dyDescent="0.25">
      <c r="B97" t="s">
        <v>98</v>
      </c>
      <c r="C97">
        <v>100</v>
      </c>
      <c r="D97" t="s">
        <v>3</v>
      </c>
      <c r="E97" s="21" t="s">
        <v>269</v>
      </c>
      <c r="F97" s="21">
        <f>COUNTIF(CProf[[Pref_1]:[Pref_6]],CCourse[[#This Row],[Course]])</f>
        <v>2</v>
      </c>
      <c r="G97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1</v>
      </c>
      <c r="H97" s="21">
        <f>COUNTIF(CCourse[Course],CCourse[[#This Row],[Course]])-COUNTIF(CProf[[Session_1]:[Session_4]],CCourse[[#This Row],[Course]]&amp;"*")</f>
        <v>0</v>
      </c>
      <c r="I97" s="21">
        <v>10</v>
      </c>
      <c r="J97" s="21" t="str">
        <f>IFERROR(INDEX(CProf[Full/Part-time],MATCH(CCourse[[#This Row],[Professor]],CProf[Name],0)),"")</f>
        <v>P</v>
      </c>
      <c r="K97" t="s">
        <v>315</v>
      </c>
      <c r="L97" s="21">
        <v>0.14343689677414173</v>
      </c>
      <c r="N97">
        <f>COUNTIF(CProf[[Session_1]:[Session_4]],CCourse[[#This Row],[SessionPK]])</f>
        <v>1</v>
      </c>
      <c r="O97">
        <v>96</v>
      </c>
    </row>
    <row r="98" spans="2:15" x14ac:dyDescent="0.25">
      <c r="B98" t="s">
        <v>99</v>
      </c>
      <c r="C98">
        <v>100</v>
      </c>
      <c r="D98" t="s">
        <v>3</v>
      </c>
      <c r="E98" s="21" t="s">
        <v>270</v>
      </c>
      <c r="F98" s="21">
        <f>COUNTIF(CProf[[Pref_1]:[Pref_6]],CCourse[[#This Row],[Course]])</f>
        <v>3</v>
      </c>
      <c r="G98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98" s="21">
        <f>COUNTIF(CCourse[Course],CCourse[[#This Row],[Course]])-COUNTIF(CProf[[Session_1]:[Session_4]],CCourse[[#This Row],[Course]]&amp;"*")</f>
        <v>0</v>
      </c>
      <c r="I98" s="21">
        <v>10</v>
      </c>
      <c r="J98" s="21" t="str">
        <f>IFERROR(INDEX(CProf[Full/Part-time],MATCH(CCourse[[#This Row],[Professor]],CProf[Name],0)),"")</f>
        <v>F</v>
      </c>
      <c r="K98" t="s">
        <v>341</v>
      </c>
      <c r="L98" s="21">
        <v>0.62420571720491991</v>
      </c>
      <c r="N98">
        <f>COUNTIF(CProf[[Session_1]:[Session_4]],CCourse[[#This Row],[SessionPK]])</f>
        <v>1</v>
      </c>
      <c r="O98">
        <v>97</v>
      </c>
    </row>
    <row r="99" spans="2:15" x14ac:dyDescent="0.25">
      <c r="B99" t="s">
        <v>100</v>
      </c>
      <c r="C99">
        <v>100</v>
      </c>
      <c r="D99" t="s">
        <v>3</v>
      </c>
      <c r="E99" s="21" t="s">
        <v>271</v>
      </c>
      <c r="F99" s="21">
        <f>COUNTIF(CProf[[Pref_1]:[Pref_6]],CCourse[[#This Row],[Course]])</f>
        <v>4</v>
      </c>
      <c r="G99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99" s="21">
        <f>COUNTIF(CCourse[Course],CCourse[[#This Row],[Course]])-COUNTIF(CProf[[Session_1]:[Session_4]],CCourse[[#This Row],[Course]]&amp;"*")</f>
        <v>0</v>
      </c>
      <c r="I99" s="21">
        <v>10</v>
      </c>
      <c r="J99" s="21" t="str">
        <f>IFERROR(INDEX(CProf[Full/Part-time],MATCH(CCourse[[#This Row],[Professor]],CProf[Name],0)),"")</f>
        <v>F</v>
      </c>
      <c r="K99" t="s">
        <v>326</v>
      </c>
      <c r="L99" s="21">
        <v>0.98991213454740323</v>
      </c>
      <c r="N99">
        <f>COUNTIF(CProf[[Session_1]:[Session_4]],CCourse[[#This Row],[SessionPK]])</f>
        <v>1</v>
      </c>
      <c r="O99">
        <v>98</v>
      </c>
    </row>
    <row r="100" spans="2:15" x14ac:dyDescent="0.25">
      <c r="B100" t="s">
        <v>101</v>
      </c>
      <c r="C100">
        <v>100</v>
      </c>
      <c r="D100" t="s">
        <v>3</v>
      </c>
      <c r="E100" s="21" t="s">
        <v>272</v>
      </c>
      <c r="F100" s="21">
        <f>COUNTIF(CProf[[Pref_1]:[Pref_6]],CCourse[[#This Row],[Course]])</f>
        <v>4</v>
      </c>
      <c r="G100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4</v>
      </c>
      <c r="H100" s="21">
        <f>COUNTIF(CCourse[Course],CCourse[[#This Row],[Course]])-COUNTIF(CProf[[Session_1]:[Session_4]],CCourse[[#This Row],[Course]]&amp;"*")</f>
        <v>0</v>
      </c>
      <c r="I100" s="21">
        <v>10</v>
      </c>
      <c r="J100" s="21" t="str">
        <f>IFERROR(INDEX(CProf[Full/Part-time],MATCH(CCourse[[#This Row],[Professor]],CProf[Name],0)),"")</f>
        <v>F</v>
      </c>
      <c r="K100" t="s">
        <v>319</v>
      </c>
      <c r="L100" s="21">
        <v>0.25927478548757288</v>
      </c>
      <c r="N100">
        <f>COUNTIF(CProf[[Session_1]:[Session_4]],CCourse[[#This Row],[SessionPK]])</f>
        <v>1</v>
      </c>
      <c r="O100">
        <v>99</v>
      </c>
    </row>
    <row r="101" spans="2:15" x14ac:dyDescent="0.25">
      <c r="B101" t="s">
        <v>102</v>
      </c>
      <c r="C101">
        <v>100</v>
      </c>
      <c r="D101" t="s">
        <v>3</v>
      </c>
      <c r="E101" s="21" t="s">
        <v>273</v>
      </c>
      <c r="F101" s="21">
        <f>COUNTIF(CProf[[Pref_1]:[Pref_6]],CCourse[[#This Row],[Course]])</f>
        <v>1</v>
      </c>
      <c r="G101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101" s="21">
        <f>COUNTIF(CCourse[Course],CCourse[[#This Row],[Course]])-COUNTIF(CProf[[Session_1]:[Session_4]],CCourse[[#This Row],[Course]]&amp;"*")</f>
        <v>0</v>
      </c>
      <c r="I101" s="21">
        <v>10</v>
      </c>
      <c r="J101" s="21" t="str">
        <f>IFERROR(INDEX(CProf[Full/Part-time],MATCH(CCourse[[#This Row],[Professor]],CProf[Name],0)),"")</f>
        <v>F</v>
      </c>
      <c r="K101" t="s">
        <v>329</v>
      </c>
      <c r="L101" s="21">
        <v>0.85101111348592084</v>
      </c>
      <c r="N101">
        <f>COUNTIF(CProf[[Session_1]:[Session_4]],CCourse[[#This Row],[SessionPK]])</f>
        <v>1</v>
      </c>
      <c r="O101">
        <v>100</v>
      </c>
    </row>
    <row r="102" spans="2:15" x14ac:dyDescent="0.25">
      <c r="B102" t="s">
        <v>103</v>
      </c>
      <c r="C102">
        <v>100</v>
      </c>
      <c r="D102" t="s">
        <v>3</v>
      </c>
      <c r="E102" s="21" t="s">
        <v>274</v>
      </c>
      <c r="F102" s="21">
        <f>COUNTIF(CProf[[Pref_1]:[Pref_6]],CCourse[[#This Row],[Course]])</f>
        <v>5</v>
      </c>
      <c r="G102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7</v>
      </c>
      <c r="H102" s="21">
        <f>COUNTIF(CCourse[Course],CCourse[[#This Row],[Course]])-COUNTIF(CProf[[Session_1]:[Session_4]],CCourse[[#This Row],[Course]]&amp;"*")</f>
        <v>0</v>
      </c>
      <c r="I102" s="21">
        <v>10</v>
      </c>
      <c r="J102" s="21" t="str">
        <f>IFERROR(INDEX(CProf[Full/Part-time],MATCH(CCourse[[#This Row],[Professor]],CProf[Name],0)),"")</f>
        <v>F</v>
      </c>
      <c r="K102" t="s">
        <v>337</v>
      </c>
      <c r="L102" s="21">
        <v>0.31202931247168741</v>
      </c>
      <c r="N102">
        <f>COUNTIF(CProf[[Session_1]:[Session_4]],CCourse[[#This Row],[SessionPK]])</f>
        <v>1</v>
      </c>
      <c r="O102">
        <v>101</v>
      </c>
    </row>
    <row r="103" spans="2:15" x14ac:dyDescent="0.25">
      <c r="B103" t="s">
        <v>104</v>
      </c>
      <c r="C103">
        <v>100</v>
      </c>
      <c r="D103" t="s">
        <v>3</v>
      </c>
      <c r="E103" s="21" t="s">
        <v>275</v>
      </c>
      <c r="F103" s="21">
        <f>COUNTIF(CProf[[Pref_1]:[Pref_6]],CCourse[[#This Row],[Course]])</f>
        <v>5</v>
      </c>
      <c r="G103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9</v>
      </c>
      <c r="H103" s="21">
        <f>COUNTIF(CCourse[Course],CCourse[[#This Row],[Course]])-COUNTIF(CProf[[Session_1]:[Session_4]],CCourse[[#This Row],[Course]]&amp;"*")</f>
        <v>0</v>
      </c>
      <c r="I103" s="21">
        <v>10</v>
      </c>
      <c r="J103" s="21" t="str">
        <f>IFERROR(INDEX(CProf[Full/Part-time],MATCH(CCourse[[#This Row],[Professor]],CProf[Name],0)),"")</f>
        <v>F</v>
      </c>
      <c r="K103" t="s">
        <v>304</v>
      </c>
      <c r="L103" s="21">
        <v>0.35499723261505256</v>
      </c>
      <c r="N103">
        <f>COUNTIF(CProf[[Session_1]:[Session_4]],CCourse[[#This Row],[SessionPK]])</f>
        <v>1</v>
      </c>
      <c r="O103">
        <v>102</v>
      </c>
    </row>
    <row r="104" spans="2:15" x14ac:dyDescent="0.25">
      <c r="B104" t="s">
        <v>105</v>
      </c>
      <c r="C104">
        <v>100</v>
      </c>
      <c r="D104" t="s">
        <v>3</v>
      </c>
      <c r="E104" s="21" t="s">
        <v>276</v>
      </c>
      <c r="F104" s="21">
        <f>COUNTIF(CProf[[Pref_1]:[Pref_6]],CCourse[[#This Row],[Course]])</f>
        <v>4</v>
      </c>
      <c r="G104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3</v>
      </c>
      <c r="H104" s="21">
        <f>COUNTIF(CCourse[Course],CCourse[[#This Row],[Course]])-COUNTIF(CProf[[Session_1]:[Session_4]],CCourse[[#This Row],[Course]]&amp;"*")</f>
        <v>0</v>
      </c>
      <c r="I104" s="21">
        <v>10</v>
      </c>
      <c r="J104" s="21" t="str">
        <f>IFERROR(INDEX(CProf[Full/Part-time],MATCH(CCourse[[#This Row],[Professor]],CProf[Name],0)),"")</f>
        <v>F</v>
      </c>
      <c r="K104" t="s">
        <v>306</v>
      </c>
      <c r="L104" s="21">
        <v>0.70280761219050913</v>
      </c>
      <c r="N104">
        <f>COUNTIF(CProf[[Session_1]:[Session_4]],CCourse[[#This Row],[SessionPK]])</f>
        <v>1</v>
      </c>
      <c r="O104">
        <v>103</v>
      </c>
    </row>
    <row r="105" spans="2:15" x14ac:dyDescent="0.25">
      <c r="B105" t="s">
        <v>106</v>
      </c>
      <c r="C105">
        <v>100</v>
      </c>
      <c r="D105" t="s">
        <v>3</v>
      </c>
      <c r="E105" s="21" t="s">
        <v>277</v>
      </c>
      <c r="F105" s="21">
        <f>COUNTIF(CProf[[Pref_1]:[Pref_6]],CCourse[[#This Row],[Course]])</f>
        <v>3</v>
      </c>
      <c r="G105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0</v>
      </c>
      <c r="H105" s="21">
        <f>COUNTIF(CCourse[Course],CCourse[[#This Row],[Course]])-COUNTIF(CProf[[Session_1]:[Session_4]],CCourse[[#This Row],[Course]]&amp;"*")</f>
        <v>0</v>
      </c>
      <c r="I105" s="21">
        <v>10</v>
      </c>
      <c r="J105" s="21" t="str">
        <f>IFERROR(INDEX(CProf[Full/Part-time],MATCH(CCourse[[#This Row],[Professor]],CProf[Name],0)),"")</f>
        <v>P</v>
      </c>
      <c r="K105" t="s">
        <v>295</v>
      </c>
      <c r="L105" s="21">
        <v>0.94764251251228915</v>
      </c>
      <c r="N105">
        <f>COUNTIF(CProf[[Session_1]:[Session_4]],CCourse[[#This Row],[SessionPK]])</f>
        <v>1</v>
      </c>
      <c r="O105">
        <v>104</v>
      </c>
    </row>
    <row r="106" spans="2:15" x14ac:dyDescent="0.25">
      <c r="B106" t="s">
        <v>107</v>
      </c>
      <c r="C106">
        <v>100</v>
      </c>
      <c r="D106" t="s">
        <v>3</v>
      </c>
      <c r="E106" s="21" t="s">
        <v>278</v>
      </c>
      <c r="F106" s="21">
        <f>COUNTIF(CProf[[Pref_1]:[Pref_6]],CCourse[[#This Row],[Course]])</f>
        <v>3</v>
      </c>
      <c r="G106" s="21">
        <f>SUM(SUMIF(CProf[Pref_1],CCourse[[#This Row],[Course]],CProf[AvailSession]),SUMIF(CProf[Pref_2],CCourse[[#This Row],[Course]],CProf[AvailSession]),SUMIF(CProf[Pref_3],CCourse[[#This Row],[Course]],CProf[AvailSession]),SUMIF(CProf[Pref_4],CCourse[[#This Row],[Course]],CProf[AvailSession]),SUMIF(CProf[Pref_5],CCourse[[#This Row],[Course]],CProf[AvailSession]),SUMIF(CProf[Pref_6],CCourse[[#This Row],[Course]],CProf[AvailSession]))</f>
        <v>2</v>
      </c>
      <c r="H106" s="21">
        <f>COUNTIF(CCourse[Course],CCourse[[#This Row],[Course]])-COUNTIF(CProf[[Session_1]:[Session_4]],CCourse[[#This Row],[Course]]&amp;"*")</f>
        <v>0</v>
      </c>
      <c r="I106" s="21">
        <v>10</v>
      </c>
      <c r="J106" s="21" t="str">
        <f>IFERROR(INDEX(CProf[Full/Part-time],MATCH(CCourse[[#This Row],[Professor]],CProf[Name],0)),"")</f>
        <v>F</v>
      </c>
      <c r="K106" t="s">
        <v>328</v>
      </c>
      <c r="L106" s="21">
        <v>0.91081810071081071</v>
      </c>
      <c r="N106">
        <f>COUNTIF(CProf[[Session_1]:[Session_4]],CCourse[[#This Row],[SessionPK]])</f>
        <v>1</v>
      </c>
      <c r="O106">
        <v>105</v>
      </c>
    </row>
  </sheetData>
  <sortState ref="B2:L106">
    <sortCondition ref="E2"/>
  </sortState>
  <pageMargins left="0.7" right="0.7" top="0.75" bottom="0.75" header="0.3" footer="0.3"/>
  <pageSetup orientation="portrait" r:id="rId2"/>
  <legacyDrawing r:id="rId3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T14"/>
  <sheetViews>
    <sheetView workbookViewId="0">
      <pane xSplit="6" ySplit="1" topLeftCell="G2" activePane="bottomRight" state="frozen"/>
      <selection activeCell="M51" sqref="M51"/>
      <selection pane="topRight" activeCell="M51" sqref="M51"/>
      <selection pane="bottomLeft" activeCell="M51" sqref="M51"/>
      <selection pane="bottomRight" activeCell="C14" sqref="C14"/>
    </sheetView>
  </sheetViews>
  <sheetFormatPr defaultRowHeight="15" x14ac:dyDescent="0.25"/>
  <cols>
    <col min="1" max="1" width="7.140625" bestFit="1" customWidth="1"/>
    <col min="2" max="2" width="10.42578125" bestFit="1" customWidth="1"/>
    <col min="3" max="3" width="18.7109375" bestFit="1" customWidth="1"/>
    <col min="4" max="4" width="12.85546875" bestFit="1" customWidth="1"/>
    <col min="5" max="5" width="13.28515625" bestFit="1" customWidth="1"/>
    <col min="6" max="6" width="8.7109375" bestFit="1" customWidth="1"/>
    <col min="7" max="7" width="8.85546875" bestFit="1" customWidth="1"/>
  </cols>
  <sheetData>
    <row r="1" spans="1:98" s="20" customFormat="1" x14ac:dyDescent="0.25">
      <c r="A1" s="20" t="s">
        <v>32</v>
      </c>
      <c r="B1" s="20" t="s">
        <v>30</v>
      </c>
      <c r="C1" s="20" t="s">
        <v>283</v>
      </c>
      <c r="D1" s="20" t="s">
        <v>284</v>
      </c>
      <c r="E1" s="20" t="s">
        <v>285</v>
      </c>
      <c r="F1" s="20" t="s">
        <v>286</v>
      </c>
      <c r="G1" s="20" t="s">
        <v>287</v>
      </c>
      <c r="H1" s="20">
        <v>2</v>
      </c>
      <c r="I1" s="20">
        <v>3</v>
      </c>
      <c r="J1" s="20">
        <v>4</v>
      </c>
      <c r="K1" s="20">
        <v>5</v>
      </c>
      <c r="L1" s="20">
        <v>6</v>
      </c>
      <c r="M1" s="20">
        <v>7</v>
      </c>
      <c r="N1" s="20">
        <v>8</v>
      </c>
      <c r="O1" s="20">
        <v>9</v>
      </c>
      <c r="P1" s="20">
        <v>10</v>
      </c>
      <c r="Q1" s="20">
        <v>11</v>
      </c>
      <c r="R1" s="20">
        <v>12</v>
      </c>
      <c r="S1" s="20">
        <v>13</v>
      </c>
      <c r="T1" s="20">
        <v>14</v>
      </c>
      <c r="U1" s="20">
        <v>15</v>
      </c>
      <c r="V1" s="20">
        <v>16</v>
      </c>
      <c r="W1" s="20">
        <v>17</v>
      </c>
      <c r="X1" s="20">
        <v>18</v>
      </c>
      <c r="Y1" s="20">
        <v>19</v>
      </c>
      <c r="Z1" s="20">
        <v>20</v>
      </c>
      <c r="AA1" s="20">
        <v>21</v>
      </c>
      <c r="AB1" s="20">
        <v>22</v>
      </c>
      <c r="AC1" s="20">
        <v>23</v>
      </c>
      <c r="AD1" s="20">
        <v>24</v>
      </c>
      <c r="AE1" s="20">
        <v>25</v>
      </c>
      <c r="AF1" s="20">
        <v>26</v>
      </c>
      <c r="AG1" s="20">
        <v>27</v>
      </c>
      <c r="AH1" s="20">
        <v>28</v>
      </c>
      <c r="AI1" s="20">
        <v>29</v>
      </c>
      <c r="AJ1" s="20">
        <v>30</v>
      </c>
      <c r="AK1" s="20">
        <v>31</v>
      </c>
      <c r="AL1" s="20">
        <v>32</v>
      </c>
      <c r="AM1" s="20">
        <v>33</v>
      </c>
      <c r="AN1" s="20">
        <v>34</v>
      </c>
      <c r="AO1" s="20">
        <v>35</v>
      </c>
      <c r="AP1" s="20">
        <v>36</v>
      </c>
      <c r="AQ1" s="20">
        <v>37</v>
      </c>
      <c r="AR1" s="20">
        <v>38</v>
      </c>
      <c r="AS1" s="20">
        <v>39</v>
      </c>
      <c r="AT1" s="20">
        <v>40</v>
      </c>
      <c r="AU1" s="20">
        <v>41</v>
      </c>
      <c r="AV1" s="20">
        <v>42</v>
      </c>
      <c r="AW1" s="20">
        <v>43</v>
      </c>
      <c r="AX1" s="20">
        <v>44</v>
      </c>
      <c r="AY1" s="20">
        <v>45</v>
      </c>
      <c r="AZ1" s="20">
        <v>46</v>
      </c>
      <c r="BA1" s="20" t="s">
        <v>288</v>
      </c>
      <c r="BB1" s="20">
        <v>2</v>
      </c>
      <c r="BC1" s="20">
        <v>3</v>
      </c>
      <c r="BD1" s="20">
        <v>4</v>
      </c>
      <c r="BE1" s="20">
        <v>5</v>
      </c>
      <c r="BF1" s="20">
        <v>6</v>
      </c>
      <c r="BG1" s="20">
        <v>7</v>
      </c>
      <c r="BH1" s="20">
        <v>8</v>
      </c>
      <c r="BI1" s="20">
        <v>9</v>
      </c>
      <c r="BJ1" s="20">
        <v>10</v>
      </c>
      <c r="BK1" s="20">
        <v>11</v>
      </c>
      <c r="BL1" s="20">
        <v>12</v>
      </c>
      <c r="BM1" s="20">
        <v>13</v>
      </c>
      <c r="BN1" s="20">
        <v>14</v>
      </c>
      <c r="BO1" s="20">
        <v>15</v>
      </c>
      <c r="BP1" s="20">
        <v>16</v>
      </c>
      <c r="BQ1" s="20">
        <v>17</v>
      </c>
      <c r="BR1" s="20">
        <v>18</v>
      </c>
      <c r="BS1" s="20">
        <v>19</v>
      </c>
      <c r="BT1" s="20">
        <v>20</v>
      </c>
      <c r="BU1" s="20">
        <v>21</v>
      </c>
      <c r="BV1" s="20">
        <v>22</v>
      </c>
      <c r="BW1" s="20">
        <v>23</v>
      </c>
      <c r="BX1" s="20">
        <v>24</v>
      </c>
      <c r="BY1" s="20">
        <v>25</v>
      </c>
      <c r="BZ1" s="20">
        <v>26</v>
      </c>
      <c r="CA1" s="20">
        <v>27</v>
      </c>
      <c r="CB1" s="20">
        <v>28</v>
      </c>
      <c r="CC1" s="20">
        <v>29</v>
      </c>
      <c r="CD1" s="20">
        <v>30</v>
      </c>
      <c r="CE1" s="20">
        <v>31</v>
      </c>
      <c r="CF1" s="20">
        <v>32</v>
      </c>
      <c r="CG1" s="20">
        <v>33</v>
      </c>
      <c r="CH1" s="20">
        <v>34</v>
      </c>
      <c r="CI1" s="20">
        <v>35</v>
      </c>
      <c r="CJ1" s="20">
        <v>36</v>
      </c>
      <c r="CK1" s="20">
        <v>37</v>
      </c>
      <c r="CL1" s="20">
        <v>38</v>
      </c>
      <c r="CM1" s="20">
        <v>39</v>
      </c>
      <c r="CN1" s="20">
        <v>40</v>
      </c>
      <c r="CO1" s="20">
        <v>41</v>
      </c>
      <c r="CP1" s="20">
        <v>42</v>
      </c>
      <c r="CQ1" s="20">
        <v>43</v>
      </c>
      <c r="CR1" s="20">
        <v>44</v>
      </c>
      <c r="CS1" s="20">
        <v>45</v>
      </c>
      <c r="CT1" s="20">
        <v>46</v>
      </c>
    </row>
    <row r="2" spans="1:98" x14ac:dyDescent="0.25">
      <c r="A2" t="s">
        <v>43</v>
      </c>
      <c r="B2" t="s">
        <v>282</v>
      </c>
      <c r="C2" t="s">
        <v>306</v>
      </c>
      <c r="D2">
        <f>COUNTA(G2:AZ2)</f>
        <v>3</v>
      </c>
      <c r="E2">
        <f ca="1">SUM(BA2:CT2)</f>
        <v>5</v>
      </c>
      <c r="F2">
        <f ca="1">COUNTIFS(CCourse!$B:$B,OFFSET($A$1,1,0,1,1),CCourse!$I:$I,3)</f>
        <v>0</v>
      </c>
      <c r="G2" t="s">
        <v>321</v>
      </c>
      <c r="H2" t="s">
        <v>306</v>
      </c>
      <c r="I2" t="s">
        <v>305</v>
      </c>
      <c r="BA2">
        <f ca="1">INDEX(CProf!$C:$C,MATCH(OFFSET($F$1,1,1,1,1),CProf!$A:$A,0))</f>
        <v>2</v>
      </c>
      <c r="BB2">
        <f ca="1">INDEX(CProf!$C:$C,MATCH(OFFSET($F$1,1,2,1,1),CProf!$A:$A,0))</f>
        <v>1</v>
      </c>
      <c r="BC2">
        <f ca="1">INDEX(CProf!$C:$C,MATCH(OFFSET($F$1,1,3,1,1),CProf!$A:$A,0))</f>
        <v>2</v>
      </c>
    </row>
    <row r="3" spans="1:98" x14ac:dyDescent="0.25">
      <c r="A3" t="s">
        <v>43</v>
      </c>
      <c r="B3" t="s">
        <v>291</v>
      </c>
      <c r="C3" t="s">
        <v>321</v>
      </c>
      <c r="D3">
        <f>COUNTA(G3:AZ3)</f>
        <v>3</v>
      </c>
      <c r="E3">
        <f ca="1">SUM(BA3:CT3)</f>
        <v>5</v>
      </c>
      <c r="F3">
        <f ca="1">COUNTIFS(CCourse!$B:$B,OFFSET($A$1,2,0,1,1),CCourse!$I:$I,3)</f>
        <v>0</v>
      </c>
      <c r="G3" t="s">
        <v>321</v>
      </c>
      <c r="H3" t="s">
        <v>306</v>
      </c>
      <c r="I3" t="s">
        <v>305</v>
      </c>
      <c r="BA3">
        <f ca="1">INDEX(CProf!$C:$C,MATCH(OFFSET($F$1,2,1,1,1),CProf!$A:$A,0))</f>
        <v>2</v>
      </c>
      <c r="BB3">
        <f ca="1">INDEX(CProf!$C:$C,MATCH(OFFSET($F$1,2,2,1,1),CProf!$A:$A,0))</f>
        <v>1</v>
      </c>
      <c r="BC3">
        <f ca="1">INDEX(CProf!$C:$C,MATCH(OFFSET($F$1,2,3,1,1),CProf!$A:$A,0))</f>
        <v>2</v>
      </c>
    </row>
    <row r="4" spans="1:98" x14ac:dyDescent="0.25">
      <c r="A4" t="s">
        <v>43</v>
      </c>
      <c r="B4" t="s">
        <v>214</v>
      </c>
      <c r="C4" t="s">
        <v>321</v>
      </c>
      <c r="D4">
        <f>COUNTA(G4:AZ4)</f>
        <v>3</v>
      </c>
      <c r="E4">
        <f ca="1">SUM(BA4:CT4)</f>
        <v>5</v>
      </c>
      <c r="F4">
        <f ca="1">COUNTIFS(CCourse!$B:$B,OFFSET($A$1,3,0,1,1),CCourse!$I:$I,3)</f>
        <v>0</v>
      </c>
      <c r="G4" t="s">
        <v>321</v>
      </c>
      <c r="H4" t="s">
        <v>306</v>
      </c>
      <c r="I4" t="s">
        <v>305</v>
      </c>
      <c r="BA4">
        <f ca="1">INDEX(CProf!$C:$C,MATCH(OFFSET($F$1,3,1,1,1),CProf!$A:$A,0))</f>
        <v>2</v>
      </c>
      <c r="BB4">
        <f ca="1">INDEX(CProf!$C:$C,MATCH(OFFSET($F$1,3,2,1,1),CProf!$A:$A,0))</f>
        <v>1</v>
      </c>
      <c r="BC4">
        <f ca="1">INDEX(CProf!$C:$C,MATCH(OFFSET($F$1,3,3,1,1),CProf!$A:$A,0))</f>
        <v>2</v>
      </c>
    </row>
    <row r="5" spans="1:98" x14ac:dyDescent="0.25">
      <c r="A5" t="s">
        <v>80</v>
      </c>
      <c r="B5" t="s">
        <v>251</v>
      </c>
      <c r="C5" t="s">
        <v>319</v>
      </c>
      <c r="D5">
        <f>COUNTA(G5:AZ5)</f>
        <v>2</v>
      </c>
      <c r="E5">
        <f ca="1">SUM(BA5:CT5)</f>
        <v>2</v>
      </c>
      <c r="F5">
        <f ca="1">COUNTIFS(CCourse!$B:$B,OFFSET($A$1,4,0,1,1),CCourse!$I:$I,3)</f>
        <v>0</v>
      </c>
      <c r="G5" t="s">
        <v>307</v>
      </c>
      <c r="H5" t="s">
        <v>319</v>
      </c>
      <c r="BA5">
        <f ca="1">INDEX(CProf!$C:$C,MATCH(OFFSET($F$1,4,1,1,1),CProf!$A:$A,0))</f>
        <v>1</v>
      </c>
      <c r="BB5">
        <f ca="1">INDEX(CProf!$C:$C,MATCH(OFFSET($F$1,4,2,1,1),CProf!$A:$A,0))</f>
        <v>1</v>
      </c>
    </row>
    <row r="6" spans="1:98" x14ac:dyDescent="0.25">
      <c r="A6" t="s">
        <v>92</v>
      </c>
      <c r="B6" t="s">
        <v>263</v>
      </c>
      <c r="C6" t="s">
        <v>316</v>
      </c>
      <c r="D6">
        <f>COUNTA(G6:AZ6)</f>
        <v>3</v>
      </c>
      <c r="E6">
        <f ca="1">SUM(BA6:CT6)</f>
        <v>5</v>
      </c>
      <c r="F6">
        <f ca="1">COUNTIFS(CCourse!$B:$B,OFFSET($A$1,5,0,1,1),CCourse!$I:$I,3)</f>
        <v>0</v>
      </c>
      <c r="G6" t="s">
        <v>314</v>
      </c>
      <c r="H6" t="s">
        <v>316</v>
      </c>
      <c r="I6" t="s">
        <v>299</v>
      </c>
      <c r="BA6">
        <f ca="1">INDEX(CProf!$C:$C,MATCH(OFFSET($F$1,5,1,1,1),CProf!$A:$A,0))</f>
        <v>0</v>
      </c>
      <c r="BB6">
        <f ca="1">INDEX(CProf!$C:$C,MATCH(OFFSET($F$1,5,2,1,1),CProf!$A:$A,0))</f>
        <v>2</v>
      </c>
      <c r="BC6">
        <f ca="1">INDEX(CProf!$C:$C,MATCH(OFFSET($F$1,5,3,1,1),CProf!$A:$A,0))</f>
        <v>3</v>
      </c>
    </row>
    <row r="7" spans="1:98" x14ac:dyDescent="0.25">
      <c r="A7" t="s">
        <v>53</v>
      </c>
      <c r="B7" t="s">
        <v>224</v>
      </c>
      <c r="C7" t="s">
        <v>328</v>
      </c>
      <c r="D7">
        <f>COUNTA(G7:AZ7)</f>
        <v>2</v>
      </c>
      <c r="E7">
        <f ca="1">SUM(BA7:CT7)</f>
        <v>1</v>
      </c>
      <c r="F7">
        <f ca="1">COUNTIFS(CCourse!$B:$B,OFFSET($A$1,6,0,1,1),CCourse!$I:$I,3)</f>
        <v>0</v>
      </c>
      <c r="G7" t="s">
        <v>328</v>
      </c>
      <c r="H7" t="s">
        <v>292</v>
      </c>
      <c r="BA7">
        <f ca="1">INDEX(CProf!$C:$C,MATCH(OFFSET($F$1,6,1,1,1),CProf!$A:$A,0))</f>
        <v>0</v>
      </c>
      <c r="BB7">
        <f ca="1">INDEX(CProf!$C:$C,MATCH(OFFSET($F$1,6,2,1,1),CProf!$A:$A,0))</f>
        <v>1</v>
      </c>
    </row>
    <row r="8" spans="1:98" x14ac:dyDescent="0.25">
      <c r="A8" t="s">
        <v>101</v>
      </c>
      <c r="B8" t="s">
        <v>272</v>
      </c>
      <c r="C8" t="s">
        <v>319</v>
      </c>
      <c r="D8">
        <f>COUNTA(G8:AZ8)</f>
        <v>2</v>
      </c>
      <c r="E8">
        <f ca="1">SUM(BA8:CT8)</f>
        <v>2</v>
      </c>
      <c r="F8">
        <f ca="1">COUNTIFS(CCourse!$B:$B,OFFSET($A$1,7,0,1,1),CCourse!$I:$I,3)</f>
        <v>0</v>
      </c>
      <c r="G8" t="s">
        <v>307</v>
      </c>
      <c r="H8" t="s">
        <v>319</v>
      </c>
      <c r="BA8">
        <f ca="1">INDEX(CProf!$C:$C,MATCH(OFFSET($F$1,7,1,1,1),CProf!$A:$A,0))</f>
        <v>1</v>
      </c>
      <c r="BB8">
        <f ca="1">INDEX(CProf!$C:$C,MATCH(OFFSET($F$1,7,2,1,1),CProf!$A:$A,0))</f>
        <v>1</v>
      </c>
    </row>
    <row r="9" spans="1:98" x14ac:dyDescent="0.25">
      <c r="A9" t="s">
        <v>104</v>
      </c>
      <c r="B9" t="s">
        <v>275</v>
      </c>
      <c r="C9" t="s">
        <v>304</v>
      </c>
      <c r="D9">
        <f>COUNTA(G9:AZ9)</f>
        <v>2</v>
      </c>
      <c r="E9">
        <f ca="1">SUM(BA9:CT9)</f>
        <v>1</v>
      </c>
      <c r="F9">
        <f ca="1">COUNTIFS(CCourse!$B:$B,OFFSET($A$1,8,0,1,1),CCourse!$I:$I,3)</f>
        <v>0</v>
      </c>
      <c r="G9" t="s">
        <v>341</v>
      </c>
      <c r="H9" t="s">
        <v>304</v>
      </c>
      <c r="BA9">
        <f ca="1">INDEX(CProf!$C:$C,MATCH(OFFSET($F$1,8,1,1,1),CProf!$A:$A,0))</f>
        <v>1</v>
      </c>
      <c r="BB9">
        <f ca="1">INDEX(CProf!$C:$C,MATCH(OFFSET($F$1,8,2,1,1),CProf!$A:$A,0))</f>
        <v>0</v>
      </c>
    </row>
    <row r="10" spans="1:98" x14ac:dyDescent="0.25">
      <c r="A10" t="s">
        <v>62</v>
      </c>
      <c r="B10" t="s">
        <v>233</v>
      </c>
      <c r="C10" t="s">
        <v>304</v>
      </c>
      <c r="D10">
        <f>COUNTA(G10:AZ10)</f>
        <v>2</v>
      </c>
      <c r="E10">
        <f ca="1">SUM(BA10:CT10)</f>
        <v>1</v>
      </c>
      <c r="F10">
        <f ca="1">COUNTIFS(CCourse!$B:$B,OFFSET($A$1,9,0,1,1),CCourse!$I:$I,3)</f>
        <v>0</v>
      </c>
      <c r="G10" t="s">
        <v>307</v>
      </c>
      <c r="H10" t="s">
        <v>304</v>
      </c>
      <c r="BA10">
        <f ca="1">INDEX(CProf!$C:$C,MATCH(OFFSET($F$1,9,1,1,1),CProf!$A:$A,0))</f>
        <v>1</v>
      </c>
      <c r="BB10">
        <f ca="1">INDEX(CProf!$C:$C,MATCH(OFFSET($F$1,9,2,1,1),CProf!$A:$A,0))</f>
        <v>0</v>
      </c>
    </row>
    <row r="11" spans="1:98" x14ac:dyDescent="0.25">
      <c r="A11" t="s">
        <v>45</v>
      </c>
      <c r="B11" t="s">
        <v>216</v>
      </c>
      <c r="C11" t="s">
        <v>326</v>
      </c>
      <c r="D11">
        <f>COUNTA(G11:AZ11)</f>
        <v>2</v>
      </c>
      <c r="E11">
        <f ca="1">SUM(BA11:CT11)</f>
        <v>2</v>
      </c>
      <c r="F11">
        <f ca="1">COUNTIFS(CCourse!$B:$B,OFFSET($A$1,10,0,1,1),CCourse!$I:$I,3)</f>
        <v>0</v>
      </c>
      <c r="G11" t="s">
        <v>326</v>
      </c>
      <c r="H11" t="s">
        <v>309</v>
      </c>
      <c r="BA11">
        <f ca="1">INDEX(CProf!$C:$C,MATCH(OFFSET($F$1,10,1,1,1),CProf!$A:$A,0))</f>
        <v>0</v>
      </c>
      <c r="BB11">
        <f ca="1">INDEX(CProf!$C:$C,MATCH(OFFSET($F$1,10,2,1,1),CProf!$A:$A,0))</f>
        <v>2</v>
      </c>
    </row>
    <row r="12" spans="1:98" x14ac:dyDescent="0.25">
      <c r="A12" t="s">
        <v>61</v>
      </c>
      <c r="B12" t="s">
        <v>232</v>
      </c>
      <c r="C12" t="s">
        <v>296</v>
      </c>
      <c r="D12">
        <f>COUNTA(G12:AZ12)</f>
        <v>2</v>
      </c>
      <c r="E12">
        <f ca="1">SUM(BA12:CT12)</f>
        <v>3</v>
      </c>
      <c r="F12">
        <f ca="1">COUNTIFS(CCourse!$B:$B,OFFSET($A$1,11,0,1,1),CCourse!$I:$I,3)</f>
        <v>0</v>
      </c>
      <c r="G12" t="s">
        <v>330</v>
      </c>
      <c r="H12" t="s">
        <v>296</v>
      </c>
      <c r="BA12">
        <f ca="1">INDEX(CProf!$C:$C,MATCH(OFFSET($F$1,11,1,1,1),CProf!$A:$A,0))</f>
        <v>3</v>
      </c>
      <c r="BB12">
        <f ca="1">INDEX(CProf!$C:$C,MATCH(OFFSET($F$1,11,2,1,1),CProf!$A:$A,0))</f>
        <v>0</v>
      </c>
    </row>
    <row r="13" spans="1:98" x14ac:dyDescent="0.25">
      <c r="A13" t="s">
        <v>105</v>
      </c>
      <c r="B13" t="s">
        <v>276</v>
      </c>
      <c r="C13" t="s">
        <v>306</v>
      </c>
      <c r="D13">
        <f>COUNTA(G13:AZ13)</f>
        <v>2</v>
      </c>
      <c r="E13">
        <f ca="1">SUM(BA13:CT13)</f>
        <v>2</v>
      </c>
      <c r="F13">
        <f ca="1">COUNTIFS(CCourse!$B:$B,OFFSET($A$1,12,0,1,1),CCourse!$I:$I,3)</f>
        <v>0</v>
      </c>
      <c r="G13" t="s">
        <v>292</v>
      </c>
      <c r="H13" t="s">
        <v>306</v>
      </c>
      <c r="BA13">
        <f ca="1">INDEX(CProf!$C:$C,MATCH(OFFSET($F$1,12,1,1,1),CProf!$A:$A,0))</f>
        <v>1</v>
      </c>
      <c r="BB13">
        <f ca="1">INDEX(CProf!$C:$C,MATCH(OFFSET($F$1,12,2,1,1),CProf!$A:$A,0))</f>
        <v>1</v>
      </c>
    </row>
    <row r="14" spans="1:98" x14ac:dyDescent="0.25">
      <c r="A14" t="s">
        <v>107</v>
      </c>
      <c r="B14" t="s">
        <v>278</v>
      </c>
      <c r="C14" t="s">
        <v>328</v>
      </c>
      <c r="D14">
        <f>COUNTA(G14:AZ14)</f>
        <v>2</v>
      </c>
      <c r="E14">
        <f ca="1">SUM(BA14:CT14)</f>
        <v>2</v>
      </c>
      <c r="F14">
        <f ca="1">COUNTIFS(CCourse!$B:$B,OFFSET($A$1,13,0,1,1),CCourse!$I:$I,3)</f>
        <v>0</v>
      </c>
      <c r="G14" t="s">
        <v>328</v>
      </c>
      <c r="H14" t="s">
        <v>333</v>
      </c>
      <c r="BA14">
        <f ca="1">INDEX(CProf!$C:$C,MATCH(OFFSET($F$1,13,1,1,1),CProf!$A:$A,0))</f>
        <v>0</v>
      </c>
      <c r="BB14">
        <f ca="1">INDEX(CProf!$C:$C,MATCH(OFFSET($F$1,13,2,1,1),CProf!$A:$A,0))</f>
        <v>2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BO106"/>
  <sheetViews>
    <sheetView workbookViewId="0">
      <pane xSplit="9" ySplit="1" topLeftCell="J18" activePane="bottomRight" state="frozen"/>
      <selection sqref="A1:G1"/>
      <selection pane="topRight" sqref="A1:G1"/>
      <selection pane="bottomLeft" sqref="A1:G1"/>
      <selection pane="bottomRight" activeCell="J2" sqref="J2:BO106"/>
    </sheetView>
  </sheetViews>
  <sheetFormatPr defaultRowHeight="15" x14ac:dyDescent="0.25"/>
  <cols>
    <col min="1" max="1" width="8" style="22" bestFit="1" customWidth="1"/>
    <col min="2" max="2" width="9.28515625" customWidth="1"/>
    <col min="3" max="3" width="9.85546875" customWidth="1"/>
    <col min="4" max="4" width="8" bestFit="1" customWidth="1"/>
    <col min="5" max="5" width="12.140625" customWidth="1"/>
    <col min="6" max="6" width="18.7109375" bestFit="1" customWidth="1"/>
    <col min="8" max="8" width="8" bestFit="1" customWidth="1"/>
    <col min="9" max="9" width="7.85546875" customWidth="1"/>
    <col min="10" max="10" width="11.85546875" bestFit="1" customWidth="1"/>
    <col min="11" max="11" width="14" customWidth="1"/>
    <col min="12" max="21" width="9" bestFit="1" customWidth="1"/>
    <col min="22" max="40" width="10" bestFit="1" customWidth="1"/>
  </cols>
  <sheetData>
    <row r="1" spans="1:67" x14ac:dyDescent="0.25">
      <c r="A1" s="22" t="s">
        <v>109</v>
      </c>
      <c r="B1" t="s">
        <v>32</v>
      </c>
      <c r="C1" t="s">
        <v>1</v>
      </c>
      <c r="D1" t="s">
        <v>2</v>
      </c>
      <c r="E1" t="s">
        <v>30</v>
      </c>
      <c r="F1" t="s">
        <v>36</v>
      </c>
      <c r="G1" t="s">
        <v>108</v>
      </c>
      <c r="H1" t="s">
        <v>0</v>
      </c>
      <c r="I1" t="s">
        <v>342</v>
      </c>
      <c r="J1" t="s">
        <v>400</v>
      </c>
      <c r="K1" t="s">
        <v>399</v>
      </c>
      <c r="L1" t="s">
        <v>371</v>
      </c>
      <c r="M1" t="s">
        <v>372</v>
      </c>
      <c r="N1" t="s">
        <v>373</v>
      </c>
      <c r="O1" t="s">
        <v>374</v>
      </c>
      <c r="P1" t="s">
        <v>375</v>
      </c>
      <c r="Q1" t="s">
        <v>376</v>
      </c>
      <c r="R1" t="s">
        <v>377</v>
      </c>
      <c r="S1" t="s">
        <v>378</v>
      </c>
      <c r="T1" t="s">
        <v>379</v>
      </c>
      <c r="U1" t="s">
        <v>380</v>
      </c>
      <c r="V1" t="s">
        <v>381</v>
      </c>
      <c r="W1" t="s">
        <v>382</v>
      </c>
      <c r="X1" t="s">
        <v>383</v>
      </c>
      <c r="Y1" t="s">
        <v>384</v>
      </c>
      <c r="Z1" t="s">
        <v>385</v>
      </c>
      <c r="AA1" t="s">
        <v>386</v>
      </c>
      <c r="AB1" t="s">
        <v>387</v>
      </c>
      <c r="AC1" t="s">
        <v>388</v>
      </c>
      <c r="AD1" t="s">
        <v>389</v>
      </c>
      <c r="AE1" t="s">
        <v>390</v>
      </c>
      <c r="AF1" t="s">
        <v>391</v>
      </c>
      <c r="AG1" t="s">
        <v>392</v>
      </c>
      <c r="AH1" t="s">
        <v>393</v>
      </c>
      <c r="AI1" t="s">
        <v>394</v>
      </c>
      <c r="AJ1" t="s">
        <v>395</v>
      </c>
      <c r="AK1" t="s">
        <v>396</v>
      </c>
      <c r="AL1" t="s">
        <v>397</v>
      </c>
      <c r="AM1" t="s">
        <v>398</v>
      </c>
      <c r="AN1" t="s">
        <v>343</v>
      </c>
      <c r="AO1" t="s">
        <v>344</v>
      </c>
      <c r="AP1" t="s">
        <v>345</v>
      </c>
      <c r="AQ1" t="s">
        <v>346</v>
      </c>
      <c r="AR1" t="s">
        <v>347</v>
      </c>
      <c r="AS1" t="s">
        <v>348</v>
      </c>
      <c r="AT1" t="s">
        <v>349</v>
      </c>
      <c r="AU1" t="s">
        <v>350</v>
      </c>
      <c r="AV1" t="s">
        <v>351</v>
      </c>
      <c r="AW1" t="s">
        <v>352</v>
      </c>
      <c r="AX1" t="s">
        <v>353</v>
      </c>
      <c r="AY1" t="s">
        <v>354</v>
      </c>
      <c r="AZ1" t="s">
        <v>355</v>
      </c>
      <c r="BA1" t="s">
        <v>356</v>
      </c>
      <c r="BB1" t="s">
        <v>357</v>
      </c>
      <c r="BC1" t="s">
        <v>358</v>
      </c>
      <c r="BD1" t="s">
        <v>359</v>
      </c>
      <c r="BE1" t="s">
        <v>360</v>
      </c>
      <c r="BF1" t="s">
        <v>361</v>
      </c>
      <c r="BG1" t="s">
        <v>362</v>
      </c>
      <c r="BH1" t="s">
        <v>363</v>
      </c>
      <c r="BI1" t="s">
        <v>364</v>
      </c>
      <c r="BJ1" t="s">
        <v>365</v>
      </c>
      <c r="BK1" t="s">
        <v>366</v>
      </c>
      <c r="BL1" t="s">
        <v>367</v>
      </c>
      <c r="BM1" t="s">
        <v>368</v>
      </c>
      <c r="BN1" t="s">
        <v>369</v>
      </c>
      <c r="BO1" t="s">
        <v>370</v>
      </c>
    </row>
    <row r="2" spans="1:67" x14ac:dyDescent="0.25">
      <c r="A2" s="22">
        <f>1</f>
        <v>1</v>
      </c>
      <c r="B2" t="s">
        <v>6</v>
      </c>
      <c r="C2">
        <v>100</v>
      </c>
      <c r="D2" s="21" t="s">
        <v>5</v>
      </c>
      <c r="E2" t="s">
        <v>25</v>
      </c>
      <c r="F2" t="s">
        <v>336</v>
      </c>
      <c r="G2" s="21">
        <f>COUNTIF(SCourse[Course],SCourse[[#This Row],[Course]])</f>
        <v>1</v>
      </c>
      <c r="I2" s="21">
        <f>COUNTIF(SCourse[Block],SCourse[[#This Row],[Block]])</f>
        <v>0</v>
      </c>
      <c r="J2" s="21">
        <v>1</v>
      </c>
      <c r="K2" s="21">
        <v>0</v>
      </c>
      <c r="L2" s="21">
        <v>0</v>
      </c>
      <c r="M2" s="21">
        <v>0</v>
      </c>
      <c r="N2" s="21">
        <v>0</v>
      </c>
      <c r="O2" s="21">
        <v>0</v>
      </c>
      <c r="P2" s="21">
        <v>0</v>
      </c>
      <c r="Q2" s="21">
        <v>0</v>
      </c>
      <c r="R2" s="21">
        <v>0</v>
      </c>
      <c r="S2" s="21">
        <v>0</v>
      </c>
      <c r="T2" s="21">
        <v>0</v>
      </c>
      <c r="U2" s="21">
        <v>0</v>
      </c>
      <c r="V2" s="21">
        <v>0</v>
      </c>
      <c r="W2" s="21">
        <v>0</v>
      </c>
      <c r="X2" s="21">
        <v>0</v>
      </c>
      <c r="Y2" s="21">
        <v>-100</v>
      </c>
      <c r="Z2" s="21">
        <v>0</v>
      </c>
      <c r="AA2" s="21">
        <v>0</v>
      </c>
      <c r="AB2" s="21">
        <v>0</v>
      </c>
      <c r="AC2" s="21">
        <v>0</v>
      </c>
      <c r="AD2" s="21">
        <v>0</v>
      </c>
      <c r="AE2" s="21">
        <v>0</v>
      </c>
      <c r="AF2" s="21">
        <v>0</v>
      </c>
      <c r="AG2" s="21">
        <v>0</v>
      </c>
      <c r="AH2" s="21">
        <v>0</v>
      </c>
      <c r="AI2" s="21">
        <v>0</v>
      </c>
      <c r="AJ2" s="21">
        <v>0</v>
      </c>
      <c r="AK2" s="21">
        <v>0</v>
      </c>
      <c r="AL2" s="21">
        <v>0</v>
      </c>
      <c r="AM2" s="21">
        <v>0</v>
      </c>
      <c r="AN2" s="23">
        <v>-100</v>
      </c>
      <c r="AO2" s="23">
        <v>-100</v>
      </c>
      <c r="AP2" s="23">
        <v>-100</v>
      </c>
      <c r="AQ2" s="23">
        <v>-100</v>
      </c>
      <c r="AR2" s="23">
        <v>-100</v>
      </c>
      <c r="AS2" s="23">
        <v>-100</v>
      </c>
      <c r="AT2" s="23">
        <v>-100</v>
      </c>
      <c r="AU2" s="23">
        <v>-100</v>
      </c>
      <c r="AV2" s="23">
        <v>-100</v>
      </c>
      <c r="AW2" s="23">
        <v>-100</v>
      </c>
      <c r="AX2" s="23">
        <v>-100</v>
      </c>
      <c r="AY2" s="23">
        <v>-100</v>
      </c>
      <c r="AZ2" s="23">
        <v>-100</v>
      </c>
      <c r="BA2" s="23">
        <v>-100</v>
      </c>
      <c r="BB2" s="23">
        <v>-100</v>
      </c>
      <c r="BC2" s="23">
        <v>-100</v>
      </c>
      <c r="BD2" s="23">
        <v>-100</v>
      </c>
      <c r="BE2" s="23">
        <v>-100</v>
      </c>
      <c r="BF2" s="23">
        <v>-100</v>
      </c>
      <c r="BG2" s="23">
        <v>-100</v>
      </c>
      <c r="BH2" s="23">
        <f>IF(SCourse[[#This Row],[Block21]]="",0,IF(SCourse[[#This Row],[Block21]]&gt;=0,IFERROR(SCourse[[#This Row],[Block21]]/SUMIF(SCourse[[#This Row],[Block1]:[Block28]],"&gt;0")*100,20),SCourse[[#This Row],[Block21]]))</f>
        <v>20</v>
      </c>
      <c r="BI2" s="23">
        <f>IF(SCourse[[#This Row],[Block22]]="",0,IF(SCourse[[#This Row],[Block22]]&gt;=0,IFERROR(SCourse[[#This Row],[Block22]]/SUMIF(SCourse[[#This Row],[Block1]:[Block28]],"&gt;0")*100,20),SCourse[[#This Row],[Block22]]))</f>
        <v>20</v>
      </c>
      <c r="BJ2" s="23">
        <f>IF(SCourse[[#This Row],[Block23]]="",0,IF(SCourse[[#This Row],[Block23]]&gt;=0,IFERROR(SCourse[[#This Row],[Block23]]/SUMIF(SCourse[[#This Row],[Block1]:[Block28]],"&gt;0")*100,20),SCourse[[#This Row],[Block23]]))</f>
        <v>20</v>
      </c>
      <c r="BK2" s="23">
        <f>IF(SCourse[[#This Row],[Block24]]="",0,IF(SCourse[[#This Row],[Block24]]&gt;=0,IFERROR(SCourse[[#This Row],[Block24]]/SUMIF(SCourse[[#This Row],[Block1]:[Block28]],"&gt;0")*100,20),SCourse[[#This Row],[Block24]]))</f>
        <v>20</v>
      </c>
      <c r="BL2" s="23">
        <f>IF(SCourse[[#This Row],[Block25]]="",0,IF(SCourse[[#This Row],[Block25]]&gt;=0,IFERROR(SCourse[[#This Row],[Block25]]/SUMIF(SCourse[[#This Row],[Block1]:[Block28]],"&gt;0")*100,20),SCourse[[#This Row],[Block25]]))</f>
        <v>20</v>
      </c>
      <c r="BM2" s="23">
        <f>IF(SCourse[[#This Row],[Block26]]="",0,IF(SCourse[[#This Row],[Block26]]&gt;=0,IFERROR(SCourse[[#This Row],[Block26]]/SUMIF(SCourse[[#This Row],[Block1]:[Block28]],"&gt;0")*100,20),SCourse[[#This Row],[Block26]]))</f>
        <v>20</v>
      </c>
      <c r="BN2" s="23">
        <f>IF(SCourse[[#This Row],[Block27]]="",0,IF(SCourse[[#This Row],[Block27]]&gt;=0,IFERROR(SCourse[[#This Row],[Block27]]/SUMIF(SCourse[[#This Row],[Block1]:[Block28]],"&gt;0")*100,20),SCourse[[#This Row],[Block27]]))</f>
        <v>20</v>
      </c>
      <c r="BO2" s="23">
        <f>IF(SCourse[[#This Row],[Block28]]="",0,IF(SCourse[[#This Row],[Block28]]&gt;=0,IFERROR(SCourse[[#This Row],[Block28]]/SUMIF(SCourse[[#This Row],[Block1]:[Block28]],"&gt;0")*100,20),SCourse[[#This Row],[Block28]]))</f>
        <v>20</v>
      </c>
    </row>
    <row r="3" spans="1:67" x14ac:dyDescent="0.25">
      <c r="A3" s="22">
        <f>1</f>
        <v>1</v>
      </c>
      <c r="B3" t="s">
        <v>7</v>
      </c>
      <c r="C3">
        <v>100</v>
      </c>
      <c r="D3" s="21" t="s">
        <v>5</v>
      </c>
      <c r="E3" t="s">
        <v>26</v>
      </c>
      <c r="F3" t="s">
        <v>333</v>
      </c>
      <c r="G3" s="21">
        <f>COUNTIF(SCourse[Course],SCourse[[#This Row],[Course]])</f>
        <v>1</v>
      </c>
      <c r="I3" s="21">
        <f>COUNTIF(SCourse[Block],SCourse[[#This Row],[Block]])</f>
        <v>0</v>
      </c>
      <c r="J3" s="21">
        <v>4</v>
      </c>
      <c r="K3" s="21">
        <v>0</v>
      </c>
      <c r="L3" s="21">
        <v>0</v>
      </c>
      <c r="M3" s="21">
        <v>0</v>
      </c>
      <c r="N3" s="21">
        <v>0</v>
      </c>
      <c r="O3" s="21">
        <v>0</v>
      </c>
      <c r="P3" s="21">
        <v>0</v>
      </c>
      <c r="Q3" s="21">
        <v>30</v>
      </c>
      <c r="R3" s="21">
        <v>0</v>
      </c>
      <c r="S3" s="21">
        <v>0</v>
      </c>
      <c r="T3" s="21">
        <v>0</v>
      </c>
      <c r="U3" s="21">
        <v>30</v>
      </c>
      <c r="V3" s="21">
        <v>0</v>
      </c>
      <c r="W3" s="21">
        <v>0</v>
      </c>
      <c r="X3" s="21">
        <v>0</v>
      </c>
      <c r="Y3" s="21">
        <v>40</v>
      </c>
      <c r="Z3" s="21">
        <v>0</v>
      </c>
      <c r="AA3" s="21">
        <v>0</v>
      </c>
      <c r="AB3" s="21">
        <v>0</v>
      </c>
      <c r="AC3" s="21">
        <v>0</v>
      </c>
      <c r="AD3" s="21">
        <v>-100</v>
      </c>
      <c r="AE3" s="21">
        <v>0</v>
      </c>
      <c r="AF3" s="21">
        <v>0</v>
      </c>
      <c r="AG3" s="21">
        <v>0</v>
      </c>
      <c r="AH3" s="21">
        <v>0</v>
      </c>
      <c r="AI3" s="21">
        <v>0</v>
      </c>
      <c r="AJ3" s="21">
        <v>0</v>
      </c>
      <c r="AK3" s="21">
        <v>0</v>
      </c>
      <c r="AL3" s="21">
        <v>0</v>
      </c>
      <c r="AM3" s="21">
        <v>0</v>
      </c>
      <c r="AN3" s="23">
        <v>-100</v>
      </c>
      <c r="AO3" s="23">
        <v>-100</v>
      </c>
      <c r="AP3" s="23">
        <v>-100</v>
      </c>
      <c r="AQ3" s="23">
        <v>-100</v>
      </c>
      <c r="AR3" s="23">
        <v>-100</v>
      </c>
      <c r="AS3" s="23">
        <v>-100</v>
      </c>
      <c r="AT3" s="23">
        <v>-100</v>
      </c>
      <c r="AU3" s="23">
        <v>-100</v>
      </c>
      <c r="AV3" s="23">
        <v>-100</v>
      </c>
      <c r="AW3" s="23">
        <v>-100</v>
      </c>
      <c r="AX3" s="23">
        <v>-100</v>
      </c>
      <c r="AY3" s="23">
        <v>-100</v>
      </c>
      <c r="AZ3" s="23">
        <v>-100</v>
      </c>
      <c r="BA3" s="23">
        <v>-100</v>
      </c>
      <c r="BB3" s="23">
        <v>-100</v>
      </c>
      <c r="BC3" s="23">
        <v>-100</v>
      </c>
      <c r="BD3" s="23">
        <v>-100</v>
      </c>
      <c r="BE3" s="23">
        <v>-100</v>
      </c>
      <c r="BF3" s="23">
        <v>-100</v>
      </c>
      <c r="BG3" s="23">
        <v>-100</v>
      </c>
      <c r="BH3" s="23">
        <v>0</v>
      </c>
      <c r="BI3" s="23">
        <v>0</v>
      </c>
      <c r="BJ3" s="23">
        <v>0</v>
      </c>
      <c r="BK3" s="23">
        <v>0</v>
      </c>
      <c r="BL3" s="23">
        <v>0</v>
      </c>
      <c r="BM3" s="23">
        <v>0</v>
      </c>
      <c r="BN3" s="23">
        <v>0</v>
      </c>
      <c r="BO3" s="23">
        <v>0</v>
      </c>
    </row>
    <row r="4" spans="1:67" x14ac:dyDescent="0.25">
      <c r="A4" s="22">
        <f>1</f>
        <v>1</v>
      </c>
      <c r="B4" t="s">
        <v>8</v>
      </c>
      <c r="C4">
        <v>100</v>
      </c>
      <c r="D4" s="21" t="s">
        <v>5</v>
      </c>
      <c r="E4" t="s">
        <v>27</v>
      </c>
      <c r="F4" t="s">
        <v>332</v>
      </c>
      <c r="G4" s="21">
        <f>COUNTIF(SCourse[Course],SCourse[[#This Row],[Course]])</f>
        <v>1</v>
      </c>
      <c r="I4" s="21">
        <f>COUNTIF(SCourse[Block],SCourse[[#This Row],[Block]])</f>
        <v>0</v>
      </c>
      <c r="J4" s="21">
        <v>1</v>
      </c>
      <c r="K4" s="21">
        <v>0</v>
      </c>
      <c r="L4" s="21">
        <v>0</v>
      </c>
      <c r="M4" s="21">
        <v>0</v>
      </c>
      <c r="N4" s="21">
        <v>0</v>
      </c>
      <c r="O4" s="21">
        <v>0</v>
      </c>
      <c r="P4" s="21">
        <v>0</v>
      </c>
      <c r="Q4" s="21">
        <v>0</v>
      </c>
      <c r="R4" s="21">
        <v>0</v>
      </c>
      <c r="S4" s="21">
        <v>0</v>
      </c>
      <c r="T4" s="21">
        <v>0</v>
      </c>
      <c r="U4" s="21">
        <v>0</v>
      </c>
      <c r="V4" s="21">
        <v>0</v>
      </c>
      <c r="W4" s="21">
        <v>0</v>
      </c>
      <c r="X4" s="21">
        <v>0</v>
      </c>
      <c r="Y4" s="21">
        <v>0</v>
      </c>
      <c r="Z4" s="21">
        <v>0</v>
      </c>
      <c r="AA4" s="21">
        <v>0</v>
      </c>
      <c r="AB4" s="21">
        <v>0</v>
      </c>
      <c r="AC4" s="21">
        <v>0</v>
      </c>
      <c r="AD4" s="21">
        <v>0</v>
      </c>
      <c r="AE4" s="21">
        <v>0</v>
      </c>
      <c r="AF4" s="21">
        <v>0</v>
      </c>
      <c r="AG4" s="21">
        <v>0</v>
      </c>
      <c r="AH4" s="21">
        <v>0</v>
      </c>
      <c r="AI4" s="21">
        <v>0</v>
      </c>
      <c r="AJ4" s="21">
        <v>0</v>
      </c>
      <c r="AK4" s="21">
        <v>-100</v>
      </c>
      <c r="AL4" s="21">
        <v>0</v>
      </c>
      <c r="AM4" s="21">
        <v>0</v>
      </c>
      <c r="AN4" s="23">
        <v>-100</v>
      </c>
      <c r="AO4" s="23">
        <v>-100</v>
      </c>
      <c r="AP4" s="23">
        <v>-100</v>
      </c>
      <c r="AQ4" s="23">
        <v>-100</v>
      </c>
      <c r="AR4" s="23">
        <v>-100</v>
      </c>
      <c r="AS4" s="23">
        <v>-100</v>
      </c>
      <c r="AT4" s="23">
        <v>-100</v>
      </c>
      <c r="AU4" s="23">
        <v>-100</v>
      </c>
      <c r="AV4" s="23">
        <v>-100</v>
      </c>
      <c r="AW4" s="23">
        <v>-100</v>
      </c>
      <c r="AX4" s="23">
        <v>-100</v>
      </c>
      <c r="AY4" s="23">
        <v>-100</v>
      </c>
      <c r="AZ4" s="23">
        <v>-100</v>
      </c>
      <c r="BA4" s="23">
        <v>-100</v>
      </c>
      <c r="BB4" s="23">
        <v>-100</v>
      </c>
      <c r="BC4" s="23">
        <v>-100</v>
      </c>
      <c r="BD4" s="23">
        <v>-100</v>
      </c>
      <c r="BE4" s="23">
        <v>-100</v>
      </c>
      <c r="BF4" s="23">
        <v>-100</v>
      </c>
      <c r="BG4" s="23">
        <v>-100</v>
      </c>
      <c r="BH4" s="23">
        <v>20</v>
      </c>
      <c r="BI4" s="23">
        <v>20</v>
      </c>
      <c r="BJ4" s="23">
        <v>20</v>
      </c>
      <c r="BK4" s="23">
        <v>20</v>
      </c>
      <c r="BL4" s="23">
        <v>20</v>
      </c>
      <c r="BM4" s="23">
        <v>-100</v>
      </c>
      <c r="BN4" s="23">
        <v>20</v>
      </c>
      <c r="BO4" s="23">
        <v>20</v>
      </c>
    </row>
    <row r="5" spans="1:67" x14ac:dyDescent="0.25">
      <c r="A5" s="22">
        <f>1</f>
        <v>1</v>
      </c>
      <c r="B5" t="s">
        <v>9</v>
      </c>
      <c r="C5">
        <v>100</v>
      </c>
      <c r="D5" s="21" t="s">
        <v>5</v>
      </c>
      <c r="E5" t="s">
        <v>28</v>
      </c>
      <c r="F5" t="s">
        <v>303</v>
      </c>
      <c r="G5" s="21">
        <f>COUNTIF(SCourse[Course],SCourse[[#This Row],[Course]])</f>
        <v>1</v>
      </c>
      <c r="I5" s="21">
        <f>COUNTIF(SCourse[Block],SCourse[[#This Row],[Block]])</f>
        <v>0</v>
      </c>
      <c r="J5" s="21">
        <v>1</v>
      </c>
      <c r="K5" s="21">
        <v>0</v>
      </c>
      <c r="L5" s="21">
        <v>0</v>
      </c>
      <c r="M5" s="21">
        <v>0</v>
      </c>
      <c r="N5" s="21">
        <v>0</v>
      </c>
      <c r="O5" s="21">
        <v>0</v>
      </c>
      <c r="P5" s="21">
        <v>0</v>
      </c>
      <c r="Q5" s="21">
        <v>0</v>
      </c>
      <c r="R5" s="21">
        <v>0</v>
      </c>
      <c r="S5" s="21">
        <v>0</v>
      </c>
      <c r="T5" s="21">
        <v>0</v>
      </c>
      <c r="U5" s="21">
        <v>0</v>
      </c>
      <c r="V5" s="21">
        <v>0</v>
      </c>
      <c r="W5" s="21">
        <v>0</v>
      </c>
      <c r="X5" s="21">
        <v>0</v>
      </c>
      <c r="Y5" s="21">
        <v>0</v>
      </c>
      <c r="Z5" s="21">
        <v>0</v>
      </c>
      <c r="AA5" s="21">
        <v>0</v>
      </c>
      <c r="AB5" s="21">
        <v>0</v>
      </c>
      <c r="AC5" s="21">
        <v>0</v>
      </c>
      <c r="AD5" s="21">
        <v>0</v>
      </c>
      <c r="AE5" s="21">
        <v>-100</v>
      </c>
      <c r="AF5" s="21">
        <v>0</v>
      </c>
      <c r="AG5" s="21">
        <v>0</v>
      </c>
      <c r="AH5" s="21">
        <v>0</v>
      </c>
      <c r="AI5" s="21">
        <v>0</v>
      </c>
      <c r="AJ5" s="21">
        <v>0</v>
      </c>
      <c r="AK5" s="21">
        <v>0</v>
      </c>
      <c r="AL5" s="21">
        <v>0</v>
      </c>
      <c r="AM5" s="21">
        <v>0</v>
      </c>
      <c r="AN5" s="23">
        <v>-100</v>
      </c>
      <c r="AO5" s="23">
        <v>-100</v>
      </c>
      <c r="AP5" s="23">
        <v>-100</v>
      </c>
      <c r="AQ5" s="23">
        <v>-100</v>
      </c>
      <c r="AR5" s="23">
        <v>-100</v>
      </c>
      <c r="AS5" s="23">
        <v>-100</v>
      </c>
      <c r="AT5" s="23">
        <v>-100</v>
      </c>
      <c r="AU5" s="23">
        <v>-100</v>
      </c>
      <c r="AV5" s="23">
        <v>-100</v>
      </c>
      <c r="AW5" s="23">
        <v>-100</v>
      </c>
      <c r="AX5" s="23">
        <v>-100</v>
      </c>
      <c r="AY5" s="23">
        <v>-100</v>
      </c>
      <c r="AZ5" s="23">
        <v>-100</v>
      </c>
      <c r="BA5" s="23">
        <v>-100</v>
      </c>
      <c r="BB5" s="23">
        <v>-100</v>
      </c>
      <c r="BC5" s="23">
        <v>-100</v>
      </c>
      <c r="BD5" s="23">
        <v>-100</v>
      </c>
      <c r="BE5" s="23">
        <v>-100</v>
      </c>
      <c r="BF5" s="23">
        <v>-100</v>
      </c>
      <c r="BG5" s="23">
        <v>-100</v>
      </c>
      <c r="BH5" s="23">
        <v>20</v>
      </c>
      <c r="BI5" s="23">
        <v>20</v>
      </c>
      <c r="BJ5" s="23">
        <v>20</v>
      </c>
      <c r="BK5" s="23">
        <v>20</v>
      </c>
      <c r="BL5" s="23">
        <v>20</v>
      </c>
      <c r="BM5" s="23">
        <v>20</v>
      </c>
      <c r="BN5" s="23">
        <v>20</v>
      </c>
      <c r="BO5" s="23">
        <v>20</v>
      </c>
    </row>
    <row r="6" spans="1:67" x14ac:dyDescent="0.25">
      <c r="A6" s="22">
        <f>1</f>
        <v>1</v>
      </c>
      <c r="B6" t="s">
        <v>10</v>
      </c>
      <c r="C6">
        <v>100</v>
      </c>
      <c r="D6" s="21" t="s">
        <v>5</v>
      </c>
      <c r="E6" t="s">
        <v>29</v>
      </c>
      <c r="F6" t="s">
        <v>320</v>
      </c>
      <c r="G6" s="21">
        <f>COUNTIF(SCourse[Course],SCourse[[#This Row],[Course]])</f>
        <v>1</v>
      </c>
      <c r="I6" s="21">
        <f>COUNTIF(SCourse[Block],SCourse[[#This Row],[Block]])</f>
        <v>0</v>
      </c>
      <c r="J6" s="21">
        <v>1</v>
      </c>
      <c r="K6" s="21">
        <v>0</v>
      </c>
      <c r="L6" s="21">
        <v>0</v>
      </c>
      <c r="M6" s="21">
        <v>0</v>
      </c>
      <c r="N6" s="21">
        <v>0</v>
      </c>
      <c r="O6" s="21">
        <v>0</v>
      </c>
      <c r="P6" s="21">
        <v>0</v>
      </c>
      <c r="Q6" s="21">
        <v>0</v>
      </c>
      <c r="R6" s="21">
        <v>0</v>
      </c>
      <c r="S6" s="21">
        <v>0</v>
      </c>
      <c r="T6" s="21">
        <v>0</v>
      </c>
      <c r="U6" s="21">
        <v>0</v>
      </c>
      <c r="V6" s="21">
        <v>0</v>
      </c>
      <c r="W6" s="21">
        <v>0</v>
      </c>
      <c r="X6" s="21">
        <v>0</v>
      </c>
      <c r="Y6" s="21">
        <v>0</v>
      </c>
      <c r="Z6" s="21">
        <v>0</v>
      </c>
      <c r="AA6" s="21">
        <v>0</v>
      </c>
      <c r="AB6" s="21">
        <v>-100</v>
      </c>
      <c r="AC6" s="21">
        <v>0</v>
      </c>
      <c r="AD6" s="21">
        <v>0</v>
      </c>
      <c r="AE6" s="21">
        <v>0</v>
      </c>
      <c r="AF6" s="21">
        <v>0</v>
      </c>
      <c r="AG6" s="21">
        <v>0</v>
      </c>
      <c r="AH6" s="21">
        <v>0</v>
      </c>
      <c r="AI6" s="21">
        <v>0</v>
      </c>
      <c r="AJ6" s="21">
        <v>0</v>
      </c>
      <c r="AK6" s="21">
        <v>0</v>
      </c>
      <c r="AL6" s="21">
        <v>0</v>
      </c>
      <c r="AM6" s="21">
        <v>0</v>
      </c>
      <c r="AN6" s="23">
        <v>-100</v>
      </c>
      <c r="AO6" s="23">
        <v>-100</v>
      </c>
      <c r="AP6" s="23">
        <v>-100</v>
      </c>
      <c r="AQ6" s="23">
        <v>-100</v>
      </c>
      <c r="AR6" s="23">
        <v>-100</v>
      </c>
      <c r="AS6" s="23">
        <v>-100</v>
      </c>
      <c r="AT6" s="23">
        <v>-100</v>
      </c>
      <c r="AU6" s="23">
        <v>-100</v>
      </c>
      <c r="AV6" s="23">
        <v>-100</v>
      </c>
      <c r="AW6" s="23">
        <v>-100</v>
      </c>
      <c r="AX6" s="23">
        <v>-100</v>
      </c>
      <c r="AY6" s="23">
        <v>-100</v>
      </c>
      <c r="AZ6" s="23">
        <v>-100</v>
      </c>
      <c r="BA6" s="23">
        <v>-100</v>
      </c>
      <c r="BB6" s="23">
        <v>-100</v>
      </c>
      <c r="BC6" s="23">
        <v>-100</v>
      </c>
      <c r="BD6" s="23">
        <v>-100</v>
      </c>
      <c r="BE6" s="23">
        <v>-100</v>
      </c>
      <c r="BF6" s="23">
        <v>-100</v>
      </c>
      <c r="BG6" s="23">
        <v>-100</v>
      </c>
      <c r="BH6" s="23">
        <v>20</v>
      </c>
      <c r="BI6" s="23">
        <v>20</v>
      </c>
      <c r="BJ6" s="23">
        <v>20</v>
      </c>
      <c r="BK6" s="23">
        <v>20</v>
      </c>
      <c r="BL6" s="23">
        <v>20</v>
      </c>
      <c r="BM6" s="23">
        <v>20</v>
      </c>
      <c r="BN6" s="23">
        <v>20</v>
      </c>
      <c r="BO6" s="23">
        <v>20</v>
      </c>
    </row>
    <row r="7" spans="1:67" x14ac:dyDescent="0.25">
      <c r="A7" s="22">
        <f>1</f>
        <v>1</v>
      </c>
      <c r="B7" t="s">
        <v>11</v>
      </c>
      <c r="C7">
        <v>100</v>
      </c>
      <c r="D7" s="21" t="s">
        <v>5</v>
      </c>
      <c r="E7" t="s">
        <v>205</v>
      </c>
      <c r="F7" t="s">
        <v>341</v>
      </c>
      <c r="G7" s="21">
        <f>COUNTIF(SCourse[Course],SCourse[[#This Row],[Course]])</f>
        <v>1</v>
      </c>
      <c r="I7" s="21">
        <f>COUNTIF(SCourse[Block],SCourse[[#This Row],[Block]])</f>
        <v>0</v>
      </c>
      <c r="J7" s="21">
        <v>1</v>
      </c>
      <c r="K7" s="21">
        <v>0</v>
      </c>
      <c r="L7" s="21">
        <v>0</v>
      </c>
      <c r="M7" s="21">
        <v>0</v>
      </c>
      <c r="N7" s="21">
        <v>0</v>
      </c>
      <c r="O7" s="21">
        <v>0</v>
      </c>
      <c r="P7" s="21">
        <v>0</v>
      </c>
      <c r="Q7" s="21">
        <v>0</v>
      </c>
      <c r="R7" s="21">
        <v>0</v>
      </c>
      <c r="S7" s="21">
        <v>0</v>
      </c>
      <c r="T7" s="21">
        <v>-100</v>
      </c>
      <c r="U7" s="21">
        <v>0</v>
      </c>
      <c r="V7" s="21">
        <v>0</v>
      </c>
      <c r="W7" s="21">
        <v>0</v>
      </c>
      <c r="X7" s="21">
        <v>0</v>
      </c>
      <c r="Y7" s="21">
        <v>0</v>
      </c>
      <c r="Z7" s="21">
        <v>0</v>
      </c>
      <c r="AA7" s="21">
        <v>0</v>
      </c>
      <c r="AB7" s="21">
        <v>0</v>
      </c>
      <c r="AC7" s="21">
        <v>0</v>
      </c>
      <c r="AD7" s="21">
        <v>0</v>
      </c>
      <c r="AE7" s="21">
        <v>0</v>
      </c>
      <c r="AF7" s="21">
        <v>0</v>
      </c>
      <c r="AG7" s="21">
        <v>0</v>
      </c>
      <c r="AH7" s="21">
        <v>0</v>
      </c>
      <c r="AI7" s="21">
        <v>0</v>
      </c>
      <c r="AJ7" s="21">
        <v>0</v>
      </c>
      <c r="AK7" s="21">
        <v>0</v>
      </c>
      <c r="AL7" s="21">
        <v>0</v>
      </c>
      <c r="AM7" s="21">
        <v>0</v>
      </c>
      <c r="AN7" s="23">
        <v>-100</v>
      </c>
      <c r="AO7" s="23">
        <v>-100</v>
      </c>
      <c r="AP7" s="23">
        <v>-100</v>
      </c>
      <c r="AQ7" s="23">
        <v>-100</v>
      </c>
      <c r="AR7" s="23">
        <v>-100</v>
      </c>
      <c r="AS7" s="23">
        <v>-100</v>
      </c>
      <c r="AT7" s="23">
        <v>-100</v>
      </c>
      <c r="AU7" s="23">
        <v>-100</v>
      </c>
      <c r="AV7" s="23">
        <v>-100</v>
      </c>
      <c r="AW7" s="23">
        <v>-100</v>
      </c>
      <c r="AX7" s="23">
        <v>-100</v>
      </c>
      <c r="AY7" s="23">
        <v>-100</v>
      </c>
      <c r="AZ7" s="23">
        <v>-100</v>
      </c>
      <c r="BA7" s="23">
        <v>-100</v>
      </c>
      <c r="BB7" s="23">
        <v>-100</v>
      </c>
      <c r="BC7" s="23">
        <v>-100</v>
      </c>
      <c r="BD7" s="23">
        <v>-100</v>
      </c>
      <c r="BE7" s="23">
        <v>-100</v>
      </c>
      <c r="BF7" s="23">
        <v>-100</v>
      </c>
      <c r="BG7" s="23">
        <v>-100</v>
      </c>
      <c r="BH7" s="23">
        <v>20</v>
      </c>
      <c r="BI7" s="23">
        <v>20</v>
      </c>
      <c r="BJ7" s="23">
        <v>20</v>
      </c>
      <c r="BK7" s="23">
        <v>20</v>
      </c>
      <c r="BL7" s="23">
        <v>20</v>
      </c>
      <c r="BM7" s="23">
        <v>20</v>
      </c>
      <c r="BN7" s="23">
        <v>20</v>
      </c>
      <c r="BO7" s="23">
        <v>20</v>
      </c>
    </row>
    <row r="8" spans="1:67" x14ac:dyDescent="0.25">
      <c r="A8" s="22">
        <f>1</f>
        <v>1</v>
      </c>
      <c r="B8" t="s">
        <v>12</v>
      </c>
      <c r="C8">
        <v>100</v>
      </c>
      <c r="D8" s="21" t="s">
        <v>5</v>
      </c>
      <c r="E8" t="s">
        <v>206</v>
      </c>
      <c r="F8" t="s">
        <v>338</v>
      </c>
      <c r="G8" s="21">
        <f>COUNTIF(SCourse[Course],SCourse[[#This Row],[Course]])</f>
        <v>1</v>
      </c>
      <c r="I8" s="21">
        <f>COUNTIF(SCourse[Block],SCourse[[#This Row],[Block]])</f>
        <v>0</v>
      </c>
      <c r="J8" s="21">
        <v>3</v>
      </c>
      <c r="K8" s="21">
        <v>0</v>
      </c>
      <c r="L8" s="21">
        <v>0</v>
      </c>
      <c r="M8" s="21">
        <v>0</v>
      </c>
      <c r="N8" s="21">
        <v>60</v>
      </c>
      <c r="O8" s="21">
        <v>0</v>
      </c>
      <c r="P8" s="21">
        <v>0</v>
      </c>
      <c r="Q8" s="21">
        <v>0</v>
      </c>
      <c r="R8" s="21">
        <v>40</v>
      </c>
      <c r="S8" s="21">
        <v>0</v>
      </c>
      <c r="T8" s="21">
        <v>0</v>
      </c>
      <c r="U8" s="21">
        <v>0</v>
      </c>
      <c r="V8" s="21">
        <v>0</v>
      </c>
      <c r="W8" s="21">
        <v>0</v>
      </c>
      <c r="X8" s="21">
        <v>-100</v>
      </c>
      <c r="Y8" s="21">
        <v>0</v>
      </c>
      <c r="Z8" s="21">
        <v>0</v>
      </c>
      <c r="AA8" s="21">
        <v>0</v>
      </c>
      <c r="AB8" s="21">
        <v>0</v>
      </c>
      <c r="AC8" s="21">
        <v>0</v>
      </c>
      <c r="AD8" s="21">
        <v>0</v>
      </c>
      <c r="AE8" s="21">
        <v>0</v>
      </c>
      <c r="AF8" s="21">
        <v>0</v>
      </c>
      <c r="AG8" s="21">
        <v>0</v>
      </c>
      <c r="AH8" s="21">
        <v>0</v>
      </c>
      <c r="AI8" s="21">
        <v>0</v>
      </c>
      <c r="AJ8" s="21">
        <v>0</v>
      </c>
      <c r="AK8" s="21">
        <v>0</v>
      </c>
      <c r="AL8" s="21">
        <v>0</v>
      </c>
      <c r="AM8" s="21">
        <v>0</v>
      </c>
      <c r="AN8" s="23">
        <v>-100</v>
      </c>
      <c r="AO8" s="23">
        <v>-100</v>
      </c>
      <c r="AP8" s="23">
        <v>-100</v>
      </c>
      <c r="AQ8" s="23">
        <v>-100</v>
      </c>
      <c r="AR8" s="23">
        <v>-100</v>
      </c>
      <c r="AS8" s="23">
        <v>-100</v>
      </c>
      <c r="AT8" s="23">
        <v>-100</v>
      </c>
      <c r="AU8" s="23">
        <v>-100</v>
      </c>
      <c r="AV8" s="23">
        <v>-100</v>
      </c>
      <c r="AW8" s="23">
        <v>-100</v>
      </c>
      <c r="AX8" s="23">
        <v>-100</v>
      </c>
      <c r="AY8" s="23">
        <v>-100</v>
      </c>
      <c r="AZ8" s="23">
        <v>-100</v>
      </c>
      <c r="BA8" s="23">
        <v>-100</v>
      </c>
      <c r="BB8" s="23">
        <v>-100</v>
      </c>
      <c r="BC8" s="23">
        <v>-100</v>
      </c>
      <c r="BD8" s="23">
        <v>-100</v>
      </c>
      <c r="BE8" s="23">
        <v>-100</v>
      </c>
      <c r="BF8" s="23">
        <v>-100</v>
      </c>
      <c r="BG8" s="23">
        <v>-100</v>
      </c>
      <c r="BH8" s="23">
        <v>0</v>
      </c>
      <c r="BI8" s="23">
        <v>0</v>
      </c>
      <c r="BJ8" s="23">
        <v>0</v>
      </c>
      <c r="BK8" s="23">
        <v>0</v>
      </c>
      <c r="BL8" s="23">
        <v>0</v>
      </c>
      <c r="BM8" s="23">
        <v>0</v>
      </c>
      <c r="BN8" s="23">
        <v>0</v>
      </c>
      <c r="BO8" s="23">
        <v>0</v>
      </c>
    </row>
    <row r="9" spans="1:67" x14ac:dyDescent="0.25">
      <c r="A9" s="22">
        <f>1</f>
        <v>1</v>
      </c>
      <c r="B9" t="s">
        <v>13</v>
      </c>
      <c r="C9">
        <v>100</v>
      </c>
      <c r="D9" s="21" t="s">
        <v>5</v>
      </c>
      <c r="E9" t="s">
        <v>207</v>
      </c>
      <c r="F9" t="s">
        <v>294</v>
      </c>
      <c r="G9" s="21">
        <f>COUNTIF(SCourse[Course],SCourse[[#This Row],[Course]])</f>
        <v>1</v>
      </c>
      <c r="I9" s="21">
        <f>COUNTIF(SCourse[Block],SCourse[[#This Row],[Block]])</f>
        <v>0</v>
      </c>
      <c r="J9" s="21">
        <v>1</v>
      </c>
      <c r="K9" s="21">
        <v>0</v>
      </c>
      <c r="L9" s="21">
        <v>0</v>
      </c>
      <c r="M9" s="21">
        <v>0</v>
      </c>
      <c r="N9" s="21">
        <v>0</v>
      </c>
      <c r="O9" s="21">
        <v>0</v>
      </c>
      <c r="P9" s="21">
        <v>-100</v>
      </c>
      <c r="Q9" s="21">
        <v>0</v>
      </c>
      <c r="R9" s="21">
        <v>0</v>
      </c>
      <c r="S9" s="21">
        <v>0</v>
      </c>
      <c r="T9" s="21">
        <v>0</v>
      </c>
      <c r="U9" s="21">
        <v>0</v>
      </c>
      <c r="V9" s="21">
        <v>0</v>
      </c>
      <c r="W9" s="21">
        <v>0</v>
      </c>
      <c r="X9" s="21">
        <v>0</v>
      </c>
      <c r="Y9" s="21">
        <v>0</v>
      </c>
      <c r="Z9" s="21">
        <v>0</v>
      </c>
      <c r="AA9" s="21">
        <v>0</v>
      </c>
      <c r="AB9" s="21">
        <v>0</v>
      </c>
      <c r="AC9" s="21">
        <v>0</v>
      </c>
      <c r="AD9" s="21">
        <v>0</v>
      </c>
      <c r="AE9" s="21">
        <v>0</v>
      </c>
      <c r="AF9" s="21">
        <v>0</v>
      </c>
      <c r="AG9" s="21">
        <v>0</v>
      </c>
      <c r="AH9" s="21">
        <v>0</v>
      </c>
      <c r="AI9" s="21">
        <v>0</v>
      </c>
      <c r="AJ9" s="21">
        <v>0</v>
      </c>
      <c r="AK9" s="21">
        <v>0</v>
      </c>
      <c r="AL9" s="21">
        <v>0</v>
      </c>
      <c r="AM9" s="21">
        <v>0</v>
      </c>
      <c r="AN9" s="23">
        <v>-100</v>
      </c>
      <c r="AO9" s="23">
        <v>-100</v>
      </c>
      <c r="AP9" s="23">
        <v>-100</v>
      </c>
      <c r="AQ9" s="23">
        <v>-100</v>
      </c>
      <c r="AR9" s="23">
        <v>-100</v>
      </c>
      <c r="AS9" s="23">
        <v>-100</v>
      </c>
      <c r="AT9" s="23">
        <v>-100</v>
      </c>
      <c r="AU9" s="23">
        <v>-100</v>
      </c>
      <c r="AV9" s="23">
        <v>-100</v>
      </c>
      <c r="AW9" s="23">
        <v>-100</v>
      </c>
      <c r="AX9" s="23">
        <v>-100</v>
      </c>
      <c r="AY9" s="23">
        <v>-100</v>
      </c>
      <c r="AZ9" s="23">
        <v>-100</v>
      </c>
      <c r="BA9" s="23">
        <v>-100</v>
      </c>
      <c r="BB9" s="23">
        <v>-100</v>
      </c>
      <c r="BC9" s="23">
        <v>-100</v>
      </c>
      <c r="BD9" s="23">
        <v>-100</v>
      </c>
      <c r="BE9" s="23">
        <v>-100</v>
      </c>
      <c r="BF9" s="23">
        <v>-100</v>
      </c>
      <c r="BG9" s="23">
        <v>-100</v>
      </c>
      <c r="BH9" s="23">
        <v>20</v>
      </c>
      <c r="BI9" s="23">
        <v>20</v>
      </c>
      <c r="BJ9" s="23">
        <v>20</v>
      </c>
      <c r="BK9" s="23">
        <v>20</v>
      </c>
      <c r="BL9" s="23">
        <v>20</v>
      </c>
      <c r="BM9" s="23">
        <v>20</v>
      </c>
      <c r="BN9" s="23">
        <v>20</v>
      </c>
      <c r="BO9" s="23">
        <v>20</v>
      </c>
    </row>
    <row r="10" spans="1:67" x14ac:dyDescent="0.25">
      <c r="A10" s="22">
        <f>1</f>
        <v>1</v>
      </c>
      <c r="B10" t="s">
        <v>14</v>
      </c>
      <c r="C10">
        <v>100</v>
      </c>
      <c r="D10" s="21" t="s">
        <v>5</v>
      </c>
      <c r="E10" t="s">
        <v>208</v>
      </c>
      <c r="F10" t="s">
        <v>339</v>
      </c>
      <c r="G10" s="21">
        <f>COUNTIF(SCourse[Course],SCourse[[#This Row],[Course]])</f>
        <v>1</v>
      </c>
      <c r="I10" s="21">
        <f>COUNTIF(SCourse[Block],SCourse[[#This Row],[Block]])</f>
        <v>0</v>
      </c>
      <c r="J10" s="21">
        <v>1</v>
      </c>
      <c r="K10" s="21">
        <v>0</v>
      </c>
      <c r="L10" s="21">
        <v>0</v>
      </c>
      <c r="M10" s="21">
        <v>0</v>
      </c>
      <c r="N10" s="21">
        <v>0</v>
      </c>
      <c r="O10" s="21">
        <v>0</v>
      </c>
      <c r="P10" s="21">
        <v>0</v>
      </c>
      <c r="Q10" s="21">
        <v>0</v>
      </c>
      <c r="R10" s="21">
        <v>0</v>
      </c>
      <c r="S10" s="21">
        <v>0</v>
      </c>
      <c r="T10" s="21">
        <v>0</v>
      </c>
      <c r="U10" s="21">
        <v>-100</v>
      </c>
      <c r="V10" s="21">
        <v>0</v>
      </c>
      <c r="W10" s="21">
        <v>0</v>
      </c>
      <c r="X10" s="21">
        <v>0</v>
      </c>
      <c r="Y10" s="21">
        <v>0</v>
      </c>
      <c r="Z10" s="21">
        <v>0</v>
      </c>
      <c r="AA10" s="21">
        <v>0</v>
      </c>
      <c r="AB10" s="21">
        <v>0</v>
      </c>
      <c r="AC10" s="21">
        <v>0</v>
      </c>
      <c r="AD10" s="21">
        <v>0</v>
      </c>
      <c r="AE10" s="21">
        <v>0</v>
      </c>
      <c r="AF10" s="21">
        <v>0</v>
      </c>
      <c r="AG10" s="21">
        <v>0</v>
      </c>
      <c r="AH10" s="21">
        <v>0</v>
      </c>
      <c r="AI10" s="21">
        <v>0</v>
      </c>
      <c r="AJ10" s="21">
        <v>0</v>
      </c>
      <c r="AK10" s="21">
        <v>0</v>
      </c>
      <c r="AL10" s="21">
        <v>0</v>
      </c>
      <c r="AM10" s="21">
        <v>0</v>
      </c>
      <c r="AN10" s="23">
        <v>-100</v>
      </c>
      <c r="AO10" s="23">
        <v>-100</v>
      </c>
      <c r="AP10" s="23">
        <v>-100</v>
      </c>
      <c r="AQ10" s="23">
        <v>-100</v>
      </c>
      <c r="AR10" s="23">
        <v>-100</v>
      </c>
      <c r="AS10" s="23">
        <v>-100</v>
      </c>
      <c r="AT10" s="23">
        <v>-100</v>
      </c>
      <c r="AU10" s="23">
        <v>-100</v>
      </c>
      <c r="AV10" s="23">
        <v>-100</v>
      </c>
      <c r="AW10" s="23">
        <v>-100</v>
      </c>
      <c r="AX10" s="23">
        <v>-100</v>
      </c>
      <c r="AY10" s="23">
        <v>-100</v>
      </c>
      <c r="AZ10" s="23">
        <v>-100</v>
      </c>
      <c r="BA10" s="23">
        <v>-100</v>
      </c>
      <c r="BB10" s="23">
        <v>-100</v>
      </c>
      <c r="BC10" s="23">
        <v>-100</v>
      </c>
      <c r="BD10" s="23">
        <v>-100</v>
      </c>
      <c r="BE10" s="23">
        <v>-100</v>
      </c>
      <c r="BF10" s="23">
        <v>-100</v>
      </c>
      <c r="BG10" s="23">
        <v>-100</v>
      </c>
      <c r="BH10" s="23">
        <v>20</v>
      </c>
      <c r="BI10" s="23">
        <v>20</v>
      </c>
      <c r="BJ10" s="23">
        <v>20</v>
      </c>
      <c r="BK10" s="23">
        <v>20</v>
      </c>
      <c r="BL10" s="23">
        <v>20</v>
      </c>
      <c r="BM10" s="23">
        <v>20</v>
      </c>
      <c r="BN10" s="23">
        <v>20</v>
      </c>
      <c r="BO10" s="23">
        <v>20</v>
      </c>
    </row>
    <row r="11" spans="1:67" x14ac:dyDescent="0.25">
      <c r="A11" s="22">
        <f>1</f>
        <v>1</v>
      </c>
      <c r="B11" t="s">
        <v>15</v>
      </c>
      <c r="C11">
        <v>100</v>
      </c>
      <c r="D11" s="21" t="s">
        <v>5</v>
      </c>
      <c r="E11" t="s">
        <v>209</v>
      </c>
      <c r="F11" t="s">
        <v>308</v>
      </c>
      <c r="G11" s="21">
        <f>COUNTIF(SCourse[Course],SCourse[[#This Row],[Course]])</f>
        <v>1</v>
      </c>
      <c r="I11" s="21">
        <f>COUNTIF(SCourse[Block],SCourse[[#This Row],[Block]])</f>
        <v>0</v>
      </c>
      <c r="J11" s="21">
        <v>1</v>
      </c>
      <c r="K11" s="21">
        <v>0</v>
      </c>
      <c r="L11" s="21">
        <v>0</v>
      </c>
      <c r="M11" s="21">
        <v>0</v>
      </c>
      <c r="N11" s="21">
        <v>0</v>
      </c>
      <c r="O11" s="21">
        <v>0</v>
      </c>
      <c r="P11" s="21">
        <v>0</v>
      </c>
      <c r="Q11" s="21">
        <v>0</v>
      </c>
      <c r="R11" s="21">
        <v>0</v>
      </c>
      <c r="S11" s="21">
        <v>0</v>
      </c>
      <c r="T11" s="21">
        <v>0</v>
      </c>
      <c r="U11" s="21">
        <v>0</v>
      </c>
      <c r="V11" s="21">
        <v>0</v>
      </c>
      <c r="W11" s="21">
        <v>0</v>
      </c>
      <c r="X11" s="21">
        <v>0</v>
      </c>
      <c r="Y11" s="21">
        <v>0</v>
      </c>
      <c r="Z11" s="21">
        <v>0</v>
      </c>
      <c r="AA11" s="21">
        <v>0</v>
      </c>
      <c r="AB11" s="21">
        <v>0</v>
      </c>
      <c r="AC11" s="21">
        <v>0</v>
      </c>
      <c r="AD11" s="21">
        <v>0</v>
      </c>
      <c r="AE11" s="21">
        <v>0</v>
      </c>
      <c r="AF11" s="21">
        <v>0</v>
      </c>
      <c r="AG11" s="21">
        <v>-100</v>
      </c>
      <c r="AH11" s="21">
        <v>0</v>
      </c>
      <c r="AI11" s="21">
        <v>0</v>
      </c>
      <c r="AJ11" s="21">
        <v>0</v>
      </c>
      <c r="AK11" s="21">
        <v>0</v>
      </c>
      <c r="AL11" s="21">
        <v>0</v>
      </c>
      <c r="AM11" s="21">
        <v>0</v>
      </c>
      <c r="AN11" s="23">
        <v>-100</v>
      </c>
      <c r="AO11" s="23">
        <v>-100</v>
      </c>
      <c r="AP11" s="23">
        <v>-100</v>
      </c>
      <c r="AQ11" s="23">
        <v>-100</v>
      </c>
      <c r="AR11" s="23">
        <v>-100</v>
      </c>
      <c r="AS11" s="23">
        <v>-100</v>
      </c>
      <c r="AT11" s="23">
        <v>-100</v>
      </c>
      <c r="AU11" s="23">
        <v>-100</v>
      </c>
      <c r="AV11" s="23">
        <v>-100</v>
      </c>
      <c r="AW11" s="23">
        <v>-100</v>
      </c>
      <c r="AX11" s="23">
        <v>-100</v>
      </c>
      <c r="AY11" s="23">
        <v>-100</v>
      </c>
      <c r="AZ11" s="23">
        <v>-100</v>
      </c>
      <c r="BA11" s="23">
        <v>-100</v>
      </c>
      <c r="BB11" s="23">
        <v>-100</v>
      </c>
      <c r="BC11" s="23">
        <v>-100</v>
      </c>
      <c r="BD11" s="23">
        <v>-100</v>
      </c>
      <c r="BE11" s="23">
        <v>-100</v>
      </c>
      <c r="BF11" s="23">
        <v>-100</v>
      </c>
      <c r="BG11" s="23">
        <v>-100</v>
      </c>
      <c r="BH11" s="23">
        <v>20</v>
      </c>
      <c r="BI11" s="23">
        <v>-100</v>
      </c>
      <c r="BJ11" s="23">
        <v>20</v>
      </c>
      <c r="BK11" s="23">
        <v>20</v>
      </c>
      <c r="BL11" s="23">
        <v>20</v>
      </c>
      <c r="BM11" s="23">
        <v>20</v>
      </c>
      <c r="BN11" s="23">
        <v>20</v>
      </c>
      <c r="BO11" s="23">
        <v>20</v>
      </c>
    </row>
    <row r="12" spans="1:67" x14ac:dyDescent="0.25">
      <c r="A12" s="22">
        <f>1</f>
        <v>1</v>
      </c>
      <c r="B12" t="s">
        <v>16</v>
      </c>
      <c r="C12">
        <v>100</v>
      </c>
      <c r="D12" s="21" t="s">
        <v>5</v>
      </c>
      <c r="E12" t="s">
        <v>210</v>
      </c>
      <c r="F12" t="s">
        <v>335</v>
      </c>
      <c r="G12" s="21">
        <f>COUNTIF(SCourse[Course],SCourse[[#This Row],[Course]])</f>
        <v>1</v>
      </c>
      <c r="I12" s="21">
        <f>COUNTIF(SCourse[Block],SCourse[[#This Row],[Block]])</f>
        <v>0</v>
      </c>
      <c r="J12" s="21">
        <v>1</v>
      </c>
      <c r="K12" s="21">
        <v>0</v>
      </c>
      <c r="L12" s="21">
        <v>0</v>
      </c>
      <c r="M12" s="21">
        <v>-100</v>
      </c>
      <c r="N12" s="21">
        <v>0</v>
      </c>
      <c r="O12" s="21">
        <v>0</v>
      </c>
      <c r="P12" s="21">
        <v>0</v>
      </c>
      <c r="Q12" s="21">
        <v>0</v>
      </c>
      <c r="R12" s="21">
        <v>0</v>
      </c>
      <c r="S12" s="21">
        <v>0</v>
      </c>
      <c r="T12" s="21">
        <v>0</v>
      </c>
      <c r="U12" s="21">
        <v>0</v>
      </c>
      <c r="V12" s="21">
        <v>0</v>
      </c>
      <c r="W12" s="21">
        <v>0</v>
      </c>
      <c r="X12" s="21">
        <v>0</v>
      </c>
      <c r="Y12" s="21">
        <v>0</v>
      </c>
      <c r="Z12" s="21">
        <v>0</v>
      </c>
      <c r="AA12" s="21">
        <v>0</v>
      </c>
      <c r="AB12" s="21">
        <v>0</v>
      </c>
      <c r="AC12" s="21">
        <v>0</v>
      </c>
      <c r="AD12" s="21">
        <v>0</v>
      </c>
      <c r="AE12" s="21">
        <v>0</v>
      </c>
      <c r="AF12" s="21">
        <v>0</v>
      </c>
      <c r="AG12" s="21">
        <v>0</v>
      </c>
      <c r="AH12" s="21">
        <v>0</v>
      </c>
      <c r="AI12" s="21">
        <v>0</v>
      </c>
      <c r="AJ12" s="21">
        <v>0</v>
      </c>
      <c r="AK12" s="21">
        <v>0</v>
      </c>
      <c r="AL12" s="21">
        <v>0</v>
      </c>
      <c r="AM12" s="21">
        <v>0</v>
      </c>
      <c r="AN12" s="23">
        <v>-100</v>
      </c>
      <c r="AO12" s="23">
        <v>-100</v>
      </c>
      <c r="AP12" s="23">
        <v>-100</v>
      </c>
      <c r="AQ12" s="23">
        <v>-100</v>
      </c>
      <c r="AR12" s="23">
        <v>-100</v>
      </c>
      <c r="AS12" s="23">
        <v>-100</v>
      </c>
      <c r="AT12" s="23">
        <v>-100</v>
      </c>
      <c r="AU12" s="23">
        <v>-100</v>
      </c>
      <c r="AV12" s="23">
        <v>-100</v>
      </c>
      <c r="AW12" s="23">
        <v>-100</v>
      </c>
      <c r="AX12" s="23">
        <v>-100</v>
      </c>
      <c r="AY12" s="23">
        <v>-100</v>
      </c>
      <c r="AZ12" s="23">
        <v>-100</v>
      </c>
      <c r="BA12" s="23">
        <v>-100</v>
      </c>
      <c r="BB12" s="23">
        <v>-100</v>
      </c>
      <c r="BC12" s="23">
        <v>-100</v>
      </c>
      <c r="BD12" s="23">
        <v>-100</v>
      </c>
      <c r="BE12" s="23">
        <v>-100</v>
      </c>
      <c r="BF12" s="23">
        <v>-100</v>
      </c>
      <c r="BG12" s="23">
        <v>-100</v>
      </c>
      <c r="BH12" s="23">
        <v>20</v>
      </c>
      <c r="BI12" s="23">
        <v>20</v>
      </c>
      <c r="BJ12" s="23">
        <v>20</v>
      </c>
      <c r="BK12" s="23">
        <v>20</v>
      </c>
      <c r="BL12" s="23">
        <v>20</v>
      </c>
      <c r="BM12" s="23">
        <v>20</v>
      </c>
      <c r="BN12" s="23">
        <v>20</v>
      </c>
      <c r="BO12" s="23">
        <v>20</v>
      </c>
    </row>
    <row r="13" spans="1:67" x14ac:dyDescent="0.25">
      <c r="A13" s="22">
        <f>1</f>
        <v>1</v>
      </c>
      <c r="B13" t="s">
        <v>17</v>
      </c>
      <c r="C13">
        <v>100</v>
      </c>
      <c r="D13" s="21" t="s">
        <v>5</v>
      </c>
      <c r="E13" t="s">
        <v>211</v>
      </c>
      <c r="F13" t="s">
        <v>324</v>
      </c>
      <c r="G13" s="21">
        <f>COUNTIF(SCourse[Course],SCourse[[#This Row],[Course]])</f>
        <v>1</v>
      </c>
      <c r="I13" s="21">
        <f>COUNTIF(SCourse[Block],SCourse[[#This Row],[Block]])</f>
        <v>0</v>
      </c>
      <c r="J13" s="21">
        <v>1</v>
      </c>
      <c r="K13" s="21">
        <v>0</v>
      </c>
      <c r="L13" s="21">
        <v>0</v>
      </c>
      <c r="M13" s="21">
        <v>0</v>
      </c>
      <c r="N13" s="21">
        <v>0</v>
      </c>
      <c r="O13" s="21">
        <v>0</v>
      </c>
      <c r="P13" s="21">
        <v>0</v>
      </c>
      <c r="Q13" s="21">
        <v>0</v>
      </c>
      <c r="R13" s="21">
        <v>0</v>
      </c>
      <c r="S13" s="21">
        <v>0</v>
      </c>
      <c r="T13" s="21">
        <v>0</v>
      </c>
      <c r="U13" s="21">
        <v>0</v>
      </c>
      <c r="V13" s="21">
        <v>0</v>
      </c>
      <c r="W13" s="21">
        <v>0</v>
      </c>
      <c r="X13" s="21">
        <v>0</v>
      </c>
      <c r="Y13" s="21">
        <v>0</v>
      </c>
      <c r="Z13" s="21">
        <v>-100</v>
      </c>
      <c r="AA13" s="21">
        <v>0</v>
      </c>
      <c r="AB13" s="21">
        <v>0</v>
      </c>
      <c r="AC13" s="21">
        <v>0</v>
      </c>
      <c r="AD13" s="21">
        <v>0</v>
      </c>
      <c r="AE13" s="21">
        <v>0</v>
      </c>
      <c r="AF13" s="21">
        <v>0</v>
      </c>
      <c r="AG13" s="21">
        <v>0</v>
      </c>
      <c r="AH13" s="21">
        <v>0</v>
      </c>
      <c r="AI13" s="21">
        <v>0</v>
      </c>
      <c r="AJ13" s="21">
        <v>0</v>
      </c>
      <c r="AK13" s="21">
        <v>0</v>
      </c>
      <c r="AL13" s="21">
        <v>0</v>
      </c>
      <c r="AM13" s="21">
        <v>0</v>
      </c>
      <c r="AN13" s="23">
        <v>-100</v>
      </c>
      <c r="AO13" s="23">
        <v>-100</v>
      </c>
      <c r="AP13" s="23">
        <v>-100</v>
      </c>
      <c r="AQ13" s="23">
        <v>-100</v>
      </c>
      <c r="AR13" s="23">
        <v>-100</v>
      </c>
      <c r="AS13" s="23">
        <v>-100</v>
      </c>
      <c r="AT13" s="23">
        <v>-100</v>
      </c>
      <c r="AU13" s="23">
        <v>-100</v>
      </c>
      <c r="AV13" s="23">
        <v>-100</v>
      </c>
      <c r="AW13" s="23">
        <v>-100</v>
      </c>
      <c r="AX13" s="23">
        <v>-100</v>
      </c>
      <c r="AY13" s="23">
        <v>-100</v>
      </c>
      <c r="AZ13" s="23">
        <v>-100</v>
      </c>
      <c r="BA13" s="23">
        <v>-100</v>
      </c>
      <c r="BB13" s="23">
        <v>-100</v>
      </c>
      <c r="BC13" s="23">
        <v>-100</v>
      </c>
      <c r="BD13" s="23">
        <v>-100</v>
      </c>
      <c r="BE13" s="23">
        <v>-100</v>
      </c>
      <c r="BF13" s="23">
        <v>-100</v>
      </c>
      <c r="BG13" s="23">
        <v>-100</v>
      </c>
      <c r="BH13" s="23">
        <v>20</v>
      </c>
      <c r="BI13" s="23">
        <v>20</v>
      </c>
      <c r="BJ13" s="23">
        <v>20</v>
      </c>
      <c r="BK13" s="23">
        <v>20</v>
      </c>
      <c r="BL13" s="23">
        <v>20</v>
      </c>
      <c r="BM13" s="23">
        <v>20</v>
      </c>
      <c r="BN13" s="23">
        <v>20</v>
      </c>
      <c r="BO13" s="23">
        <v>20</v>
      </c>
    </row>
    <row r="14" spans="1:67" x14ac:dyDescent="0.25">
      <c r="A14" s="22">
        <f>1</f>
        <v>1</v>
      </c>
      <c r="B14" t="s">
        <v>143</v>
      </c>
      <c r="C14">
        <v>100</v>
      </c>
      <c r="D14" s="21" t="s">
        <v>3</v>
      </c>
      <c r="E14" t="s">
        <v>185</v>
      </c>
      <c r="F14" t="s">
        <v>293</v>
      </c>
      <c r="G14" s="21">
        <f>COUNTIF(SCourse[Course],SCourse[[#This Row],[Course]])</f>
        <v>4</v>
      </c>
      <c r="I14" s="21">
        <f>COUNTIF(SCourse[Block],SCourse[[#This Row],[Block]])</f>
        <v>0</v>
      </c>
      <c r="J14" s="21">
        <v>1</v>
      </c>
      <c r="K14" s="21">
        <v>0</v>
      </c>
      <c r="L14" s="21">
        <v>0</v>
      </c>
      <c r="M14" s="21">
        <v>0</v>
      </c>
      <c r="N14" s="21">
        <v>0</v>
      </c>
      <c r="O14" s="21">
        <v>0</v>
      </c>
      <c r="P14" s="21">
        <v>0</v>
      </c>
      <c r="Q14" s="21">
        <v>0</v>
      </c>
      <c r="R14" s="21">
        <v>-100</v>
      </c>
      <c r="S14" s="21">
        <v>0</v>
      </c>
      <c r="T14" s="21">
        <v>0</v>
      </c>
      <c r="U14" s="21">
        <v>0</v>
      </c>
      <c r="V14" s="21">
        <v>0</v>
      </c>
      <c r="W14" s="21">
        <v>0</v>
      </c>
      <c r="X14" s="21">
        <v>0</v>
      </c>
      <c r="Y14" s="21">
        <v>0</v>
      </c>
      <c r="Z14" s="21">
        <v>0</v>
      </c>
      <c r="AA14" s="21">
        <v>0</v>
      </c>
      <c r="AB14" s="21">
        <v>0</v>
      </c>
      <c r="AC14" s="21">
        <v>0</v>
      </c>
      <c r="AD14" s="21">
        <v>0</v>
      </c>
      <c r="AE14" s="21">
        <v>0</v>
      </c>
      <c r="AF14" s="21">
        <v>0</v>
      </c>
      <c r="AG14" s="21">
        <v>0</v>
      </c>
      <c r="AH14" s="21">
        <v>0</v>
      </c>
      <c r="AI14" s="21">
        <v>0</v>
      </c>
      <c r="AJ14" s="21">
        <v>0</v>
      </c>
      <c r="AK14" s="21">
        <v>0</v>
      </c>
      <c r="AL14" s="21">
        <v>0</v>
      </c>
      <c r="AM14" s="21">
        <v>0</v>
      </c>
      <c r="AN14" s="23">
        <v>5</v>
      </c>
      <c r="AO14" s="23">
        <v>5</v>
      </c>
      <c r="AP14" s="23">
        <v>5</v>
      </c>
      <c r="AQ14" s="23">
        <v>5</v>
      </c>
      <c r="AR14" s="23">
        <v>5</v>
      </c>
      <c r="AS14" s="23">
        <v>5</v>
      </c>
      <c r="AT14" s="23">
        <v>-100</v>
      </c>
      <c r="AU14" s="23">
        <v>5</v>
      </c>
      <c r="AV14" s="23">
        <v>5</v>
      </c>
      <c r="AW14" s="23">
        <v>5</v>
      </c>
      <c r="AX14" s="23">
        <v>5</v>
      </c>
      <c r="AY14" s="23">
        <v>5</v>
      </c>
      <c r="AZ14" s="23">
        <v>5</v>
      </c>
      <c r="BA14" s="23">
        <v>5</v>
      </c>
      <c r="BB14" s="23">
        <v>5</v>
      </c>
      <c r="BC14" s="23">
        <v>5</v>
      </c>
      <c r="BD14" s="23">
        <v>5</v>
      </c>
      <c r="BE14" s="23">
        <v>5</v>
      </c>
      <c r="BF14" s="23">
        <v>5</v>
      </c>
      <c r="BG14" s="23">
        <v>5</v>
      </c>
      <c r="BH14" s="23">
        <v>-100</v>
      </c>
      <c r="BI14" s="23">
        <v>-100</v>
      </c>
      <c r="BJ14" s="23">
        <v>-100</v>
      </c>
      <c r="BK14" s="23">
        <v>-100</v>
      </c>
      <c r="BL14" s="23">
        <v>-100</v>
      </c>
      <c r="BM14" s="23">
        <v>-100</v>
      </c>
      <c r="BN14" s="23">
        <v>-100</v>
      </c>
      <c r="BO14" s="23">
        <v>-100</v>
      </c>
    </row>
    <row r="15" spans="1:67" x14ac:dyDescent="0.25">
      <c r="A15" s="22">
        <f>1</f>
        <v>1</v>
      </c>
      <c r="B15" t="s">
        <v>143</v>
      </c>
      <c r="C15">
        <v>200</v>
      </c>
      <c r="D15" s="21" t="s">
        <v>3</v>
      </c>
      <c r="E15" t="s">
        <v>186</v>
      </c>
      <c r="F15" t="s">
        <v>293</v>
      </c>
      <c r="G15" s="21">
        <f>COUNTIF(SCourse[Course],SCourse[[#This Row],[Course]])</f>
        <v>4</v>
      </c>
      <c r="I15" s="21">
        <f>COUNTIF(SCourse[Block],SCourse[[#This Row],[Block]])</f>
        <v>0</v>
      </c>
      <c r="J15" s="21">
        <v>1</v>
      </c>
      <c r="K15" s="21">
        <v>0</v>
      </c>
      <c r="L15" s="21">
        <v>0</v>
      </c>
      <c r="M15" s="21">
        <v>0</v>
      </c>
      <c r="N15" s="21">
        <v>0</v>
      </c>
      <c r="O15" s="21">
        <v>0</v>
      </c>
      <c r="P15" s="21">
        <v>0</v>
      </c>
      <c r="Q15" s="21">
        <v>0</v>
      </c>
      <c r="R15" s="21">
        <v>-100</v>
      </c>
      <c r="S15" s="21">
        <v>0</v>
      </c>
      <c r="T15" s="21">
        <v>0</v>
      </c>
      <c r="U15" s="21">
        <v>0</v>
      </c>
      <c r="V15" s="21">
        <v>0</v>
      </c>
      <c r="W15" s="21">
        <v>0</v>
      </c>
      <c r="X15" s="21">
        <v>0</v>
      </c>
      <c r="Y15" s="21">
        <v>0</v>
      </c>
      <c r="Z15" s="21">
        <v>0</v>
      </c>
      <c r="AA15" s="21">
        <v>0</v>
      </c>
      <c r="AB15" s="21">
        <v>0</v>
      </c>
      <c r="AC15" s="21">
        <v>0</v>
      </c>
      <c r="AD15" s="21">
        <v>0</v>
      </c>
      <c r="AE15" s="21">
        <v>0</v>
      </c>
      <c r="AF15" s="21">
        <v>0</v>
      </c>
      <c r="AG15" s="21">
        <v>0</v>
      </c>
      <c r="AH15" s="21">
        <v>0</v>
      </c>
      <c r="AI15" s="21">
        <v>0</v>
      </c>
      <c r="AJ15" s="21">
        <v>0</v>
      </c>
      <c r="AK15" s="21">
        <v>0</v>
      </c>
      <c r="AL15" s="21">
        <v>0</v>
      </c>
      <c r="AM15" s="21">
        <v>0</v>
      </c>
      <c r="AN15" s="23">
        <v>5</v>
      </c>
      <c r="AO15" s="23">
        <v>5</v>
      </c>
      <c r="AP15" s="23">
        <v>5</v>
      </c>
      <c r="AQ15" s="23">
        <v>5</v>
      </c>
      <c r="AR15" s="23">
        <v>5</v>
      </c>
      <c r="AS15" s="23">
        <v>5</v>
      </c>
      <c r="AT15" s="23">
        <v>-100</v>
      </c>
      <c r="AU15" s="23">
        <v>5</v>
      </c>
      <c r="AV15" s="23">
        <v>5</v>
      </c>
      <c r="AW15" s="23">
        <v>5</v>
      </c>
      <c r="AX15" s="23">
        <v>5</v>
      </c>
      <c r="AY15" s="23">
        <v>5</v>
      </c>
      <c r="AZ15" s="23">
        <v>5</v>
      </c>
      <c r="BA15" s="23">
        <v>5</v>
      </c>
      <c r="BB15" s="23">
        <v>5</v>
      </c>
      <c r="BC15" s="23">
        <v>5</v>
      </c>
      <c r="BD15" s="23">
        <v>5</v>
      </c>
      <c r="BE15" s="23">
        <v>5</v>
      </c>
      <c r="BF15" s="23">
        <v>5</v>
      </c>
      <c r="BG15" s="23">
        <v>5</v>
      </c>
      <c r="BH15" s="23">
        <v>-100</v>
      </c>
      <c r="BI15" s="23">
        <v>-100</v>
      </c>
      <c r="BJ15" s="23">
        <v>-100</v>
      </c>
      <c r="BK15" s="23">
        <v>-100</v>
      </c>
      <c r="BL15" s="23">
        <v>-100</v>
      </c>
      <c r="BM15" s="23">
        <v>-100</v>
      </c>
      <c r="BN15" s="23">
        <v>-100</v>
      </c>
      <c r="BO15" s="23">
        <v>-100</v>
      </c>
    </row>
    <row r="16" spans="1:67" x14ac:dyDescent="0.25">
      <c r="A16" s="22">
        <f>1</f>
        <v>1</v>
      </c>
      <c r="B16" t="s">
        <v>143</v>
      </c>
      <c r="C16">
        <v>300</v>
      </c>
      <c r="D16" s="21" t="s">
        <v>3</v>
      </c>
      <c r="E16" t="s">
        <v>187</v>
      </c>
      <c r="F16" t="s">
        <v>293</v>
      </c>
      <c r="G16" s="21">
        <f>COUNTIF(SCourse[Course],SCourse[[#This Row],[Course]])</f>
        <v>4</v>
      </c>
      <c r="I16" s="21">
        <f>COUNTIF(SCourse[Block],SCourse[[#This Row],[Block]])</f>
        <v>0</v>
      </c>
      <c r="J16" s="21">
        <v>1</v>
      </c>
      <c r="K16" s="21">
        <v>0</v>
      </c>
      <c r="L16" s="21">
        <v>0</v>
      </c>
      <c r="M16" s="21">
        <v>0</v>
      </c>
      <c r="N16" s="21">
        <v>0</v>
      </c>
      <c r="O16" s="21">
        <v>0</v>
      </c>
      <c r="P16" s="21">
        <v>0</v>
      </c>
      <c r="Q16" s="21">
        <v>0</v>
      </c>
      <c r="R16" s="21">
        <v>-100</v>
      </c>
      <c r="S16" s="21">
        <v>0</v>
      </c>
      <c r="T16" s="21">
        <v>0</v>
      </c>
      <c r="U16" s="21">
        <v>0</v>
      </c>
      <c r="V16" s="21">
        <v>0</v>
      </c>
      <c r="W16" s="21">
        <v>0</v>
      </c>
      <c r="X16" s="21">
        <v>0</v>
      </c>
      <c r="Y16" s="21">
        <v>0</v>
      </c>
      <c r="Z16" s="21">
        <v>0</v>
      </c>
      <c r="AA16" s="21">
        <v>0</v>
      </c>
      <c r="AB16" s="21">
        <v>0</v>
      </c>
      <c r="AC16" s="21">
        <v>0</v>
      </c>
      <c r="AD16" s="21">
        <v>0</v>
      </c>
      <c r="AE16" s="21">
        <v>0</v>
      </c>
      <c r="AF16" s="21">
        <v>0</v>
      </c>
      <c r="AG16" s="21">
        <v>0</v>
      </c>
      <c r="AH16" s="21">
        <v>0</v>
      </c>
      <c r="AI16" s="21">
        <v>0</v>
      </c>
      <c r="AJ16" s="21">
        <v>0</v>
      </c>
      <c r="AK16" s="21">
        <v>0</v>
      </c>
      <c r="AL16" s="21">
        <v>0</v>
      </c>
      <c r="AM16" s="21">
        <v>0</v>
      </c>
      <c r="AN16" s="23">
        <v>5</v>
      </c>
      <c r="AO16" s="23">
        <v>5</v>
      </c>
      <c r="AP16" s="23">
        <v>5</v>
      </c>
      <c r="AQ16" s="23">
        <v>5</v>
      </c>
      <c r="AR16" s="23">
        <v>5</v>
      </c>
      <c r="AS16" s="23">
        <v>5</v>
      </c>
      <c r="AT16" s="23">
        <v>-100</v>
      </c>
      <c r="AU16" s="23">
        <v>5</v>
      </c>
      <c r="AV16" s="23">
        <v>5</v>
      </c>
      <c r="AW16" s="23">
        <v>5</v>
      </c>
      <c r="AX16" s="23">
        <v>5</v>
      </c>
      <c r="AY16" s="23">
        <v>5</v>
      </c>
      <c r="AZ16" s="23">
        <v>5</v>
      </c>
      <c r="BA16" s="23">
        <v>5</v>
      </c>
      <c r="BB16" s="23">
        <v>5</v>
      </c>
      <c r="BC16" s="23">
        <v>5</v>
      </c>
      <c r="BD16" s="23">
        <v>5</v>
      </c>
      <c r="BE16" s="23">
        <v>5</v>
      </c>
      <c r="BF16" s="23">
        <v>5</v>
      </c>
      <c r="BG16" s="23">
        <v>5</v>
      </c>
      <c r="BH16" s="23">
        <v>-100</v>
      </c>
      <c r="BI16" s="23">
        <v>-100</v>
      </c>
      <c r="BJ16" s="23">
        <v>-100</v>
      </c>
      <c r="BK16" s="23">
        <v>-100</v>
      </c>
      <c r="BL16" s="23">
        <v>-100</v>
      </c>
      <c r="BM16" s="23">
        <v>-100</v>
      </c>
      <c r="BN16" s="23">
        <v>-100</v>
      </c>
      <c r="BO16" s="23">
        <v>-100</v>
      </c>
    </row>
    <row r="17" spans="1:67" x14ac:dyDescent="0.25">
      <c r="A17" s="22">
        <f>1</f>
        <v>1</v>
      </c>
      <c r="B17" t="s">
        <v>143</v>
      </c>
      <c r="C17">
        <v>400</v>
      </c>
      <c r="D17" s="21" t="s">
        <v>3</v>
      </c>
      <c r="E17" t="s">
        <v>188</v>
      </c>
      <c r="F17" t="s">
        <v>293</v>
      </c>
      <c r="G17" s="21">
        <f>COUNTIF(SCourse[Course],SCourse[[#This Row],[Course]])</f>
        <v>4</v>
      </c>
      <c r="I17" s="21">
        <f>COUNTIF(SCourse[Block],SCourse[[#This Row],[Block]])</f>
        <v>0</v>
      </c>
      <c r="J17" s="21">
        <v>1</v>
      </c>
      <c r="K17" s="21">
        <v>0</v>
      </c>
      <c r="L17" s="21">
        <v>0</v>
      </c>
      <c r="M17" s="21">
        <v>0</v>
      </c>
      <c r="N17" s="21">
        <v>0</v>
      </c>
      <c r="O17" s="21">
        <v>0</v>
      </c>
      <c r="P17" s="21">
        <v>0</v>
      </c>
      <c r="Q17" s="21">
        <v>0</v>
      </c>
      <c r="R17" s="21">
        <v>-100</v>
      </c>
      <c r="S17" s="21">
        <v>0</v>
      </c>
      <c r="T17" s="21">
        <v>0</v>
      </c>
      <c r="U17" s="21">
        <v>0</v>
      </c>
      <c r="V17" s="21">
        <v>0</v>
      </c>
      <c r="W17" s="21">
        <v>0</v>
      </c>
      <c r="X17" s="21">
        <v>0</v>
      </c>
      <c r="Y17" s="21">
        <v>0</v>
      </c>
      <c r="Z17" s="21">
        <v>0</v>
      </c>
      <c r="AA17" s="21">
        <v>0</v>
      </c>
      <c r="AB17" s="21">
        <v>0</v>
      </c>
      <c r="AC17" s="21">
        <v>0</v>
      </c>
      <c r="AD17" s="21">
        <v>0</v>
      </c>
      <c r="AE17" s="21">
        <v>0</v>
      </c>
      <c r="AF17" s="21">
        <v>0</v>
      </c>
      <c r="AG17" s="21">
        <v>0</v>
      </c>
      <c r="AH17" s="21">
        <v>0</v>
      </c>
      <c r="AI17" s="21">
        <v>0</v>
      </c>
      <c r="AJ17" s="21">
        <v>0</v>
      </c>
      <c r="AK17" s="21">
        <v>0</v>
      </c>
      <c r="AL17" s="21">
        <v>0</v>
      </c>
      <c r="AM17" s="21">
        <v>0</v>
      </c>
      <c r="AN17" s="23">
        <v>5</v>
      </c>
      <c r="AO17" s="23">
        <v>5</v>
      </c>
      <c r="AP17" s="23">
        <v>5</v>
      </c>
      <c r="AQ17" s="23">
        <v>5</v>
      </c>
      <c r="AR17" s="23">
        <v>5</v>
      </c>
      <c r="AS17" s="23">
        <v>5</v>
      </c>
      <c r="AT17" s="23">
        <v>-100</v>
      </c>
      <c r="AU17" s="23">
        <v>5</v>
      </c>
      <c r="AV17" s="23">
        <v>5</v>
      </c>
      <c r="AW17" s="23">
        <v>5</v>
      </c>
      <c r="AX17" s="23">
        <v>5</v>
      </c>
      <c r="AY17" s="23">
        <v>5</v>
      </c>
      <c r="AZ17" s="23">
        <v>5</v>
      </c>
      <c r="BA17" s="23">
        <v>5</v>
      </c>
      <c r="BB17" s="23">
        <v>5</v>
      </c>
      <c r="BC17" s="23">
        <v>5</v>
      </c>
      <c r="BD17" s="23">
        <v>5</v>
      </c>
      <c r="BE17" s="23">
        <v>5</v>
      </c>
      <c r="BF17" s="23">
        <v>5</v>
      </c>
      <c r="BG17" s="23">
        <v>5</v>
      </c>
      <c r="BH17" s="23">
        <v>-100</v>
      </c>
      <c r="BI17" s="23">
        <v>-100</v>
      </c>
      <c r="BJ17" s="23">
        <v>-100</v>
      </c>
      <c r="BK17" s="23">
        <v>-100</v>
      </c>
      <c r="BL17" s="23">
        <v>-100</v>
      </c>
      <c r="BM17" s="23">
        <v>-100</v>
      </c>
      <c r="BN17" s="23">
        <v>-100</v>
      </c>
      <c r="BO17" s="23">
        <v>-100</v>
      </c>
    </row>
    <row r="18" spans="1:67" x14ac:dyDescent="0.25">
      <c r="A18" s="22">
        <f>1</f>
        <v>1</v>
      </c>
      <c r="B18" t="s">
        <v>144</v>
      </c>
      <c r="C18">
        <v>100</v>
      </c>
      <c r="D18" s="21" t="s">
        <v>3</v>
      </c>
      <c r="E18" t="s">
        <v>189</v>
      </c>
      <c r="F18" t="s">
        <v>302</v>
      </c>
      <c r="G18" s="21">
        <f>COUNTIF(SCourse[Course],SCourse[[#This Row],[Course]])</f>
        <v>4</v>
      </c>
      <c r="I18" s="21">
        <f>COUNTIF(SCourse[Block],SCourse[[#This Row],[Block]])</f>
        <v>0</v>
      </c>
      <c r="J18" s="21">
        <v>1</v>
      </c>
      <c r="K18" s="21">
        <v>0</v>
      </c>
      <c r="L18" s="21">
        <v>0</v>
      </c>
      <c r="M18" s="21">
        <v>0</v>
      </c>
      <c r="N18" s="21">
        <v>0</v>
      </c>
      <c r="O18" s="21">
        <v>0</v>
      </c>
      <c r="P18" s="21">
        <v>0</v>
      </c>
      <c r="Q18" s="21">
        <v>-100</v>
      </c>
      <c r="R18" s="21">
        <v>0</v>
      </c>
      <c r="S18" s="21">
        <v>0</v>
      </c>
      <c r="T18" s="21">
        <v>0</v>
      </c>
      <c r="U18" s="21">
        <v>0</v>
      </c>
      <c r="V18" s="21">
        <v>0</v>
      </c>
      <c r="W18" s="21">
        <v>0</v>
      </c>
      <c r="X18" s="21">
        <v>0</v>
      </c>
      <c r="Y18" s="21">
        <v>0</v>
      </c>
      <c r="Z18" s="21">
        <v>0</v>
      </c>
      <c r="AA18" s="21">
        <v>0</v>
      </c>
      <c r="AB18" s="21">
        <v>0</v>
      </c>
      <c r="AC18" s="21">
        <v>0</v>
      </c>
      <c r="AD18" s="21">
        <v>0</v>
      </c>
      <c r="AE18" s="21">
        <v>0</v>
      </c>
      <c r="AF18" s="21">
        <v>0</v>
      </c>
      <c r="AG18" s="21">
        <v>0</v>
      </c>
      <c r="AH18" s="21">
        <v>0</v>
      </c>
      <c r="AI18" s="21">
        <v>0</v>
      </c>
      <c r="AJ18" s="21">
        <v>0</v>
      </c>
      <c r="AK18" s="21">
        <v>0</v>
      </c>
      <c r="AL18" s="21">
        <v>0</v>
      </c>
      <c r="AM18" s="21">
        <v>0</v>
      </c>
      <c r="AN18" s="23">
        <v>5</v>
      </c>
      <c r="AO18" s="23">
        <v>5</v>
      </c>
      <c r="AP18" s="23">
        <v>5</v>
      </c>
      <c r="AQ18" s="23">
        <v>5</v>
      </c>
      <c r="AR18" s="23">
        <v>5</v>
      </c>
      <c r="AS18" s="23">
        <v>-100</v>
      </c>
      <c r="AT18" s="23">
        <v>5</v>
      </c>
      <c r="AU18" s="23">
        <v>5</v>
      </c>
      <c r="AV18" s="23">
        <v>5</v>
      </c>
      <c r="AW18" s="23">
        <v>5</v>
      </c>
      <c r="AX18" s="23">
        <v>5</v>
      </c>
      <c r="AY18" s="23">
        <v>5</v>
      </c>
      <c r="AZ18" s="23">
        <v>5</v>
      </c>
      <c r="BA18" s="23">
        <v>5</v>
      </c>
      <c r="BB18" s="23">
        <v>5</v>
      </c>
      <c r="BC18" s="23">
        <v>5</v>
      </c>
      <c r="BD18" s="23">
        <v>5</v>
      </c>
      <c r="BE18" s="23">
        <v>5</v>
      </c>
      <c r="BF18" s="23">
        <v>5</v>
      </c>
      <c r="BG18" s="23">
        <v>5</v>
      </c>
      <c r="BH18" s="23">
        <v>-100</v>
      </c>
      <c r="BI18" s="23">
        <v>-100</v>
      </c>
      <c r="BJ18" s="23">
        <v>-100</v>
      </c>
      <c r="BK18" s="23">
        <v>-100</v>
      </c>
      <c r="BL18" s="23">
        <v>-100</v>
      </c>
      <c r="BM18" s="23">
        <v>-100</v>
      </c>
      <c r="BN18" s="23">
        <v>-100</v>
      </c>
      <c r="BO18" s="23">
        <v>-100</v>
      </c>
    </row>
    <row r="19" spans="1:67" x14ac:dyDescent="0.25">
      <c r="A19" s="22">
        <f>1</f>
        <v>1</v>
      </c>
      <c r="B19" t="s">
        <v>144</v>
      </c>
      <c r="C19">
        <v>200</v>
      </c>
      <c r="D19" s="21" t="s">
        <v>3</v>
      </c>
      <c r="E19" t="s">
        <v>190</v>
      </c>
      <c r="F19" t="s">
        <v>302</v>
      </c>
      <c r="G19" s="21">
        <f>COUNTIF(SCourse[Course],SCourse[[#This Row],[Course]])</f>
        <v>4</v>
      </c>
      <c r="I19" s="21">
        <f>COUNTIF(SCourse[Block],SCourse[[#This Row],[Block]])</f>
        <v>0</v>
      </c>
      <c r="J19" s="21">
        <v>1</v>
      </c>
      <c r="K19" s="21">
        <v>0</v>
      </c>
      <c r="L19" s="21">
        <v>0</v>
      </c>
      <c r="M19" s="21">
        <v>0</v>
      </c>
      <c r="N19" s="21">
        <v>0</v>
      </c>
      <c r="O19" s="21">
        <v>0</v>
      </c>
      <c r="P19" s="21">
        <v>0</v>
      </c>
      <c r="Q19" s="21">
        <v>-100</v>
      </c>
      <c r="R19" s="21">
        <v>0</v>
      </c>
      <c r="S19" s="21">
        <v>0</v>
      </c>
      <c r="T19" s="21">
        <v>0</v>
      </c>
      <c r="U19" s="21">
        <v>0</v>
      </c>
      <c r="V19" s="21">
        <v>0</v>
      </c>
      <c r="W19" s="21">
        <v>0</v>
      </c>
      <c r="X19" s="21">
        <v>0</v>
      </c>
      <c r="Y19" s="21">
        <v>0</v>
      </c>
      <c r="Z19" s="21">
        <v>0</v>
      </c>
      <c r="AA19" s="21">
        <v>0</v>
      </c>
      <c r="AB19" s="21">
        <v>0</v>
      </c>
      <c r="AC19" s="21">
        <v>0</v>
      </c>
      <c r="AD19" s="21">
        <v>0</v>
      </c>
      <c r="AE19" s="21">
        <v>0</v>
      </c>
      <c r="AF19" s="21">
        <v>0</v>
      </c>
      <c r="AG19" s="21">
        <v>0</v>
      </c>
      <c r="AH19" s="21">
        <v>0</v>
      </c>
      <c r="AI19" s="21">
        <v>0</v>
      </c>
      <c r="AJ19" s="21">
        <v>0</v>
      </c>
      <c r="AK19" s="21">
        <v>0</v>
      </c>
      <c r="AL19" s="21">
        <v>0</v>
      </c>
      <c r="AM19" s="21">
        <v>0</v>
      </c>
      <c r="AN19" s="23">
        <v>5</v>
      </c>
      <c r="AO19" s="23">
        <v>5</v>
      </c>
      <c r="AP19" s="23">
        <v>5</v>
      </c>
      <c r="AQ19" s="23">
        <v>5</v>
      </c>
      <c r="AR19" s="23">
        <v>5</v>
      </c>
      <c r="AS19" s="23">
        <v>-100</v>
      </c>
      <c r="AT19" s="23">
        <v>5</v>
      </c>
      <c r="AU19" s="23">
        <v>5</v>
      </c>
      <c r="AV19" s="23">
        <v>5</v>
      </c>
      <c r="AW19" s="23">
        <v>5</v>
      </c>
      <c r="AX19" s="23">
        <v>5</v>
      </c>
      <c r="AY19" s="23">
        <v>5</v>
      </c>
      <c r="AZ19" s="23">
        <v>5</v>
      </c>
      <c r="BA19" s="23">
        <v>5</v>
      </c>
      <c r="BB19" s="23">
        <v>5</v>
      </c>
      <c r="BC19" s="23">
        <v>5</v>
      </c>
      <c r="BD19" s="23">
        <v>5</v>
      </c>
      <c r="BE19" s="23">
        <v>5</v>
      </c>
      <c r="BF19" s="23">
        <v>5</v>
      </c>
      <c r="BG19" s="23">
        <v>5</v>
      </c>
      <c r="BH19" s="23">
        <v>-100</v>
      </c>
      <c r="BI19" s="23">
        <v>-100</v>
      </c>
      <c r="BJ19" s="23">
        <v>-100</v>
      </c>
      <c r="BK19" s="23">
        <v>-100</v>
      </c>
      <c r="BL19" s="23">
        <v>-100</v>
      </c>
      <c r="BM19" s="23">
        <v>-100</v>
      </c>
      <c r="BN19" s="23">
        <v>-100</v>
      </c>
      <c r="BO19" s="23">
        <v>-100</v>
      </c>
    </row>
    <row r="20" spans="1:67" x14ac:dyDescent="0.25">
      <c r="A20" s="22">
        <f>1</f>
        <v>1</v>
      </c>
      <c r="B20" t="s">
        <v>144</v>
      </c>
      <c r="C20">
        <v>300</v>
      </c>
      <c r="D20" s="21" t="s">
        <v>3</v>
      </c>
      <c r="E20" t="s">
        <v>191</v>
      </c>
      <c r="F20" t="s">
        <v>302</v>
      </c>
      <c r="G20" s="21">
        <f>COUNTIF(SCourse[Course],SCourse[[#This Row],[Course]])</f>
        <v>4</v>
      </c>
      <c r="I20" s="21">
        <f>COUNTIF(SCourse[Block],SCourse[[#This Row],[Block]])</f>
        <v>0</v>
      </c>
      <c r="J20" s="21">
        <v>1</v>
      </c>
      <c r="K20" s="21">
        <v>0</v>
      </c>
      <c r="L20" s="21">
        <v>0</v>
      </c>
      <c r="M20" s="21">
        <v>0</v>
      </c>
      <c r="N20" s="21">
        <v>0</v>
      </c>
      <c r="O20" s="21">
        <v>0</v>
      </c>
      <c r="P20" s="21">
        <v>0</v>
      </c>
      <c r="Q20" s="21">
        <v>-100</v>
      </c>
      <c r="R20" s="21">
        <v>0</v>
      </c>
      <c r="S20" s="21">
        <v>0</v>
      </c>
      <c r="T20" s="21">
        <v>0</v>
      </c>
      <c r="U20" s="21">
        <v>0</v>
      </c>
      <c r="V20" s="21">
        <v>0</v>
      </c>
      <c r="W20" s="21">
        <v>0</v>
      </c>
      <c r="X20" s="21">
        <v>0</v>
      </c>
      <c r="Y20" s="21">
        <v>0</v>
      </c>
      <c r="Z20" s="21">
        <v>0</v>
      </c>
      <c r="AA20" s="21">
        <v>0</v>
      </c>
      <c r="AB20" s="21">
        <v>0</v>
      </c>
      <c r="AC20" s="21">
        <v>0</v>
      </c>
      <c r="AD20" s="21">
        <v>0</v>
      </c>
      <c r="AE20" s="21">
        <v>0</v>
      </c>
      <c r="AF20" s="21">
        <v>0</v>
      </c>
      <c r="AG20" s="21">
        <v>0</v>
      </c>
      <c r="AH20" s="21">
        <v>0</v>
      </c>
      <c r="AI20" s="21">
        <v>0</v>
      </c>
      <c r="AJ20" s="21">
        <v>0</v>
      </c>
      <c r="AK20" s="21">
        <v>0</v>
      </c>
      <c r="AL20" s="21">
        <v>0</v>
      </c>
      <c r="AM20" s="21">
        <v>0</v>
      </c>
      <c r="AN20" s="23">
        <v>5</v>
      </c>
      <c r="AO20" s="23">
        <v>5</v>
      </c>
      <c r="AP20" s="23">
        <v>5</v>
      </c>
      <c r="AQ20" s="23">
        <v>5</v>
      </c>
      <c r="AR20" s="23">
        <v>5</v>
      </c>
      <c r="AS20" s="23">
        <v>-100</v>
      </c>
      <c r="AT20" s="23">
        <v>5</v>
      </c>
      <c r="AU20" s="23">
        <v>5</v>
      </c>
      <c r="AV20" s="23">
        <v>5</v>
      </c>
      <c r="AW20" s="23">
        <v>5</v>
      </c>
      <c r="AX20" s="23">
        <v>5</v>
      </c>
      <c r="AY20" s="23">
        <v>5</v>
      </c>
      <c r="AZ20" s="23">
        <v>5</v>
      </c>
      <c r="BA20" s="23">
        <v>5</v>
      </c>
      <c r="BB20" s="23">
        <v>5</v>
      </c>
      <c r="BC20" s="23">
        <v>5</v>
      </c>
      <c r="BD20" s="23">
        <v>5</v>
      </c>
      <c r="BE20" s="23">
        <v>5</v>
      </c>
      <c r="BF20" s="23">
        <v>5</v>
      </c>
      <c r="BG20" s="23">
        <v>5</v>
      </c>
      <c r="BH20" s="23">
        <v>-100</v>
      </c>
      <c r="BI20" s="23">
        <v>-100</v>
      </c>
      <c r="BJ20" s="23">
        <v>-100</v>
      </c>
      <c r="BK20" s="23">
        <v>-100</v>
      </c>
      <c r="BL20" s="23">
        <v>-100</v>
      </c>
      <c r="BM20" s="23">
        <v>-100</v>
      </c>
      <c r="BN20" s="23">
        <v>-100</v>
      </c>
      <c r="BO20" s="23">
        <v>-100</v>
      </c>
    </row>
    <row r="21" spans="1:67" x14ac:dyDescent="0.25">
      <c r="A21" s="22">
        <f>1</f>
        <v>1</v>
      </c>
      <c r="B21" t="s">
        <v>144</v>
      </c>
      <c r="C21">
        <v>400</v>
      </c>
      <c r="D21" s="21" t="s">
        <v>3</v>
      </c>
      <c r="E21" t="s">
        <v>192</v>
      </c>
      <c r="F21" t="s">
        <v>302</v>
      </c>
      <c r="G21" s="21">
        <f>COUNTIF(SCourse[Course],SCourse[[#This Row],[Course]])</f>
        <v>4</v>
      </c>
      <c r="I21" s="21">
        <f>COUNTIF(SCourse[Block],SCourse[[#This Row],[Block]])</f>
        <v>0</v>
      </c>
      <c r="J21" s="21">
        <v>1</v>
      </c>
      <c r="K21" s="21">
        <v>0</v>
      </c>
      <c r="L21" s="21">
        <v>0</v>
      </c>
      <c r="M21" s="21">
        <v>0</v>
      </c>
      <c r="N21" s="21">
        <v>0</v>
      </c>
      <c r="O21" s="21">
        <v>0</v>
      </c>
      <c r="P21" s="21">
        <v>0</v>
      </c>
      <c r="Q21" s="21">
        <v>-100</v>
      </c>
      <c r="R21" s="21">
        <v>0</v>
      </c>
      <c r="S21" s="21">
        <v>0</v>
      </c>
      <c r="T21" s="21">
        <v>0</v>
      </c>
      <c r="U21" s="21">
        <v>0</v>
      </c>
      <c r="V21" s="21">
        <v>0</v>
      </c>
      <c r="W21" s="21">
        <v>0</v>
      </c>
      <c r="X21" s="21">
        <v>0</v>
      </c>
      <c r="Y21" s="21">
        <v>0</v>
      </c>
      <c r="Z21" s="21">
        <v>0</v>
      </c>
      <c r="AA21" s="21">
        <v>0</v>
      </c>
      <c r="AB21" s="21">
        <v>0</v>
      </c>
      <c r="AC21" s="21">
        <v>0</v>
      </c>
      <c r="AD21" s="21">
        <v>0</v>
      </c>
      <c r="AE21" s="21">
        <v>0</v>
      </c>
      <c r="AF21" s="21">
        <v>0</v>
      </c>
      <c r="AG21" s="21">
        <v>0</v>
      </c>
      <c r="AH21" s="21">
        <v>0</v>
      </c>
      <c r="AI21" s="21">
        <v>0</v>
      </c>
      <c r="AJ21" s="21">
        <v>0</v>
      </c>
      <c r="AK21" s="21">
        <v>0</v>
      </c>
      <c r="AL21" s="21">
        <v>0</v>
      </c>
      <c r="AM21" s="21">
        <v>0</v>
      </c>
      <c r="AN21" s="23">
        <v>5</v>
      </c>
      <c r="AO21" s="23">
        <v>5</v>
      </c>
      <c r="AP21" s="23">
        <v>5</v>
      </c>
      <c r="AQ21" s="23">
        <v>5</v>
      </c>
      <c r="AR21" s="23">
        <v>5</v>
      </c>
      <c r="AS21" s="23">
        <v>-100</v>
      </c>
      <c r="AT21" s="23">
        <v>5</v>
      </c>
      <c r="AU21" s="23">
        <v>5</v>
      </c>
      <c r="AV21" s="23">
        <v>5</v>
      </c>
      <c r="AW21" s="23">
        <v>5</v>
      </c>
      <c r="AX21" s="23">
        <v>5</v>
      </c>
      <c r="AY21" s="23">
        <v>5</v>
      </c>
      <c r="AZ21" s="23">
        <v>5</v>
      </c>
      <c r="BA21" s="23">
        <v>5</v>
      </c>
      <c r="BB21" s="23">
        <v>5</v>
      </c>
      <c r="BC21" s="23">
        <v>5</v>
      </c>
      <c r="BD21" s="23">
        <v>5</v>
      </c>
      <c r="BE21" s="23">
        <v>5</v>
      </c>
      <c r="BF21" s="23">
        <v>5</v>
      </c>
      <c r="BG21" s="23">
        <v>5</v>
      </c>
      <c r="BH21" s="23">
        <v>-100</v>
      </c>
      <c r="BI21" s="23">
        <v>-100</v>
      </c>
      <c r="BJ21" s="23">
        <v>-100</v>
      </c>
      <c r="BK21" s="23">
        <v>-100</v>
      </c>
      <c r="BL21" s="23">
        <v>-100</v>
      </c>
      <c r="BM21" s="23">
        <v>-100</v>
      </c>
      <c r="BN21" s="23">
        <v>-100</v>
      </c>
      <c r="BO21" s="23">
        <v>-100</v>
      </c>
    </row>
    <row r="22" spans="1:67" x14ac:dyDescent="0.25">
      <c r="A22" s="22">
        <f>1</f>
        <v>1</v>
      </c>
      <c r="B22" t="s">
        <v>145</v>
      </c>
      <c r="C22">
        <v>100</v>
      </c>
      <c r="D22" s="21" t="s">
        <v>3</v>
      </c>
      <c r="E22" t="s">
        <v>193</v>
      </c>
      <c r="F22" t="s">
        <v>300</v>
      </c>
      <c r="G22" s="21">
        <f>COUNTIF(SCourse[Course],SCourse[[#This Row],[Course]])</f>
        <v>4</v>
      </c>
      <c r="I22" s="21">
        <f>COUNTIF(SCourse[Block],SCourse[[#This Row],[Block]])</f>
        <v>0</v>
      </c>
      <c r="J22" s="21">
        <v>1</v>
      </c>
      <c r="K22" s="21">
        <v>0</v>
      </c>
      <c r="L22" s="21">
        <v>0</v>
      </c>
      <c r="M22" s="21">
        <v>0</v>
      </c>
      <c r="N22" s="21">
        <v>0</v>
      </c>
      <c r="O22" s="21">
        <v>0</v>
      </c>
      <c r="P22" s="21">
        <v>0</v>
      </c>
      <c r="Q22" s="21">
        <v>0</v>
      </c>
      <c r="R22" s="21">
        <v>0</v>
      </c>
      <c r="S22" s="21">
        <v>-100</v>
      </c>
      <c r="T22" s="21">
        <v>0</v>
      </c>
      <c r="U22" s="21">
        <v>0</v>
      </c>
      <c r="V22" s="21">
        <v>0</v>
      </c>
      <c r="W22" s="21">
        <v>0</v>
      </c>
      <c r="X22" s="21">
        <v>0</v>
      </c>
      <c r="Y22" s="21">
        <v>0</v>
      </c>
      <c r="Z22" s="21">
        <v>0</v>
      </c>
      <c r="AA22" s="21">
        <v>0</v>
      </c>
      <c r="AB22" s="21">
        <v>0</v>
      </c>
      <c r="AC22" s="21">
        <v>0</v>
      </c>
      <c r="AD22" s="21">
        <v>0</v>
      </c>
      <c r="AE22" s="21">
        <v>0</v>
      </c>
      <c r="AF22" s="21">
        <v>0</v>
      </c>
      <c r="AG22" s="21">
        <v>0</v>
      </c>
      <c r="AH22" s="21">
        <v>0</v>
      </c>
      <c r="AI22" s="21">
        <v>0</v>
      </c>
      <c r="AJ22" s="21">
        <v>0</v>
      </c>
      <c r="AK22" s="21">
        <v>0</v>
      </c>
      <c r="AL22" s="21">
        <v>0</v>
      </c>
      <c r="AM22" s="21">
        <v>0</v>
      </c>
      <c r="AN22" s="23">
        <v>5</v>
      </c>
      <c r="AO22" s="23">
        <v>5</v>
      </c>
      <c r="AP22" s="23">
        <v>5</v>
      </c>
      <c r="AQ22" s="23">
        <v>5</v>
      </c>
      <c r="AR22" s="23">
        <v>5</v>
      </c>
      <c r="AS22" s="23">
        <v>5</v>
      </c>
      <c r="AT22" s="23">
        <v>5</v>
      </c>
      <c r="AU22" s="23">
        <v>-100</v>
      </c>
      <c r="AV22" s="23">
        <v>5</v>
      </c>
      <c r="AW22" s="23">
        <v>5</v>
      </c>
      <c r="AX22" s="23">
        <v>5</v>
      </c>
      <c r="AY22" s="23">
        <v>5</v>
      </c>
      <c r="AZ22" s="23">
        <v>5</v>
      </c>
      <c r="BA22" s="23">
        <v>5</v>
      </c>
      <c r="BB22" s="23">
        <v>5</v>
      </c>
      <c r="BC22" s="23">
        <v>5</v>
      </c>
      <c r="BD22" s="23">
        <v>5</v>
      </c>
      <c r="BE22" s="23">
        <v>5</v>
      </c>
      <c r="BF22" s="23">
        <v>5</v>
      </c>
      <c r="BG22" s="23">
        <v>5</v>
      </c>
      <c r="BH22" s="23">
        <v>-100</v>
      </c>
      <c r="BI22" s="23">
        <v>-100</v>
      </c>
      <c r="BJ22" s="23">
        <v>-100</v>
      </c>
      <c r="BK22" s="23">
        <v>-100</v>
      </c>
      <c r="BL22" s="23">
        <v>-100</v>
      </c>
      <c r="BM22" s="23">
        <v>-100</v>
      </c>
      <c r="BN22" s="23">
        <v>-100</v>
      </c>
      <c r="BO22" s="23">
        <v>-100</v>
      </c>
    </row>
    <row r="23" spans="1:67" x14ac:dyDescent="0.25">
      <c r="A23" s="22">
        <f>1</f>
        <v>1</v>
      </c>
      <c r="B23" t="s">
        <v>145</v>
      </c>
      <c r="C23">
        <v>200</v>
      </c>
      <c r="D23" s="21" t="s">
        <v>3</v>
      </c>
      <c r="E23" t="s">
        <v>194</v>
      </c>
      <c r="F23" t="s">
        <v>300</v>
      </c>
      <c r="G23" s="21">
        <f>COUNTIF(SCourse[Course],SCourse[[#This Row],[Course]])</f>
        <v>4</v>
      </c>
      <c r="I23" s="21">
        <f>COUNTIF(SCourse[Block],SCourse[[#This Row],[Block]])</f>
        <v>0</v>
      </c>
      <c r="J23" s="21">
        <v>1</v>
      </c>
      <c r="K23" s="21">
        <v>0</v>
      </c>
      <c r="L23" s="21">
        <v>0</v>
      </c>
      <c r="M23" s="21">
        <v>0</v>
      </c>
      <c r="N23" s="21">
        <v>0</v>
      </c>
      <c r="O23" s="21">
        <v>0</v>
      </c>
      <c r="P23" s="21">
        <v>0</v>
      </c>
      <c r="Q23" s="21">
        <v>0</v>
      </c>
      <c r="R23" s="21">
        <v>0</v>
      </c>
      <c r="S23" s="21">
        <v>-100</v>
      </c>
      <c r="T23" s="21">
        <v>0</v>
      </c>
      <c r="U23" s="21">
        <v>0</v>
      </c>
      <c r="V23" s="21">
        <v>0</v>
      </c>
      <c r="W23" s="21">
        <v>0</v>
      </c>
      <c r="X23" s="21">
        <v>0</v>
      </c>
      <c r="Y23" s="21">
        <v>0</v>
      </c>
      <c r="Z23" s="21">
        <v>0</v>
      </c>
      <c r="AA23" s="21">
        <v>0</v>
      </c>
      <c r="AB23" s="21">
        <v>0</v>
      </c>
      <c r="AC23" s="21">
        <v>0</v>
      </c>
      <c r="AD23" s="21">
        <v>0</v>
      </c>
      <c r="AE23" s="21">
        <v>0</v>
      </c>
      <c r="AF23" s="21">
        <v>0</v>
      </c>
      <c r="AG23" s="21">
        <v>0</v>
      </c>
      <c r="AH23" s="21">
        <v>0</v>
      </c>
      <c r="AI23" s="21">
        <v>0</v>
      </c>
      <c r="AJ23" s="21">
        <v>0</v>
      </c>
      <c r="AK23" s="21">
        <v>0</v>
      </c>
      <c r="AL23" s="21">
        <v>0</v>
      </c>
      <c r="AM23" s="21">
        <v>0</v>
      </c>
      <c r="AN23" s="23">
        <v>5</v>
      </c>
      <c r="AO23" s="23">
        <v>5</v>
      </c>
      <c r="AP23" s="23">
        <v>5</v>
      </c>
      <c r="AQ23" s="23">
        <v>5</v>
      </c>
      <c r="AR23" s="23">
        <v>5</v>
      </c>
      <c r="AS23" s="23">
        <v>5</v>
      </c>
      <c r="AT23" s="23">
        <v>5</v>
      </c>
      <c r="AU23" s="23">
        <v>-100</v>
      </c>
      <c r="AV23" s="23">
        <v>5</v>
      </c>
      <c r="AW23" s="23">
        <v>5</v>
      </c>
      <c r="AX23" s="23">
        <v>5</v>
      </c>
      <c r="AY23" s="23">
        <v>5</v>
      </c>
      <c r="AZ23" s="23">
        <v>5</v>
      </c>
      <c r="BA23" s="23">
        <v>5</v>
      </c>
      <c r="BB23" s="23">
        <v>5</v>
      </c>
      <c r="BC23" s="23">
        <v>5</v>
      </c>
      <c r="BD23" s="23">
        <v>5</v>
      </c>
      <c r="BE23" s="23">
        <v>5</v>
      </c>
      <c r="BF23" s="23">
        <v>5</v>
      </c>
      <c r="BG23" s="23">
        <v>5</v>
      </c>
      <c r="BH23" s="23">
        <v>-100</v>
      </c>
      <c r="BI23" s="23">
        <v>-100</v>
      </c>
      <c r="BJ23" s="23">
        <v>-100</v>
      </c>
      <c r="BK23" s="23">
        <v>-100</v>
      </c>
      <c r="BL23" s="23">
        <v>-100</v>
      </c>
      <c r="BM23" s="23">
        <v>-100</v>
      </c>
      <c r="BN23" s="23">
        <v>-100</v>
      </c>
      <c r="BO23" s="23">
        <v>-100</v>
      </c>
    </row>
    <row r="24" spans="1:67" x14ac:dyDescent="0.25">
      <c r="A24" s="22">
        <f>1</f>
        <v>1</v>
      </c>
      <c r="B24" t="s">
        <v>145</v>
      </c>
      <c r="C24">
        <v>300</v>
      </c>
      <c r="D24" s="21" t="s">
        <v>3</v>
      </c>
      <c r="E24" t="s">
        <v>195</v>
      </c>
      <c r="F24" t="s">
        <v>300</v>
      </c>
      <c r="G24" s="21">
        <f>COUNTIF(SCourse[Course],SCourse[[#This Row],[Course]])</f>
        <v>4</v>
      </c>
      <c r="I24" s="21">
        <f>COUNTIF(SCourse[Block],SCourse[[#This Row],[Block]])</f>
        <v>0</v>
      </c>
      <c r="J24" s="21">
        <v>1</v>
      </c>
      <c r="K24" s="21">
        <v>0</v>
      </c>
      <c r="L24" s="21">
        <v>0</v>
      </c>
      <c r="M24" s="21">
        <v>0</v>
      </c>
      <c r="N24" s="21">
        <v>0</v>
      </c>
      <c r="O24" s="21">
        <v>0</v>
      </c>
      <c r="P24" s="21">
        <v>0</v>
      </c>
      <c r="Q24" s="21">
        <v>0</v>
      </c>
      <c r="R24" s="21">
        <v>0</v>
      </c>
      <c r="S24" s="21">
        <v>-100</v>
      </c>
      <c r="T24" s="21">
        <v>0</v>
      </c>
      <c r="U24" s="21">
        <v>0</v>
      </c>
      <c r="V24" s="21">
        <v>0</v>
      </c>
      <c r="W24" s="21">
        <v>0</v>
      </c>
      <c r="X24" s="21">
        <v>0</v>
      </c>
      <c r="Y24" s="21">
        <v>0</v>
      </c>
      <c r="Z24" s="21">
        <v>0</v>
      </c>
      <c r="AA24" s="21">
        <v>0</v>
      </c>
      <c r="AB24" s="21">
        <v>0</v>
      </c>
      <c r="AC24" s="21">
        <v>0</v>
      </c>
      <c r="AD24" s="21">
        <v>0</v>
      </c>
      <c r="AE24" s="21">
        <v>0</v>
      </c>
      <c r="AF24" s="21">
        <v>0</v>
      </c>
      <c r="AG24" s="21">
        <v>0</v>
      </c>
      <c r="AH24" s="21">
        <v>0</v>
      </c>
      <c r="AI24" s="21">
        <v>0</v>
      </c>
      <c r="AJ24" s="21">
        <v>0</v>
      </c>
      <c r="AK24" s="21">
        <v>0</v>
      </c>
      <c r="AL24" s="21">
        <v>0</v>
      </c>
      <c r="AM24" s="21">
        <v>0</v>
      </c>
      <c r="AN24" s="23">
        <v>5</v>
      </c>
      <c r="AO24" s="23">
        <v>5</v>
      </c>
      <c r="AP24" s="23">
        <v>5</v>
      </c>
      <c r="AQ24" s="23">
        <v>5</v>
      </c>
      <c r="AR24" s="23">
        <v>5</v>
      </c>
      <c r="AS24" s="23">
        <v>5</v>
      </c>
      <c r="AT24" s="23">
        <v>5</v>
      </c>
      <c r="AU24" s="23">
        <v>-100</v>
      </c>
      <c r="AV24" s="23">
        <v>5</v>
      </c>
      <c r="AW24" s="23">
        <v>5</v>
      </c>
      <c r="AX24" s="23">
        <v>5</v>
      </c>
      <c r="AY24" s="23">
        <v>5</v>
      </c>
      <c r="AZ24" s="23">
        <v>5</v>
      </c>
      <c r="BA24" s="23">
        <v>5</v>
      </c>
      <c r="BB24" s="23">
        <v>5</v>
      </c>
      <c r="BC24" s="23">
        <v>5</v>
      </c>
      <c r="BD24" s="23">
        <v>5</v>
      </c>
      <c r="BE24" s="23">
        <v>5</v>
      </c>
      <c r="BF24" s="23">
        <v>5</v>
      </c>
      <c r="BG24" s="23">
        <v>5</v>
      </c>
      <c r="BH24" s="23">
        <v>-100</v>
      </c>
      <c r="BI24" s="23">
        <v>-100</v>
      </c>
      <c r="BJ24" s="23">
        <v>-100</v>
      </c>
      <c r="BK24" s="23">
        <v>-100</v>
      </c>
      <c r="BL24" s="23">
        <v>-100</v>
      </c>
      <c r="BM24" s="23">
        <v>-100</v>
      </c>
      <c r="BN24" s="23">
        <v>-100</v>
      </c>
      <c r="BO24" s="23">
        <v>-100</v>
      </c>
    </row>
    <row r="25" spans="1:67" x14ac:dyDescent="0.25">
      <c r="A25" s="22">
        <f>1</f>
        <v>1</v>
      </c>
      <c r="B25" t="s">
        <v>145</v>
      </c>
      <c r="C25">
        <v>400</v>
      </c>
      <c r="D25" s="21" t="s">
        <v>3</v>
      </c>
      <c r="E25" t="s">
        <v>196</v>
      </c>
      <c r="F25" t="s">
        <v>300</v>
      </c>
      <c r="G25" s="21">
        <f>COUNTIF(SCourse[Course],SCourse[[#This Row],[Course]])</f>
        <v>4</v>
      </c>
      <c r="I25" s="21">
        <f>COUNTIF(SCourse[Block],SCourse[[#This Row],[Block]])</f>
        <v>0</v>
      </c>
      <c r="J25" s="21">
        <v>1</v>
      </c>
      <c r="K25" s="21">
        <v>0</v>
      </c>
      <c r="L25" s="21">
        <v>0</v>
      </c>
      <c r="M25" s="21">
        <v>0</v>
      </c>
      <c r="N25" s="21">
        <v>0</v>
      </c>
      <c r="O25" s="21">
        <v>0</v>
      </c>
      <c r="P25" s="21">
        <v>0</v>
      </c>
      <c r="Q25" s="21">
        <v>0</v>
      </c>
      <c r="R25" s="21">
        <v>0</v>
      </c>
      <c r="S25" s="21">
        <v>-100</v>
      </c>
      <c r="T25" s="21">
        <v>0</v>
      </c>
      <c r="U25" s="21">
        <v>0</v>
      </c>
      <c r="V25" s="21">
        <v>0</v>
      </c>
      <c r="W25" s="21">
        <v>0</v>
      </c>
      <c r="X25" s="21">
        <v>0</v>
      </c>
      <c r="Y25" s="21">
        <v>0</v>
      </c>
      <c r="Z25" s="21">
        <v>0</v>
      </c>
      <c r="AA25" s="21">
        <v>0</v>
      </c>
      <c r="AB25" s="21">
        <v>0</v>
      </c>
      <c r="AC25" s="21">
        <v>0</v>
      </c>
      <c r="AD25" s="21">
        <v>0</v>
      </c>
      <c r="AE25" s="21">
        <v>0</v>
      </c>
      <c r="AF25" s="21">
        <v>0</v>
      </c>
      <c r="AG25" s="21">
        <v>0</v>
      </c>
      <c r="AH25" s="21">
        <v>0</v>
      </c>
      <c r="AI25" s="21">
        <v>0</v>
      </c>
      <c r="AJ25" s="21">
        <v>0</v>
      </c>
      <c r="AK25" s="21">
        <v>0</v>
      </c>
      <c r="AL25" s="21">
        <v>0</v>
      </c>
      <c r="AM25" s="21">
        <v>0</v>
      </c>
      <c r="AN25" s="23">
        <v>5</v>
      </c>
      <c r="AO25" s="23">
        <v>5</v>
      </c>
      <c r="AP25" s="23">
        <v>5</v>
      </c>
      <c r="AQ25" s="23">
        <v>5</v>
      </c>
      <c r="AR25" s="23">
        <v>5</v>
      </c>
      <c r="AS25" s="23">
        <v>5</v>
      </c>
      <c r="AT25" s="23">
        <v>5</v>
      </c>
      <c r="AU25" s="23">
        <v>-100</v>
      </c>
      <c r="AV25" s="23">
        <v>5</v>
      </c>
      <c r="AW25" s="23">
        <v>5</v>
      </c>
      <c r="AX25" s="23">
        <v>5</v>
      </c>
      <c r="AY25" s="23">
        <v>5</v>
      </c>
      <c r="AZ25" s="23">
        <v>5</v>
      </c>
      <c r="BA25" s="23">
        <v>5</v>
      </c>
      <c r="BB25" s="23">
        <v>5</v>
      </c>
      <c r="BC25" s="23">
        <v>5</v>
      </c>
      <c r="BD25" s="23">
        <v>5</v>
      </c>
      <c r="BE25" s="23">
        <v>5</v>
      </c>
      <c r="BF25" s="23">
        <v>5</v>
      </c>
      <c r="BG25" s="23">
        <v>5</v>
      </c>
      <c r="BH25" s="23">
        <v>-100</v>
      </c>
      <c r="BI25" s="23">
        <v>-100</v>
      </c>
      <c r="BJ25" s="23">
        <v>-100</v>
      </c>
      <c r="BK25" s="23">
        <v>-100</v>
      </c>
      <c r="BL25" s="23">
        <v>-100</v>
      </c>
      <c r="BM25" s="23">
        <v>-100</v>
      </c>
      <c r="BN25" s="23">
        <v>-100</v>
      </c>
      <c r="BO25" s="23">
        <v>-100</v>
      </c>
    </row>
    <row r="26" spans="1:67" x14ac:dyDescent="0.25">
      <c r="A26" s="22">
        <f>1</f>
        <v>1</v>
      </c>
      <c r="B26" t="s">
        <v>182</v>
      </c>
      <c r="C26">
        <v>100</v>
      </c>
      <c r="D26" s="21" t="s">
        <v>3</v>
      </c>
      <c r="E26" t="s">
        <v>197</v>
      </c>
      <c r="F26" t="s">
        <v>317</v>
      </c>
      <c r="G26" s="21">
        <f>COUNTIF(SCourse[Course],SCourse[[#This Row],[Course]])</f>
        <v>4</v>
      </c>
      <c r="I26" s="21">
        <f>COUNTIF(SCourse[Block],SCourse[[#This Row],[Block]])</f>
        <v>0</v>
      </c>
      <c r="J26" s="21">
        <v>1</v>
      </c>
      <c r="K26" s="21">
        <v>0</v>
      </c>
      <c r="L26" s="21">
        <v>0</v>
      </c>
      <c r="M26" s="21">
        <v>0</v>
      </c>
      <c r="N26" s="21">
        <v>0</v>
      </c>
      <c r="O26" s="21">
        <v>0</v>
      </c>
      <c r="P26" s="21">
        <v>0</v>
      </c>
      <c r="Q26" s="21">
        <v>0</v>
      </c>
      <c r="R26" s="21">
        <v>0</v>
      </c>
      <c r="S26" s="21">
        <v>0</v>
      </c>
      <c r="T26" s="21">
        <v>0</v>
      </c>
      <c r="U26" s="21">
        <v>0</v>
      </c>
      <c r="V26" s="21">
        <v>0</v>
      </c>
      <c r="W26" s="21">
        <v>0</v>
      </c>
      <c r="X26" s="21">
        <v>0</v>
      </c>
      <c r="Y26" s="21">
        <v>0</v>
      </c>
      <c r="Z26" s="21">
        <v>0</v>
      </c>
      <c r="AA26" s="21">
        <v>0</v>
      </c>
      <c r="AB26" s="21">
        <v>0</v>
      </c>
      <c r="AC26" s="21">
        <v>-100</v>
      </c>
      <c r="AD26" s="21">
        <v>0</v>
      </c>
      <c r="AE26" s="21">
        <v>0</v>
      </c>
      <c r="AF26" s="21">
        <v>0</v>
      </c>
      <c r="AG26" s="21">
        <v>0</v>
      </c>
      <c r="AH26" s="21">
        <v>0</v>
      </c>
      <c r="AI26" s="21">
        <v>0</v>
      </c>
      <c r="AJ26" s="21">
        <v>0</v>
      </c>
      <c r="AK26" s="21">
        <v>0</v>
      </c>
      <c r="AL26" s="21">
        <v>0</v>
      </c>
      <c r="AM26" s="21">
        <v>0</v>
      </c>
      <c r="AN26" s="23">
        <v>5</v>
      </c>
      <c r="AO26" s="23">
        <v>5</v>
      </c>
      <c r="AP26" s="23">
        <v>5</v>
      </c>
      <c r="AQ26" s="23">
        <v>5</v>
      </c>
      <c r="AR26" s="23">
        <v>5</v>
      </c>
      <c r="AS26" s="23">
        <v>5</v>
      </c>
      <c r="AT26" s="23">
        <v>5</v>
      </c>
      <c r="AU26" s="23">
        <v>5</v>
      </c>
      <c r="AV26" s="23">
        <v>5</v>
      </c>
      <c r="AW26" s="23">
        <v>5</v>
      </c>
      <c r="AX26" s="23">
        <v>5</v>
      </c>
      <c r="AY26" s="23">
        <v>5</v>
      </c>
      <c r="AZ26" s="23">
        <v>5</v>
      </c>
      <c r="BA26" s="23">
        <v>5</v>
      </c>
      <c r="BB26" s="23">
        <v>5</v>
      </c>
      <c r="BC26" s="23">
        <v>5</v>
      </c>
      <c r="BD26" s="23">
        <v>5</v>
      </c>
      <c r="BE26" s="23">
        <v>-100</v>
      </c>
      <c r="BF26" s="23">
        <v>5</v>
      </c>
      <c r="BG26" s="23">
        <v>5</v>
      </c>
      <c r="BH26" s="23">
        <v>-100</v>
      </c>
      <c r="BI26" s="23">
        <v>-100</v>
      </c>
      <c r="BJ26" s="23">
        <v>-100</v>
      </c>
      <c r="BK26" s="23">
        <v>-100</v>
      </c>
      <c r="BL26" s="23">
        <v>-100</v>
      </c>
      <c r="BM26" s="23">
        <v>-100</v>
      </c>
      <c r="BN26" s="23">
        <v>-100</v>
      </c>
      <c r="BO26" s="23">
        <v>-100</v>
      </c>
    </row>
    <row r="27" spans="1:67" x14ac:dyDescent="0.25">
      <c r="A27" s="22">
        <f>1</f>
        <v>1</v>
      </c>
      <c r="B27" t="s">
        <v>182</v>
      </c>
      <c r="C27">
        <v>200</v>
      </c>
      <c r="D27" s="21" t="s">
        <v>3</v>
      </c>
      <c r="E27" t="s">
        <v>198</v>
      </c>
      <c r="F27" t="s">
        <v>317</v>
      </c>
      <c r="G27" s="21">
        <f>COUNTIF(SCourse[Course],SCourse[[#This Row],[Course]])</f>
        <v>4</v>
      </c>
      <c r="I27" s="21">
        <f>COUNTIF(SCourse[Block],SCourse[[#This Row],[Block]])</f>
        <v>0</v>
      </c>
      <c r="J27" s="21">
        <v>1</v>
      </c>
      <c r="K27" s="21">
        <v>0</v>
      </c>
      <c r="L27" s="21">
        <v>0</v>
      </c>
      <c r="M27" s="21">
        <v>0</v>
      </c>
      <c r="N27" s="21">
        <v>0</v>
      </c>
      <c r="O27" s="21">
        <v>0</v>
      </c>
      <c r="P27" s="21">
        <v>0</v>
      </c>
      <c r="Q27" s="21">
        <v>0</v>
      </c>
      <c r="R27" s="21">
        <v>0</v>
      </c>
      <c r="S27" s="21">
        <v>0</v>
      </c>
      <c r="T27" s="21">
        <v>0</v>
      </c>
      <c r="U27" s="21">
        <v>0</v>
      </c>
      <c r="V27" s="21">
        <v>0</v>
      </c>
      <c r="W27" s="21">
        <v>0</v>
      </c>
      <c r="X27" s="21">
        <v>0</v>
      </c>
      <c r="Y27" s="21">
        <v>0</v>
      </c>
      <c r="Z27" s="21">
        <v>0</v>
      </c>
      <c r="AA27" s="21">
        <v>0</v>
      </c>
      <c r="AB27" s="21">
        <v>0</v>
      </c>
      <c r="AC27" s="21">
        <v>-100</v>
      </c>
      <c r="AD27" s="21">
        <v>0</v>
      </c>
      <c r="AE27" s="21">
        <v>0</v>
      </c>
      <c r="AF27" s="21">
        <v>0</v>
      </c>
      <c r="AG27" s="21">
        <v>0</v>
      </c>
      <c r="AH27" s="21">
        <v>0</v>
      </c>
      <c r="AI27" s="21">
        <v>0</v>
      </c>
      <c r="AJ27" s="21">
        <v>0</v>
      </c>
      <c r="AK27" s="21">
        <v>0</v>
      </c>
      <c r="AL27" s="21">
        <v>0</v>
      </c>
      <c r="AM27" s="21">
        <v>0</v>
      </c>
      <c r="AN27" s="23">
        <v>5</v>
      </c>
      <c r="AO27" s="23">
        <v>5</v>
      </c>
      <c r="AP27" s="23">
        <v>5</v>
      </c>
      <c r="AQ27" s="23">
        <v>5</v>
      </c>
      <c r="AR27" s="23">
        <v>5</v>
      </c>
      <c r="AS27" s="23">
        <v>5</v>
      </c>
      <c r="AT27" s="23">
        <v>5</v>
      </c>
      <c r="AU27" s="23">
        <v>5</v>
      </c>
      <c r="AV27" s="23">
        <v>5</v>
      </c>
      <c r="AW27" s="23">
        <v>5</v>
      </c>
      <c r="AX27" s="23">
        <v>5</v>
      </c>
      <c r="AY27" s="23">
        <v>5</v>
      </c>
      <c r="AZ27" s="23">
        <v>5</v>
      </c>
      <c r="BA27" s="23">
        <v>5</v>
      </c>
      <c r="BB27" s="23">
        <v>5</v>
      </c>
      <c r="BC27" s="23">
        <v>5</v>
      </c>
      <c r="BD27" s="23">
        <v>5</v>
      </c>
      <c r="BE27" s="23">
        <v>-100</v>
      </c>
      <c r="BF27" s="23">
        <v>5</v>
      </c>
      <c r="BG27" s="23">
        <v>5</v>
      </c>
      <c r="BH27" s="23">
        <v>-100</v>
      </c>
      <c r="BI27" s="23">
        <v>-100</v>
      </c>
      <c r="BJ27" s="23">
        <v>-100</v>
      </c>
      <c r="BK27" s="23">
        <v>-100</v>
      </c>
      <c r="BL27" s="23">
        <v>-100</v>
      </c>
      <c r="BM27" s="23">
        <v>-100</v>
      </c>
      <c r="BN27" s="23">
        <v>-100</v>
      </c>
      <c r="BO27" s="23">
        <v>-100</v>
      </c>
    </row>
    <row r="28" spans="1:67" x14ac:dyDescent="0.25">
      <c r="A28" s="22">
        <f>1</f>
        <v>1</v>
      </c>
      <c r="B28" t="s">
        <v>182</v>
      </c>
      <c r="C28">
        <v>300</v>
      </c>
      <c r="D28" s="21" t="s">
        <v>3</v>
      </c>
      <c r="E28" t="s">
        <v>199</v>
      </c>
      <c r="F28" t="s">
        <v>317</v>
      </c>
      <c r="G28" s="21">
        <f>COUNTIF(SCourse[Course],SCourse[[#This Row],[Course]])</f>
        <v>4</v>
      </c>
      <c r="I28" s="21">
        <f>COUNTIF(SCourse[Block],SCourse[[#This Row],[Block]])</f>
        <v>0</v>
      </c>
      <c r="J28" s="21">
        <v>1</v>
      </c>
      <c r="K28" s="21">
        <v>0</v>
      </c>
      <c r="L28" s="21">
        <v>0</v>
      </c>
      <c r="M28" s="21">
        <v>0</v>
      </c>
      <c r="N28" s="21">
        <v>0</v>
      </c>
      <c r="O28" s="21">
        <v>0</v>
      </c>
      <c r="P28" s="21">
        <v>0</v>
      </c>
      <c r="Q28" s="21">
        <v>0</v>
      </c>
      <c r="R28" s="21">
        <v>0</v>
      </c>
      <c r="S28" s="21">
        <v>0</v>
      </c>
      <c r="T28" s="21">
        <v>0</v>
      </c>
      <c r="U28" s="21">
        <v>0</v>
      </c>
      <c r="V28" s="21">
        <v>0</v>
      </c>
      <c r="W28" s="21">
        <v>0</v>
      </c>
      <c r="X28" s="21">
        <v>0</v>
      </c>
      <c r="Y28" s="21">
        <v>0</v>
      </c>
      <c r="Z28" s="21">
        <v>0</v>
      </c>
      <c r="AA28" s="21">
        <v>0</v>
      </c>
      <c r="AB28" s="21">
        <v>0</v>
      </c>
      <c r="AC28" s="21">
        <v>-100</v>
      </c>
      <c r="AD28" s="21">
        <v>0</v>
      </c>
      <c r="AE28" s="21">
        <v>0</v>
      </c>
      <c r="AF28" s="21">
        <v>0</v>
      </c>
      <c r="AG28" s="21">
        <v>0</v>
      </c>
      <c r="AH28" s="21">
        <v>0</v>
      </c>
      <c r="AI28" s="21">
        <v>0</v>
      </c>
      <c r="AJ28" s="21">
        <v>0</v>
      </c>
      <c r="AK28" s="21">
        <v>0</v>
      </c>
      <c r="AL28" s="21">
        <v>0</v>
      </c>
      <c r="AM28" s="21">
        <v>0</v>
      </c>
      <c r="AN28" s="23">
        <v>5</v>
      </c>
      <c r="AO28" s="23">
        <v>5</v>
      </c>
      <c r="AP28" s="23">
        <v>5</v>
      </c>
      <c r="AQ28" s="23">
        <v>5</v>
      </c>
      <c r="AR28" s="23">
        <v>5</v>
      </c>
      <c r="AS28" s="23">
        <v>5</v>
      </c>
      <c r="AT28" s="23">
        <v>5</v>
      </c>
      <c r="AU28" s="23">
        <v>5</v>
      </c>
      <c r="AV28" s="23">
        <v>5</v>
      </c>
      <c r="AW28" s="23">
        <v>5</v>
      </c>
      <c r="AX28" s="23">
        <v>5</v>
      </c>
      <c r="AY28" s="23">
        <v>5</v>
      </c>
      <c r="AZ28" s="23">
        <v>5</v>
      </c>
      <c r="BA28" s="23">
        <v>5</v>
      </c>
      <c r="BB28" s="23">
        <v>5</v>
      </c>
      <c r="BC28" s="23">
        <v>5</v>
      </c>
      <c r="BD28" s="23">
        <v>5</v>
      </c>
      <c r="BE28" s="23">
        <v>-100</v>
      </c>
      <c r="BF28" s="23">
        <v>5</v>
      </c>
      <c r="BG28" s="23">
        <v>5</v>
      </c>
      <c r="BH28" s="23">
        <v>-100</v>
      </c>
      <c r="BI28" s="23">
        <v>-100</v>
      </c>
      <c r="BJ28" s="23">
        <v>-100</v>
      </c>
      <c r="BK28" s="23">
        <v>-100</v>
      </c>
      <c r="BL28" s="23">
        <v>-100</v>
      </c>
      <c r="BM28" s="23">
        <v>-100</v>
      </c>
      <c r="BN28" s="23">
        <v>-100</v>
      </c>
      <c r="BO28" s="23">
        <v>-100</v>
      </c>
    </row>
    <row r="29" spans="1:67" x14ac:dyDescent="0.25">
      <c r="A29" s="22">
        <f>1</f>
        <v>1</v>
      </c>
      <c r="B29" t="s">
        <v>182</v>
      </c>
      <c r="C29">
        <v>400</v>
      </c>
      <c r="D29" s="21" t="s">
        <v>3</v>
      </c>
      <c r="E29" t="s">
        <v>200</v>
      </c>
      <c r="F29" t="s">
        <v>317</v>
      </c>
      <c r="G29" s="21">
        <f>COUNTIF(SCourse[Course],SCourse[[#This Row],[Course]])</f>
        <v>4</v>
      </c>
      <c r="I29" s="21">
        <f>COUNTIF(SCourse[Block],SCourse[[#This Row],[Block]])</f>
        <v>0</v>
      </c>
      <c r="J29" s="21">
        <v>1</v>
      </c>
      <c r="K29" s="21">
        <v>0</v>
      </c>
      <c r="L29" s="21">
        <v>0</v>
      </c>
      <c r="M29" s="21">
        <v>0</v>
      </c>
      <c r="N29" s="21">
        <v>0</v>
      </c>
      <c r="O29" s="21">
        <v>0</v>
      </c>
      <c r="P29" s="21">
        <v>0</v>
      </c>
      <c r="Q29" s="21">
        <v>0</v>
      </c>
      <c r="R29" s="21">
        <v>0</v>
      </c>
      <c r="S29" s="21">
        <v>0</v>
      </c>
      <c r="T29" s="21">
        <v>0</v>
      </c>
      <c r="U29" s="21">
        <v>0</v>
      </c>
      <c r="V29" s="21">
        <v>0</v>
      </c>
      <c r="W29" s="21">
        <v>0</v>
      </c>
      <c r="X29" s="21">
        <v>0</v>
      </c>
      <c r="Y29" s="21">
        <v>0</v>
      </c>
      <c r="Z29" s="21">
        <v>0</v>
      </c>
      <c r="AA29" s="21">
        <v>0</v>
      </c>
      <c r="AB29" s="21">
        <v>0</v>
      </c>
      <c r="AC29" s="21">
        <v>-100</v>
      </c>
      <c r="AD29" s="21">
        <v>0</v>
      </c>
      <c r="AE29" s="21">
        <v>0</v>
      </c>
      <c r="AF29" s="21">
        <v>0</v>
      </c>
      <c r="AG29" s="21">
        <v>0</v>
      </c>
      <c r="AH29" s="21">
        <v>0</v>
      </c>
      <c r="AI29" s="21">
        <v>0</v>
      </c>
      <c r="AJ29" s="21">
        <v>0</v>
      </c>
      <c r="AK29" s="21">
        <v>0</v>
      </c>
      <c r="AL29" s="21">
        <v>0</v>
      </c>
      <c r="AM29" s="21">
        <v>0</v>
      </c>
      <c r="AN29" s="23">
        <v>5</v>
      </c>
      <c r="AO29" s="23">
        <v>5</v>
      </c>
      <c r="AP29" s="23">
        <v>5</v>
      </c>
      <c r="AQ29" s="23">
        <v>5</v>
      </c>
      <c r="AR29" s="23">
        <v>5</v>
      </c>
      <c r="AS29" s="23">
        <v>5</v>
      </c>
      <c r="AT29" s="23">
        <v>5</v>
      </c>
      <c r="AU29" s="23">
        <v>5</v>
      </c>
      <c r="AV29" s="23">
        <v>5</v>
      </c>
      <c r="AW29" s="23">
        <v>5</v>
      </c>
      <c r="AX29" s="23">
        <v>5</v>
      </c>
      <c r="AY29" s="23">
        <v>5</v>
      </c>
      <c r="AZ29" s="23">
        <v>5</v>
      </c>
      <c r="BA29" s="23">
        <v>5</v>
      </c>
      <c r="BB29" s="23">
        <v>5</v>
      </c>
      <c r="BC29" s="23">
        <v>5</v>
      </c>
      <c r="BD29" s="23">
        <v>5</v>
      </c>
      <c r="BE29" s="23">
        <v>-100</v>
      </c>
      <c r="BF29" s="23">
        <v>5</v>
      </c>
      <c r="BG29" s="23">
        <v>5</v>
      </c>
      <c r="BH29" s="23">
        <v>-100</v>
      </c>
      <c r="BI29" s="23">
        <v>-100</v>
      </c>
      <c r="BJ29" s="23">
        <v>-100</v>
      </c>
      <c r="BK29" s="23">
        <v>-100</v>
      </c>
      <c r="BL29" s="23">
        <v>-100</v>
      </c>
      <c r="BM29" s="23">
        <v>-100</v>
      </c>
      <c r="BN29" s="23">
        <v>-100</v>
      </c>
      <c r="BO29" s="23">
        <v>-100</v>
      </c>
    </row>
    <row r="30" spans="1:67" x14ac:dyDescent="0.25">
      <c r="A30" s="22">
        <f>1</f>
        <v>1</v>
      </c>
      <c r="B30" t="s">
        <v>183</v>
      </c>
      <c r="C30">
        <v>100</v>
      </c>
      <c r="D30" s="21" t="s">
        <v>3</v>
      </c>
      <c r="E30" t="s">
        <v>201</v>
      </c>
      <c r="F30" t="s">
        <v>314</v>
      </c>
      <c r="G30" s="21">
        <f>COUNTIF(SCourse[Course],SCourse[[#This Row],[Course]])</f>
        <v>4</v>
      </c>
      <c r="I30" s="21">
        <f>COUNTIF(SCourse[Block],SCourse[[#This Row],[Block]])</f>
        <v>0</v>
      </c>
      <c r="J30" s="21">
        <v>3</v>
      </c>
      <c r="K30" s="21">
        <v>0</v>
      </c>
      <c r="L30" s="21">
        <v>0</v>
      </c>
      <c r="M30" s="21">
        <v>-100</v>
      </c>
      <c r="N30" s="21">
        <v>0</v>
      </c>
      <c r="O30" s="21">
        <v>0</v>
      </c>
      <c r="P30" s="21">
        <v>0</v>
      </c>
      <c r="Q30" s="21">
        <v>0</v>
      </c>
      <c r="R30" s="21">
        <v>0</v>
      </c>
      <c r="S30" s="21">
        <v>0</v>
      </c>
      <c r="T30" s="21">
        <v>0</v>
      </c>
      <c r="U30" s="21">
        <v>0</v>
      </c>
      <c r="V30" s="21">
        <v>50</v>
      </c>
      <c r="W30" s="21">
        <v>0</v>
      </c>
      <c r="X30" s="21">
        <v>0</v>
      </c>
      <c r="Y30" s="21">
        <v>0</v>
      </c>
      <c r="Z30" s="21">
        <v>50</v>
      </c>
      <c r="AA30" s="21">
        <v>0</v>
      </c>
      <c r="AB30" s="21">
        <v>0</v>
      </c>
      <c r="AC30" s="21">
        <v>0</v>
      </c>
      <c r="AD30" s="21">
        <v>0</v>
      </c>
      <c r="AE30" s="21">
        <v>0</v>
      </c>
      <c r="AF30" s="21">
        <v>0</v>
      </c>
      <c r="AG30" s="21">
        <v>0</v>
      </c>
      <c r="AH30" s="21">
        <v>0</v>
      </c>
      <c r="AI30" s="21">
        <v>0</v>
      </c>
      <c r="AJ30" s="21">
        <v>0</v>
      </c>
      <c r="AK30" s="21">
        <v>0</v>
      </c>
      <c r="AL30" s="21">
        <v>0</v>
      </c>
      <c r="AM30" s="21">
        <v>0</v>
      </c>
      <c r="AN30" s="23">
        <v>0</v>
      </c>
      <c r="AO30" s="23">
        <v>-100</v>
      </c>
      <c r="AP30" s="23">
        <v>0</v>
      </c>
      <c r="AQ30" s="23">
        <v>0</v>
      </c>
      <c r="AR30" s="23">
        <v>0</v>
      </c>
      <c r="AS30" s="23">
        <v>0</v>
      </c>
      <c r="AT30" s="23">
        <v>0</v>
      </c>
      <c r="AU30" s="23">
        <v>0</v>
      </c>
      <c r="AV30" s="23">
        <v>0</v>
      </c>
      <c r="AW30" s="23">
        <v>0</v>
      </c>
      <c r="AX30" s="23">
        <v>50</v>
      </c>
      <c r="AY30" s="23">
        <v>0</v>
      </c>
      <c r="AZ30" s="23">
        <v>0</v>
      </c>
      <c r="BA30" s="23">
        <v>0</v>
      </c>
      <c r="BB30" s="23">
        <v>50</v>
      </c>
      <c r="BC30" s="23">
        <v>0</v>
      </c>
      <c r="BD30" s="23">
        <v>0</v>
      </c>
      <c r="BE30" s="23">
        <v>0</v>
      </c>
      <c r="BF30" s="23">
        <v>0</v>
      </c>
      <c r="BG30" s="23">
        <v>0</v>
      </c>
      <c r="BH30" s="23">
        <v>-100</v>
      </c>
      <c r="BI30" s="23">
        <v>-100</v>
      </c>
      <c r="BJ30" s="23">
        <v>-100</v>
      </c>
      <c r="BK30" s="23">
        <v>-100</v>
      </c>
      <c r="BL30" s="23">
        <v>-100</v>
      </c>
      <c r="BM30" s="23">
        <v>-100</v>
      </c>
      <c r="BN30" s="23">
        <v>-100</v>
      </c>
      <c r="BO30" s="23">
        <v>-100</v>
      </c>
    </row>
    <row r="31" spans="1:67" x14ac:dyDescent="0.25">
      <c r="A31" s="22">
        <f>1</f>
        <v>1</v>
      </c>
      <c r="B31" t="s">
        <v>183</v>
      </c>
      <c r="C31">
        <v>200</v>
      </c>
      <c r="D31" s="21" t="s">
        <v>3</v>
      </c>
      <c r="E31" t="s">
        <v>202</v>
      </c>
      <c r="F31" t="s">
        <v>314</v>
      </c>
      <c r="G31" s="21">
        <f>COUNTIF(SCourse[Course],SCourse[[#This Row],[Course]])</f>
        <v>4</v>
      </c>
      <c r="I31" s="21">
        <f>COUNTIF(SCourse[Block],SCourse[[#This Row],[Block]])</f>
        <v>0</v>
      </c>
      <c r="J31" s="21">
        <v>3</v>
      </c>
      <c r="K31" s="21">
        <v>0</v>
      </c>
      <c r="L31" s="21">
        <v>0</v>
      </c>
      <c r="M31" s="21">
        <v>-100</v>
      </c>
      <c r="N31" s="21">
        <v>0</v>
      </c>
      <c r="O31" s="21">
        <v>0</v>
      </c>
      <c r="P31" s="21">
        <v>0</v>
      </c>
      <c r="Q31" s="21">
        <v>0</v>
      </c>
      <c r="R31" s="21">
        <v>0</v>
      </c>
      <c r="S31" s="21">
        <v>0</v>
      </c>
      <c r="T31" s="21">
        <v>0</v>
      </c>
      <c r="U31" s="21">
        <v>0</v>
      </c>
      <c r="V31" s="21">
        <v>50</v>
      </c>
      <c r="W31" s="21">
        <v>0</v>
      </c>
      <c r="X31" s="21">
        <v>0</v>
      </c>
      <c r="Y31" s="21">
        <v>0</v>
      </c>
      <c r="Z31" s="21">
        <v>50</v>
      </c>
      <c r="AA31" s="21">
        <v>0</v>
      </c>
      <c r="AB31" s="21">
        <v>0</v>
      </c>
      <c r="AC31" s="21">
        <v>0</v>
      </c>
      <c r="AD31" s="21">
        <v>0</v>
      </c>
      <c r="AE31" s="21">
        <v>0</v>
      </c>
      <c r="AF31" s="21">
        <v>0</v>
      </c>
      <c r="AG31" s="21">
        <v>0</v>
      </c>
      <c r="AH31" s="21">
        <v>0</v>
      </c>
      <c r="AI31" s="21">
        <v>0</v>
      </c>
      <c r="AJ31" s="21">
        <v>0</v>
      </c>
      <c r="AK31" s="21">
        <v>0</v>
      </c>
      <c r="AL31" s="21">
        <v>0</v>
      </c>
      <c r="AM31" s="21">
        <v>0</v>
      </c>
      <c r="AN31" s="23">
        <v>0</v>
      </c>
      <c r="AO31" s="23">
        <v>-100</v>
      </c>
      <c r="AP31" s="23">
        <v>0</v>
      </c>
      <c r="AQ31" s="23">
        <v>0</v>
      </c>
      <c r="AR31" s="23">
        <v>0</v>
      </c>
      <c r="AS31" s="23">
        <v>0</v>
      </c>
      <c r="AT31" s="23">
        <v>0</v>
      </c>
      <c r="AU31" s="23">
        <v>0</v>
      </c>
      <c r="AV31" s="23">
        <v>0</v>
      </c>
      <c r="AW31" s="23">
        <v>0</v>
      </c>
      <c r="AX31" s="23">
        <v>50</v>
      </c>
      <c r="AY31" s="23">
        <v>0</v>
      </c>
      <c r="AZ31" s="23">
        <v>0</v>
      </c>
      <c r="BA31" s="23">
        <v>0</v>
      </c>
      <c r="BB31" s="23">
        <v>50</v>
      </c>
      <c r="BC31" s="23">
        <v>0</v>
      </c>
      <c r="BD31" s="23">
        <v>0</v>
      </c>
      <c r="BE31" s="23">
        <v>0</v>
      </c>
      <c r="BF31" s="23">
        <v>0</v>
      </c>
      <c r="BG31" s="23">
        <v>0</v>
      </c>
      <c r="BH31" s="23">
        <v>-100</v>
      </c>
      <c r="BI31" s="23">
        <v>-100</v>
      </c>
      <c r="BJ31" s="23">
        <v>-100</v>
      </c>
      <c r="BK31" s="23">
        <v>-100</v>
      </c>
      <c r="BL31" s="23">
        <v>-100</v>
      </c>
      <c r="BM31" s="23">
        <v>-100</v>
      </c>
      <c r="BN31" s="23">
        <v>-100</v>
      </c>
      <c r="BO31" s="23">
        <v>-100</v>
      </c>
    </row>
    <row r="32" spans="1:67" x14ac:dyDescent="0.25">
      <c r="A32" s="22">
        <f>1</f>
        <v>1</v>
      </c>
      <c r="B32" t="s">
        <v>183</v>
      </c>
      <c r="C32">
        <v>300</v>
      </c>
      <c r="D32" s="21" t="s">
        <v>3</v>
      </c>
      <c r="E32" t="s">
        <v>203</v>
      </c>
      <c r="F32" t="s">
        <v>314</v>
      </c>
      <c r="G32" s="21">
        <f>COUNTIF(SCourse[Course],SCourse[[#This Row],[Course]])</f>
        <v>4</v>
      </c>
      <c r="I32" s="21">
        <f>COUNTIF(SCourse[Block],SCourse[[#This Row],[Block]])</f>
        <v>0</v>
      </c>
      <c r="J32" s="21">
        <v>3</v>
      </c>
      <c r="K32" s="21">
        <v>0</v>
      </c>
      <c r="L32" s="21">
        <v>0</v>
      </c>
      <c r="M32" s="21">
        <v>-100</v>
      </c>
      <c r="N32" s="21">
        <v>0</v>
      </c>
      <c r="O32" s="21">
        <v>0</v>
      </c>
      <c r="P32" s="21">
        <v>0</v>
      </c>
      <c r="Q32" s="21">
        <v>0</v>
      </c>
      <c r="R32" s="21">
        <v>0</v>
      </c>
      <c r="S32" s="21">
        <v>0</v>
      </c>
      <c r="T32" s="21">
        <v>0</v>
      </c>
      <c r="U32" s="21">
        <v>0</v>
      </c>
      <c r="V32" s="21">
        <v>50</v>
      </c>
      <c r="W32" s="21">
        <v>0</v>
      </c>
      <c r="X32" s="21">
        <v>0</v>
      </c>
      <c r="Y32" s="21">
        <v>0</v>
      </c>
      <c r="Z32" s="21">
        <v>50</v>
      </c>
      <c r="AA32" s="21">
        <v>0</v>
      </c>
      <c r="AB32" s="21">
        <v>0</v>
      </c>
      <c r="AC32" s="21">
        <v>0</v>
      </c>
      <c r="AD32" s="21">
        <v>0</v>
      </c>
      <c r="AE32" s="21">
        <v>0</v>
      </c>
      <c r="AF32" s="21">
        <v>0</v>
      </c>
      <c r="AG32" s="21">
        <v>0</v>
      </c>
      <c r="AH32" s="21">
        <v>0</v>
      </c>
      <c r="AI32" s="21">
        <v>0</v>
      </c>
      <c r="AJ32" s="21">
        <v>0</v>
      </c>
      <c r="AK32" s="21">
        <v>0</v>
      </c>
      <c r="AL32" s="21">
        <v>0</v>
      </c>
      <c r="AM32" s="21">
        <v>0</v>
      </c>
      <c r="AN32" s="23">
        <v>0</v>
      </c>
      <c r="AO32" s="23">
        <v>-100</v>
      </c>
      <c r="AP32" s="23">
        <v>0</v>
      </c>
      <c r="AQ32" s="23">
        <v>0</v>
      </c>
      <c r="AR32" s="23">
        <v>0</v>
      </c>
      <c r="AS32" s="23">
        <v>0</v>
      </c>
      <c r="AT32" s="23">
        <v>0</v>
      </c>
      <c r="AU32" s="23">
        <v>0</v>
      </c>
      <c r="AV32" s="23">
        <v>0</v>
      </c>
      <c r="AW32" s="23">
        <v>0</v>
      </c>
      <c r="AX32" s="23">
        <v>50</v>
      </c>
      <c r="AY32" s="23">
        <v>0</v>
      </c>
      <c r="AZ32" s="23">
        <v>0</v>
      </c>
      <c r="BA32" s="23">
        <v>0</v>
      </c>
      <c r="BB32" s="23">
        <v>50</v>
      </c>
      <c r="BC32" s="23">
        <v>0</v>
      </c>
      <c r="BD32" s="23">
        <v>0</v>
      </c>
      <c r="BE32" s="23">
        <v>0</v>
      </c>
      <c r="BF32" s="23">
        <v>0</v>
      </c>
      <c r="BG32" s="23">
        <v>0</v>
      </c>
      <c r="BH32" s="23">
        <v>-100</v>
      </c>
      <c r="BI32" s="23">
        <v>-100</v>
      </c>
      <c r="BJ32" s="23">
        <v>-100</v>
      </c>
      <c r="BK32" s="23">
        <v>-100</v>
      </c>
      <c r="BL32" s="23">
        <v>-100</v>
      </c>
      <c r="BM32" s="23">
        <v>-100</v>
      </c>
      <c r="BN32" s="23">
        <v>-100</v>
      </c>
      <c r="BO32" s="23">
        <v>-100</v>
      </c>
    </row>
    <row r="33" spans="1:67" x14ac:dyDescent="0.25">
      <c r="A33" s="22">
        <f>1</f>
        <v>1</v>
      </c>
      <c r="B33" t="s">
        <v>183</v>
      </c>
      <c r="C33">
        <v>400</v>
      </c>
      <c r="D33" s="21" t="s">
        <v>3</v>
      </c>
      <c r="E33" t="s">
        <v>204</v>
      </c>
      <c r="F33" t="s">
        <v>314</v>
      </c>
      <c r="G33" s="21">
        <f>COUNTIF(SCourse[Course],SCourse[[#This Row],[Course]])</f>
        <v>4</v>
      </c>
      <c r="I33" s="21">
        <f>COUNTIF(SCourse[Block],SCourse[[#This Row],[Block]])</f>
        <v>0</v>
      </c>
      <c r="J33" s="21">
        <v>3</v>
      </c>
      <c r="K33" s="21">
        <v>0</v>
      </c>
      <c r="L33" s="21">
        <v>0</v>
      </c>
      <c r="M33" s="21">
        <v>-100</v>
      </c>
      <c r="N33" s="21">
        <v>0</v>
      </c>
      <c r="O33" s="21">
        <v>0</v>
      </c>
      <c r="P33" s="21">
        <v>0</v>
      </c>
      <c r="Q33" s="21">
        <v>0</v>
      </c>
      <c r="R33" s="21">
        <v>0</v>
      </c>
      <c r="S33" s="21">
        <v>0</v>
      </c>
      <c r="T33" s="21">
        <v>0</v>
      </c>
      <c r="U33" s="21">
        <v>0</v>
      </c>
      <c r="V33" s="21">
        <v>50</v>
      </c>
      <c r="W33" s="21">
        <v>0</v>
      </c>
      <c r="X33" s="21">
        <v>0</v>
      </c>
      <c r="Y33" s="21">
        <v>0</v>
      </c>
      <c r="Z33" s="21">
        <v>50</v>
      </c>
      <c r="AA33" s="21">
        <v>0</v>
      </c>
      <c r="AB33" s="21">
        <v>0</v>
      </c>
      <c r="AC33" s="21">
        <v>0</v>
      </c>
      <c r="AD33" s="21">
        <v>0</v>
      </c>
      <c r="AE33" s="21">
        <v>0</v>
      </c>
      <c r="AF33" s="21">
        <v>0</v>
      </c>
      <c r="AG33" s="21">
        <v>0</v>
      </c>
      <c r="AH33" s="21">
        <v>0</v>
      </c>
      <c r="AI33" s="21">
        <v>0</v>
      </c>
      <c r="AJ33" s="21">
        <v>0</v>
      </c>
      <c r="AK33" s="21">
        <v>0</v>
      </c>
      <c r="AL33" s="21">
        <v>0</v>
      </c>
      <c r="AM33" s="21">
        <v>0</v>
      </c>
      <c r="AN33" s="23">
        <v>0</v>
      </c>
      <c r="AO33" s="23">
        <v>-100</v>
      </c>
      <c r="AP33" s="23">
        <v>0</v>
      </c>
      <c r="AQ33" s="23">
        <v>0</v>
      </c>
      <c r="AR33" s="23">
        <v>0</v>
      </c>
      <c r="AS33" s="23">
        <v>0</v>
      </c>
      <c r="AT33" s="23">
        <v>0</v>
      </c>
      <c r="AU33" s="23">
        <v>0</v>
      </c>
      <c r="AV33" s="23">
        <v>0</v>
      </c>
      <c r="AW33" s="23">
        <v>0</v>
      </c>
      <c r="AX33" s="23">
        <v>50</v>
      </c>
      <c r="AY33" s="23">
        <v>0</v>
      </c>
      <c r="AZ33" s="23">
        <v>0</v>
      </c>
      <c r="BA33" s="23">
        <v>0</v>
      </c>
      <c r="BB33" s="23">
        <v>50</v>
      </c>
      <c r="BC33" s="23">
        <v>0</v>
      </c>
      <c r="BD33" s="23">
        <v>0</v>
      </c>
      <c r="BE33" s="23">
        <v>0</v>
      </c>
      <c r="BF33" s="23">
        <v>0</v>
      </c>
      <c r="BG33" s="23">
        <v>0</v>
      </c>
      <c r="BH33" s="23">
        <v>-100</v>
      </c>
      <c r="BI33" s="23">
        <v>-100</v>
      </c>
      <c r="BJ33" s="23">
        <v>-100</v>
      </c>
      <c r="BK33" s="23">
        <v>-100</v>
      </c>
      <c r="BL33" s="23">
        <v>-100</v>
      </c>
      <c r="BM33" s="23">
        <v>-100</v>
      </c>
      <c r="BN33" s="23">
        <v>-100</v>
      </c>
      <c r="BO33" s="23">
        <v>-100</v>
      </c>
    </row>
    <row r="34" spans="1:67" x14ac:dyDescent="0.25">
      <c r="A34" s="22">
        <f>1</f>
        <v>1</v>
      </c>
      <c r="B34" t="s">
        <v>41</v>
      </c>
      <c r="C34">
        <v>100</v>
      </c>
      <c r="D34" s="21" t="s">
        <v>3</v>
      </c>
      <c r="E34" t="s">
        <v>212</v>
      </c>
      <c r="F34" t="s">
        <v>340</v>
      </c>
      <c r="G34" s="21">
        <f>COUNTIF(SCourse[Course],SCourse[[#This Row],[Course]])</f>
        <v>3</v>
      </c>
      <c r="I34" s="21">
        <f>COUNTIF(SCourse[Block],SCourse[[#This Row],[Block]])</f>
        <v>0</v>
      </c>
      <c r="J34" s="21">
        <v>1</v>
      </c>
      <c r="K34" s="21">
        <v>0</v>
      </c>
      <c r="L34" s="21">
        <v>0</v>
      </c>
      <c r="M34" s="21">
        <v>0</v>
      </c>
      <c r="N34" s="21">
        <v>0</v>
      </c>
      <c r="O34" s="21">
        <v>0</v>
      </c>
      <c r="P34" s="21">
        <v>0</v>
      </c>
      <c r="Q34" s="21">
        <v>0</v>
      </c>
      <c r="R34" s="21">
        <v>0</v>
      </c>
      <c r="S34" s="21">
        <v>0</v>
      </c>
      <c r="T34" s="21">
        <v>0</v>
      </c>
      <c r="U34" s="21">
        <v>0</v>
      </c>
      <c r="V34" s="21">
        <v>0</v>
      </c>
      <c r="W34" s="21">
        <v>0</v>
      </c>
      <c r="X34" s="21">
        <v>0</v>
      </c>
      <c r="Y34" s="21">
        <v>0</v>
      </c>
      <c r="Z34" s="21">
        <v>0</v>
      </c>
      <c r="AA34" s="21">
        <v>0</v>
      </c>
      <c r="AB34" s="21">
        <v>0</v>
      </c>
      <c r="AC34" s="21">
        <v>0</v>
      </c>
      <c r="AD34" s="21">
        <v>0</v>
      </c>
      <c r="AE34" s="21">
        <v>0</v>
      </c>
      <c r="AF34" s="21">
        <v>0</v>
      </c>
      <c r="AG34" s="21">
        <v>-100</v>
      </c>
      <c r="AH34" s="21">
        <v>0</v>
      </c>
      <c r="AI34" s="21">
        <v>0</v>
      </c>
      <c r="AJ34" s="21">
        <v>0</v>
      </c>
      <c r="AK34" s="21">
        <v>0</v>
      </c>
      <c r="AL34" s="21">
        <v>0</v>
      </c>
      <c r="AM34" s="21">
        <v>0</v>
      </c>
      <c r="AN34" s="23">
        <v>5</v>
      </c>
      <c r="AO34" s="23">
        <v>5</v>
      </c>
      <c r="AP34" s="23">
        <v>5</v>
      </c>
      <c r="AQ34" s="23">
        <v>5</v>
      </c>
      <c r="AR34" s="23">
        <v>5</v>
      </c>
      <c r="AS34" s="23">
        <v>5</v>
      </c>
      <c r="AT34" s="23">
        <v>5</v>
      </c>
      <c r="AU34" s="23">
        <v>5</v>
      </c>
      <c r="AV34" s="23">
        <v>5</v>
      </c>
      <c r="AW34" s="23">
        <v>5</v>
      </c>
      <c r="AX34" s="23">
        <v>5</v>
      </c>
      <c r="AY34" s="23">
        <v>5</v>
      </c>
      <c r="AZ34" s="23">
        <v>5</v>
      </c>
      <c r="BA34" s="23">
        <v>5</v>
      </c>
      <c r="BB34" s="23">
        <v>5</v>
      </c>
      <c r="BC34" s="23">
        <v>5</v>
      </c>
      <c r="BD34" s="23">
        <v>5</v>
      </c>
      <c r="BE34" s="23">
        <v>5</v>
      </c>
      <c r="BF34" s="23">
        <v>5</v>
      </c>
      <c r="BG34" s="23">
        <v>5</v>
      </c>
      <c r="BH34" s="23">
        <v>-100</v>
      </c>
      <c r="BI34" s="23">
        <v>-100</v>
      </c>
      <c r="BJ34" s="23">
        <v>-100</v>
      </c>
      <c r="BK34" s="23">
        <v>-100</v>
      </c>
      <c r="BL34" s="23">
        <v>-100</v>
      </c>
      <c r="BM34" s="23">
        <v>-100</v>
      </c>
      <c r="BN34" s="23">
        <v>-100</v>
      </c>
      <c r="BO34" s="23">
        <v>-100</v>
      </c>
    </row>
    <row r="35" spans="1:67" x14ac:dyDescent="0.25">
      <c r="A35" s="22">
        <f>1</f>
        <v>1</v>
      </c>
      <c r="B35" t="s">
        <v>41</v>
      </c>
      <c r="C35">
        <v>200</v>
      </c>
      <c r="D35" s="21" t="s">
        <v>3</v>
      </c>
      <c r="E35" t="s">
        <v>280</v>
      </c>
      <c r="F35" t="s">
        <v>340</v>
      </c>
      <c r="G35" s="21">
        <f>COUNTIF(SCourse[Course],SCourse[[#This Row],[Course]])</f>
        <v>3</v>
      </c>
      <c r="I35" s="21">
        <f>COUNTIF(SCourse[Block],SCourse[[#This Row],[Block]])</f>
        <v>0</v>
      </c>
      <c r="J35" s="21">
        <v>1</v>
      </c>
      <c r="K35" s="21">
        <v>0</v>
      </c>
      <c r="L35" s="21">
        <v>0</v>
      </c>
      <c r="M35" s="21">
        <v>0</v>
      </c>
      <c r="N35" s="21">
        <v>0</v>
      </c>
      <c r="O35" s="21">
        <v>0</v>
      </c>
      <c r="P35" s="21">
        <v>0</v>
      </c>
      <c r="Q35" s="21">
        <v>0</v>
      </c>
      <c r="R35" s="21">
        <v>0</v>
      </c>
      <c r="S35" s="21">
        <v>0</v>
      </c>
      <c r="T35" s="21">
        <v>0</v>
      </c>
      <c r="U35" s="21">
        <v>0</v>
      </c>
      <c r="V35" s="21">
        <v>0</v>
      </c>
      <c r="W35" s="21">
        <v>0</v>
      </c>
      <c r="X35" s="21">
        <v>0</v>
      </c>
      <c r="Y35" s="21">
        <v>0</v>
      </c>
      <c r="Z35" s="21">
        <v>0</v>
      </c>
      <c r="AA35" s="21">
        <v>0</v>
      </c>
      <c r="AB35" s="21">
        <v>0</v>
      </c>
      <c r="AC35" s="21">
        <v>0</v>
      </c>
      <c r="AD35" s="21">
        <v>0</v>
      </c>
      <c r="AE35" s="21">
        <v>0</v>
      </c>
      <c r="AF35" s="21">
        <v>0</v>
      </c>
      <c r="AG35" s="21">
        <v>-100</v>
      </c>
      <c r="AH35" s="21">
        <v>0</v>
      </c>
      <c r="AI35" s="21">
        <v>0</v>
      </c>
      <c r="AJ35" s="21">
        <v>0</v>
      </c>
      <c r="AK35" s="21">
        <v>0</v>
      </c>
      <c r="AL35" s="21">
        <v>0</v>
      </c>
      <c r="AM35" s="21">
        <v>0</v>
      </c>
      <c r="AN35" s="23">
        <v>5</v>
      </c>
      <c r="AO35" s="23">
        <v>5</v>
      </c>
      <c r="AP35" s="23">
        <v>5</v>
      </c>
      <c r="AQ35" s="23">
        <v>5</v>
      </c>
      <c r="AR35" s="23">
        <v>5</v>
      </c>
      <c r="AS35" s="23">
        <v>5</v>
      </c>
      <c r="AT35" s="23">
        <v>5</v>
      </c>
      <c r="AU35" s="23">
        <v>5</v>
      </c>
      <c r="AV35" s="23">
        <v>5</v>
      </c>
      <c r="AW35" s="23">
        <v>5</v>
      </c>
      <c r="AX35" s="23">
        <v>5</v>
      </c>
      <c r="AY35" s="23">
        <v>5</v>
      </c>
      <c r="AZ35" s="23">
        <v>5</v>
      </c>
      <c r="BA35" s="23">
        <v>5</v>
      </c>
      <c r="BB35" s="23">
        <v>5</v>
      </c>
      <c r="BC35" s="23">
        <v>5</v>
      </c>
      <c r="BD35" s="23">
        <v>5</v>
      </c>
      <c r="BE35" s="23">
        <v>5</v>
      </c>
      <c r="BF35" s="23">
        <v>5</v>
      </c>
      <c r="BG35" s="23">
        <v>5</v>
      </c>
      <c r="BH35" s="23">
        <v>-100</v>
      </c>
      <c r="BI35" s="23">
        <v>-100</v>
      </c>
      <c r="BJ35" s="23">
        <v>-100</v>
      </c>
      <c r="BK35" s="23">
        <v>-100</v>
      </c>
      <c r="BL35" s="23">
        <v>-100</v>
      </c>
      <c r="BM35" s="23">
        <v>-100</v>
      </c>
      <c r="BN35" s="23">
        <v>-100</v>
      </c>
      <c r="BO35" s="23">
        <v>-100</v>
      </c>
    </row>
    <row r="36" spans="1:67" x14ac:dyDescent="0.25">
      <c r="A36" s="22">
        <f>1</f>
        <v>1</v>
      </c>
      <c r="B36" t="s">
        <v>41</v>
      </c>
      <c r="C36">
        <v>300</v>
      </c>
      <c r="D36" s="21" t="s">
        <v>3</v>
      </c>
      <c r="E36" t="s">
        <v>289</v>
      </c>
      <c r="F36" t="s">
        <v>340</v>
      </c>
      <c r="G36" s="21">
        <f>COUNTIF(SCourse[Course],SCourse[[#This Row],[Course]])</f>
        <v>3</v>
      </c>
      <c r="I36" s="21">
        <f>COUNTIF(SCourse[Block],SCourse[[#This Row],[Block]])</f>
        <v>0</v>
      </c>
      <c r="J36" s="21">
        <v>1</v>
      </c>
      <c r="K36" s="21">
        <v>0</v>
      </c>
      <c r="L36" s="21">
        <v>0</v>
      </c>
      <c r="M36" s="21">
        <v>0</v>
      </c>
      <c r="N36" s="21">
        <v>0</v>
      </c>
      <c r="O36" s="21">
        <v>0</v>
      </c>
      <c r="P36" s="21">
        <v>0</v>
      </c>
      <c r="Q36" s="21">
        <v>0</v>
      </c>
      <c r="R36" s="21">
        <v>0</v>
      </c>
      <c r="S36" s="21">
        <v>0</v>
      </c>
      <c r="T36" s="21">
        <v>0</v>
      </c>
      <c r="U36" s="21">
        <v>0</v>
      </c>
      <c r="V36" s="21">
        <v>0</v>
      </c>
      <c r="W36" s="21">
        <v>0</v>
      </c>
      <c r="X36" s="21">
        <v>0</v>
      </c>
      <c r="Y36" s="21">
        <v>0</v>
      </c>
      <c r="Z36" s="21">
        <v>0</v>
      </c>
      <c r="AA36" s="21">
        <v>0</v>
      </c>
      <c r="AB36" s="21">
        <v>0</v>
      </c>
      <c r="AC36" s="21">
        <v>0</v>
      </c>
      <c r="AD36" s="21">
        <v>0</v>
      </c>
      <c r="AE36" s="21">
        <v>0</v>
      </c>
      <c r="AF36" s="21">
        <v>0</v>
      </c>
      <c r="AG36" s="21">
        <v>-100</v>
      </c>
      <c r="AH36" s="21">
        <v>0</v>
      </c>
      <c r="AI36" s="21">
        <v>0</v>
      </c>
      <c r="AJ36" s="21">
        <v>0</v>
      </c>
      <c r="AK36" s="21">
        <v>0</v>
      </c>
      <c r="AL36" s="21">
        <v>0</v>
      </c>
      <c r="AM36" s="21">
        <v>0</v>
      </c>
      <c r="AN36" s="23">
        <v>5</v>
      </c>
      <c r="AO36" s="23">
        <v>5</v>
      </c>
      <c r="AP36" s="23">
        <v>5</v>
      </c>
      <c r="AQ36" s="23">
        <v>5</v>
      </c>
      <c r="AR36" s="23">
        <v>5</v>
      </c>
      <c r="AS36" s="23">
        <v>5</v>
      </c>
      <c r="AT36" s="23">
        <v>5</v>
      </c>
      <c r="AU36" s="23">
        <v>5</v>
      </c>
      <c r="AV36" s="23">
        <v>5</v>
      </c>
      <c r="AW36" s="23">
        <v>5</v>
      </c>
      <c r="AX36" s="23">
        <v>5</v>
      </c>
      <c r="AY36" s="23">
        <v>5</v>
      </c>
      <c r="AZ36" s="23">
        <v>5</v>
      </c>
      <c r="BA36" s="23">
        <v>5</v>
      </c>
      <c r="BB36" s="23">
        <v>5</v>
      </c>
      <c r="BC36" s="23">
        <v>5</v>
      </c>
      <c r="BD36" s="23">
        <v>5</v>
      </c>
      <c r="BE36" s="23">
        <v>5</v>
      </c>
      <c r="BF36" s="23">
        <v>5</v>
      </c>
      <c r="BG36" s="23">
        <v>5</v>
      </c>
      <c r="BH36" s="23">
        <v>-100</v>
      </c>
      <c r="BI36" s="23">
        <v>-100</v>
      </c>
      <c r="BJ36" s="23">
        <v>-100</v>
      </c>
      <c r="BK36" s="23">
        <v>-100</v>
      </c>
      <c r="BL36" s="23">
        <v>-100</v>
      </c>
      <c r="BM36" s="23">
        <v>-100</v>
      </c>
      <c r="BN36" s="23">
        <v>-100</v>
      </c>
      <c r="BO36" s="23">
        <v>-100</v>
      </c>
    </row>
    <row r="37" spans="1:67" x14ac:dyDescent="0.25">
      <c r="A37" s="22">
        <f>1</f>
        <v>1</v>
      </c>
      <c r="B37" t="s">
        <v>42</v>
      </c>
      <c r="C37">
        <v>100</v>
      </c>
      <c r="D37" s="21" t="s">
        <v>3</v>
      </c>
      <c r="E37" t="s">
        <v>213</v>
      </c>
      <c r="F37" t="s">
        <v>334</v>
      </c>
      <c r="G37" s="21">
        <f>COUNTIF(SCourse[Course],SCourse[[#This Row],[Course]])</f>
        <v>3</v>
      </c>
      <c r="I37" s="21">
        <f>COUNTIF(SCourse[Block],SCourse[[#This Row],[Block]])</f>
        <v>0</v>
      </c>
      <c r="J37" s="21">
        <v>1</v>
      </c>
      <c r="K37" s="21">
        <v>0</v>
      </c>
      <c r="L37" s="21">
        <v>0</v>
      </c>
      <c r="M37" s="21">
        <v>0</v>
      </c>
      <c r="N37" s="21">
        <v>0</v>
      </c>
      <c r="O37" s="21">
        <v>0</v>
      </c>
      <c r="P37" s="21">
        <v>0</v>
      </c>
      <c r="Q37" s="21">
        <v>0</v>
      </c>
      <c r="R37" s="21">
        <v>0</v>
      </c>
      <c r="S37" s="21">
        <v>0</v>
      </c>
      <c r="T37" s="21">
        <v>0</v>
      </c>
      <c r="U37" s="21">
        <v>0</v>
      </c>
      <c r="V37" s="21">
        <v>0</v>
      </c>
      <c r="W37" s="21">
        <v>0</v>
      </c>
      <c r="X37" s="21">
        <v>0</v>
      </c>
      <c r="Y37" s="21">
        <v>0</v>
      </c>
      <c r="Z37" s="21">
        <v>0</v>
      </c>
      <c r="AA37" s="21">
        <v>0</v>
      </c>
      <c r="AB37" s="21">
        <v>0</v>
      </c>
      <c r="AC37" s="21">
        <v>0</v>
      </c>
      <c r="AD37" s="21">
        <v>0</v>
      </c>
      <c r="AE37" s="21">
        <v>0</v>
      </c>
      <c r="AF37" s="21">
        <v>0</v>
      </c>
      <c r="AG37" s="21">
        <v>0</v>
      </c>
      <c r="AH37" s="21">
        <v>0</v>
      </c>
      <c r="AI37" s="21">
        <v>0</v>
      </c>
      <c r="AJ37" s="21">
        <v>0</v>
      </c>
      <c r="AK37" s="21">
        <v>0</v>
      </c>
      <c r="AL37" s="21">
        <v>-100</v>
      </c>
      <c r="AM37" s="21">
        <v>0</v>
      </c>
      <c r="AN37" s="23">
        <v>5</v>
      </c>
      <c r="AO37" s="23">
        <v>5</v>
      </c>
      <c r="AP37" s="23">
        <v>5</v>
      </c>
      <c r="AQ37" s="23">
        <v>5</v>
      </c>
      <c r="AR37" s="23">
        <v>5</v>
      </c>
      <c r="AS37" s="23">
        <v>5</v>
      </c>
      <c r="AT37" s="23">
        <v>5</v>
      </c>
      <c r="AU37" s="23">
        <v>5</v>
      </c>
      <c r="AV37" s="23">
        <v>5</v>
      </c>
      <c r="AW37" s="23">
        <v>5</v>
      </c>
      <c r="AX37" s="23">
        <v>5</v>
      </c>
      <c r="AY37" s="23">
        <v>5</v>
      </c>
      <c r="AZ37" s="23">
        <v>5</v>
      </c>
      <c r="BA37" s="23">
        <v>5</v>
      </c>
      <c r="BB37" s="23">
        <v>5</v>
      </c>
      <c r="BC37" s="23">
        <v>5</v>
      </c>
      <c r="BD37" s="23">
        <v>5</v>
      </c>
      <c r="BE37" s="23">
        <v>5</v>
      </c>
      <c r="BF37" s="23">
        <v>5</v>
      </c>
      <c r="BG37" s="23">
        <v>5</v>
      </c>
      <c r="BH37" s="23">
        <v>-100</v>
      </c>
      <c r="BI37" s="23">
        <v>-100</v>
      </c>
      <c r="BJ37" s="23">
        <v>-100</v>
      </c>
      <c r="BK37" s="23">
        <v>-100</v>
      </c>
      <c r="BL37" s="23">
        <v>-100</v>
      </c>
      <c r="BM37" s="23">
        <v>-100</v>
      </c>
      <c r="BN37" s="23">
        <v>-100</v>
      </c>
      <c r="BO37" s="23">
        <v>-100</v>
      </c>
    </row>
    <row r="38" spans="1:67" x14ac:dyDescent="0.25">
      <c r="A38" s="22">
        <f>1</f>
        <v>1</v>
      </c>
      <c r="B38" t="s">
        <v>42</v>
      </c>
      <c r="C38">
        <v>200</v>
      </c>
      <c r="D38" s="21" t="s">
        <v>3</v>
      </c>
      <c r="E38" t="s">
        <v>281</v>
      </c>
      <c r="F38" t="s">
        <v>334</v>
      </c>
      <c r="G38" s="21">
        <f>COUNTIF(SCourse[Course],SCourse[[#This Row],[Course]])</f>
        <v>3</v>
      </c>
      <c r="I38" s="21">
        <f>COUNTIF(SCourse[Block],SCourse[[#This Row],[Block]])</f>
        <v>0</v>
      </c>
      <c r="J38" s="21">
        <v>1</v>
      </c>
      <c r="K38" s="21">
        <v>0</v>
      </c>
      <c r="L38" s="21">
        <v>0</v>
      </c>
      <c r="M38" s="21">
        <v>0</v>
      </c>
      <c r="N38" s="21">
        <v>0</v>
      </c>
      <c r="O38" s="21">
        <v>0</v>
      </c>
      <c r="P38" s="21">
        <v>0</v>
      </c>
      <c r="Q38" s="21">
        <v>0</v>
      </c>
      <c r="R38" s="21">
        <v>0</v>
      </c>
      <c r="S38" s="21">
        <v>0</v>
      </c>
      <c r="T38" s="21">
        <v>0</v>
      </c>
      <c r="U38" s="21">
        <v>0</v>
      </c>
      <c r="V38" s="21">
        <v>0</v>
      </c>
      <c r="W38" s="21">
        <v>0</v>
      </c>
      <c r="X38" s="21">
        <v>0</v>
      </c>
      <c r="Y38" s="21">
        <v>0</v>
      </c>
      <c r="Z38" s="21">
        <v>0</v>
      </c>
      <c r="AA38" s="21">
        <v>0</v>
      </c>
      <c r="AB38" s="21">
        <v>0</v>
      </c>
      <c r="AC38" s="21">
        <v>0</v>
      </c>
      <c r="AD38" s="21">
        <v>0</v>
      </c>
      <c r="AE38" s="21">
        <v>0</v>
      </c>
      <c r="AF38" s="21">
        <v>0</v>
      </c>
      <c r="AG38" s="21">
        <v>0</v>
      </c>
      <c r="AH38" s="21">
        <v>0</v>
      </c>
      <c r="AI38" s="21">
        <v>0</v>
      </c>
      <c r="AJ38" s="21">
        <v>0</v>
      </c>
      <c r="AK38" s="21">
        <v>0</v>
      </c>
      <c r="AL38" s="21">
        <v>-100</v>
      </c>
      <c r="AM38" s="21">
        <v>0</v>
      </c>
      <c r="AN38" s="23">
        <v>5</v>
      </c>
      <c r="AO38" s="23">
        <v>5</v>
      </c>
      <c r="AP38" s="23">
        <v>5</v>
      </c>
      <c r="AQ38" s="23">
        <v>5</v>
      </c>
      <c r="AR38" s="23">
        <v>5</v>
      </c>
      <c r="AS38" s="23">
        <v>5</v>
      </c>
      <c r="AT38" s="23">
        <v>5</v>
      </c>
      <c r="AU38" s="23">
        <v>5</v>
      </c>
      <c r="AV38" s="23">
        <v>5</v>
      </c>
      <c r="AW38" s="23">
        <v>5</v>
      </c>
      <c r="AX38" s="23">
        <v>5</v>
      </c>
      <c r="AY38" s="23">
        <v>5</v>
      </c>
      <c r="AZ38" s="23">
        <v>5</v>
      </c>
      <c r="BA38" s="23">
        <v>5</v>
      </c>
      <c r="BB38" s="23">
        <v>5</v>
      </c>
      <c r="BC38" s="23">
        <v>5</v>
      </c>
      <c r="BD38" s="23">
        <v>5</v>
      </c>
      <c r="BE38" s="23">
        <v>5</v>
      </c>
      <c r="BF38" s="23">
        <v>5</v>
      </c>
      <c r="BG38" s="23">
        <v>5</v>
      </c>
      <c r="BH38" s="23">
        <v>-100</v>
      </c>
      <c r="BI38" s="23">
        <v>-100</v>
      </c>
      <c r="BJ38" s="23">
        <v>-100</v>
      </c>
      <c r="BK38" s="23">
        <v>-100</v>
      </c>
      <c r="BL38" s="23">
        <v>-100</v>
      </c>
      <c r="BM38" s="23">
        <v>-100</v>
      </c>
      <c r="BN38" s="23">
        <v>-100</v>
      </c>
      <c r="BO38" s="23">
        <v>-100</v>
      </c>
    </row>
    <row r="39" spans="1:67" x14ac:dyDescent="0.25">
      <c r="A39" s="22">
        <f>1</f>
        <v>1</v>
      </c>
      <c r="B39" t="s">
        <v>42</v>
      </c>
      <c r="C39">
        <v>300</v>
      </c>
      <c r="D39" s="21" t="s">
        <v>3</v>
      </c>
      <c r="E39" t="s">
        <v>290</v>
      </c>
      <c r="F39" t="s">
        <v>334</v>
      </c>
      <c r="G39" s="21">
        <f>COUNTIF(SCourse[Course],SCourse[[#This Row],[Course]])</f>
        <v>3</v>
      </c>
      <c r="I39" s="21">
        <f>COUNTIF(SCourse[Block],SCourse[[#This Row],[Block]])</f>
        <v>0</v>
      </c>
      <c r="J39" s="21">
        <v>1</v>
      </c>
      <c r="K39" s="21">
        <v>0</v>
      </c>
      <c r="L39" s="21">
        <v>0</v>
      </c>
      <c r="M39" s="21">
        <v>0</v>
      </c>
      <c r="N39" s="21">
        <v>0</v>
      </c>
      <c r="O39" s="21">
        <v>0</v>
      </c>
      <c r="P39" s="21">
        <v>0</v>
      </c>
      <c r="Q39" s="21">
        <v>0</v>
      </c>
      <c r="R39" s="21">
        <v>0</v>
      </c>
      <c r="S39" s="21">
        <v>0</v>
      </c>
      <c r="T39" s="21">
        <v>0</v>
      </c>
      <c r="U39" s="21">
        <v>0</v>
      </c>
      <c r="V39" s="21">
        <v>0</v>
      </c>
      <c r="W39" s="21">
        <v>0</v>
      </c>
      <c r="X39" s="21">
        <v>0</v>
      </c>
      <c r="Y39" s="21">
        <v>0</v>
      </c>
      <c r="Z39" s="21">
        <v>0</v>
      </c>
      <c r="AA39" s="21">
        <v>0</v>
      </c>
      <c r="AB39" s="21">
        <v>0</v>
      </c>
      <c r="AC39" s="21">
        <v>0</v>
      </c>
      <c r="AD39" s="21">
        <v>0</v>
      </c>
      <c r="AE39" s="21">
        <v>0</v>
      </c>
      <c r="AF39" s="21">
        <v>0</v>
      </c>
      <c r="AG39" s="21">
        <v>0</v>
      </c>
      <c r="AH39" s="21">
        <v>0</v>
      </c>
      <c r="AI39" s="21">
        <v>0</v>
      </c>
      <c r="AJ39" s="21">
        <v>0</v>
      </c>
      <c r="AK39" s="21">
        <v>0</v>
      </c>
      <c r="AL39" s="21">
        <v>-100</v>
      </c>
      <c r="AM39" s="21">
        <v>0</v>
      </c>
      <c r="AN39" s="23">
        <v>5</v>
      </c>
      <c r="AO39" s="23">
        <v>5</v>
      </c>
      <c r="AP39" s="23">
        <v>5</v>
      </c>
      <c r="AQ39" s="23">
        <v>5</v>
      </c>
      <c r="AR39" s="23">
        <v>5</v>
      </c>
      <c r="AS39" s="23">
        <v>5</v>
      </c>
      <c r="AT39" s="23">
        <v>5</v>
      </c>
      <c r="AU39" s="23">
        <v>5</v>
      </c>
      <c r="AV39" s="23">
        <v>5</v>
      </c>
      <c r="AW39" s="23">
        <v>5</v>
      </c>
      <c r="AX39" s="23">
        <v>5</v>
      </c>
      <c r="AY39" s="23">
        <v>5</v>
      </c>
      <c r="AZ39" s="23">
        <v>5</v>
      </c>
      <c r="BA39" s="23">
        <v>5</v>
      </c>
      <c r="BB39" s="23">
        <v>5</v>
      </c>
      <c r="BC39" s="23">
        <v>5</v>
      </c>
      <c r="BD39" s="23">
        <v>5</v>
      </c>
      <c r="BE39" s="23">
        <v>5</v>
      </c>
      <c r="BF39" s="23">
        <v>5</v>
      </c>
      <c r="BG39" s="23">
        <v>5</v>
      </c>
      <c r="BH39" s="23">
        <v>-100</v>
      </c>
      <c r="BI39" s="23">
        <v>-100</v>
      </c>
      <c r="BJ39" s="23">
        <v>-100</v>
      </c>
      <c r="BK39" s="23">
        <v>-100</v>
      </c>
      <c r="BL39" s="23">
        <v>-100</v>
      </c>
      <c r="BM39" s="23">
        <v>-100</v>
      </c>
      <c r="BN39" s="23">
        <v>-100</v>
      </c>
      <c r="BO39" s="23">
        <v>-100</v>
      </c>
    </row>
    <row r="40" spans="1:67" x14ac:dyDescent="0.25">
      <c r="A40" s="22">
        <f>1</f>
        <v>1</v>
      </c>
      <c r="B40" t="s">
        <v>43</v>
      </c>
      <c r="C40">
        <v>100</v>
      </c>
      <c r="D40" s="21" t="s">
        <v>3</v>
      </c>
      <c r="E40" t="s">
        <v>214</v>
      </c>
      <c r="F40" t="s">
        <v>321</v>
      </c>
      <c r="G40" s="21">
        <f>COUNTIF(SCourse[Course],SCourse[[#This Row],[Course]])</f>
        <v>3</v>
      </c>
      <c r="I40" s="21">
        <f>COUNTIF(SCourse[Block],SCourse[[#This Row],[Block]])</f>
        <v>0</v>
      </c>
      <c r="J40" s="21">
        <v>1</v>
      </c>
      <c r="K40" s="21">
        <v>0</v>
      </c>
      <c r="L40" s="21">
        <v>0</v>
      </c>
      <c r="M40" s="21">
        <v>0</v>
      </c>
      <c r="N40" s="21">
        <v>0</v>
      </c>
      <c r="O40" s="21">
        <v>0</v>
      </c>
      <c r="P40" s="21">
        <v>0</v>
      </c>
      <c r="Q40" s="21">
        <v>0</v>
      </c>
      <c r="R40" s="21">
        <v>0</v>
      </c>
      <c r="S40" s="21">
        <v>0</v>
      </c>
      <c r="T40" s="21">
        <v>0</v>
      </c>
      <c r="U40" s="21">
        <v>0</v>
      </c>
      <c r="V40" s="21">
        <v>0</v>
      </c>
      <c r="W40" s="21">
        <v>0</v>
      </c>
      <c r="X40" s="21">
        <v>0</v>
      </c>
      <c r="Y40" s="21">
        <v>0</v>
      </c>
      <c r="Z40" s="21">
        <v>-100</v>
      </c>
      <c r="AA40" s="21">
        <v>0</v>
      </c>
      <c r="AB40" s="21">
        <v>0</v>
      </c>
      <c r="AC40" s="21">
        <v>0</v>
      </c>
      <c r="AD40" s="21">
        <v>0</v>
      </c>
      <c r="AE40" s="21">
        <v>0</v>
      </c>
      <c r="AF40" s="21">
        <v>0</v>
      </c>
      <c r="AG40" s="21">
        <v>0</v>
      </c>
      <c r="AH40" s="21">
        <v>0</v>
      </c>
      <c r="AI40" s="21">
        <v>0</v>
      </c>
      <c r="AJ40" s="21">
        <v>0</v>
      </c>
      <c r="AK40" s="21">
        <v>0</v>
      </c>
      <c r="AL40" s="21">
        <v>0</v>
      </c>
      <c r="AM40" s="21">
        <v>0</v>
      </c>
      <c r="AN40" s="23">
        <v>5</v>
      </c>
      <c r="AO40" s="23">
        <v>5</v>
      </c>
      <c r="AP40" s="23">
        <v>5</v>
      </c>
      <c r="AQ40" s="23">
        <v>5</v>
      </c>
      <c r="AR40" s="23">
        <v>5</v>
      </c>
      <c r="AS40" s="23">
        <v>5</v>
      </c>
      <c r="AT40" s="23">
        <v>5</v>
      </c>
      <c r="AU40" s="23">
        <v>5</v>
      </c>
      <c r="AV40" s="23">
        <v>5</v>
      </c>
      <c r="AW40" s="23">
        <v>5</v>
      </c>
      <c r="AX40" s="23">
        <v>5</v>
      </c>
      <c r="AY40" s="23">
        <v>5</v>
      </c>
      <c r="AZ40" s="23">
        <v>5</v>
      </c>
      <c r="BA40" s="23">
        <v>5</v>
      </c>
      <c r="BB40" s="23">
        <v>-100</v>
      </c>
      <c r="BC40" s="23">
        <v>5</v>
      </c>
      <c r="BD40" s="23">
        <v>5</v>
      </c>
      <c r="BE40" s="23">
        <v>5</v>
      </c>
      <c r="BF40" s="23">
        <v>5</v>
      </c>
      <c r="BG40" s="23">
        <v>5</v>
      </c>
      <c r="BH40" s="23">
        <v>-100</v>
      </c>
      <c r="BI40" s="23">
        <v>-100</v>
      </c>
      <c r="BJ40" s="23">
        <v>-100</v>
      </c>
      <c r="BK40" s="23">
        <v>-100</v>
      </c>
      <c r="BL40" s="23">
        <v>-100</v>
      </c>
      <c r="BM40" s="23">
        <v>-100</v>
      </c>
      <c r="BN40" s="23">
        <v>-100</v>
      </c>
      <c r="BO40" s="23">
        <v>-100</v>
      </c>
    </row>
    <row r="41" spans="1:67" x14ac:dyDescent="0.25">
      <c r="A41" s="22">
        <f>1</f>
        <v>1</v>
      </c>
      <c r="B41" t="s">
        <v>43</v>
      </c>
      <c r="C41">
        <v>200</v>
      </c>
      <c r="D41" s="21" t="s">
        <v>3</v>
      </c>
      <c r="E41" t="s">
        <v>282</v>
      </c>
      <c r="F41" t="s">
        <v>306</v>
      </c>
      <c r="G41" s="21">
        <f>COUNTIF(SCourse[Course],SCourse[[#This Row],[Course]])</f>
        <v>3</v>
      </c>
      <c r="I41" s="21">
        <f>COUNTIF(SCourse[Block],SCourse[[#This Row],[Block]])</f>
        <v>0</v>
      </c>
      <c r="J41" s="21">
        <v>1</v>
      </c>
      <c r="K41" s="21">
        <v>0</v>
      </c>
      <c r="L41" s="21">
        <v>0</v>
      </c>
      <c r="M41" s="21">
        <v>0</v>
      </c>
      <c r="N41" s="21">
        <v>0</v>
      </c>
      <c r="O41" s="21">
        <v>0</v>
      </c>
      <c r="P41" s="21">
        <v>0</v>
      </c>
      <c r="Q41" s="21">
        <v>0</v>
      </c>
      <c r="R41" s="21">
        <v>0</v>
      </c>
      <c r="S41" s="21">
        <v>0</v>
      </c>
      <c r="T41" s="21">
        <v>0</v>
      </c>
      <c r="U41" s="21">
        <v>0</v>
      </c>
      <c r="V41" s="21">
        <v>0</v>
      </c>
      <c r="W41" s="21">
        <v>0</v>
      </c>
      <c r="X41" s="21">
        <v>-100</v>
      </c>
      <c r="Y41" s="21">
        <v>0</v>
      </c>
      <c r="Z41" s="21">
        <v>0</v>
      </c>
      <c r="AA41" s="21">
        <v>0</v>
      </c>
      <c r="AB41" s="21">
        <v>0</v>
      </c>
      <c r="AC41" s="21">
        <v>0</v>
      </c>
      <c r="AD41" s="21">
        <v>0</v>
      </c>
      <c r="AE41" s="21">
        <v>0</v>
      </c>
      <c r="AF41" s="21">
        <v>0</v>
      </c>
      <c r="AG41" s="21">
        <v>0</v>
      </c>
      <c r="AH41" s="21">
        <v>0</v>
      </c>
      <c r="AI41" s="21">
        <v>0</v>
      </c>
      <c r="AJ41" s="21">
        <v>0</v>
      </c>
      <c r="AK41" s="21">
        <v>0</v>
      </c>
      <c r="AL41" s="21">
        <v>0</v>
      </c>
      <c r="AM41" s="21">
        <v>0</v>
      </c>
      <c r="AN41" s="23">
        <v>5</v>
      </c>
      <c r="AO41" s="23">
        <v>5</v>
      </c>
      <c r="AP41" s="23">
        <v>5</v>
      </c>
      <c r="AQ41" s="23">
        <v>5</v>
      </c>
      <c r="AR41" s="23">
        <v>5</v>
      </c>
      <c r="AS41" s="23">
        <v>5</v>
      </c>
      <c r="AT41" s="23">
        <v>5</v>
      </c>
      <c r="AU41" s="23">
        <v>5</v>
      </c>
      <c r="AV41" s="23">
        <v>5</v>
      </c>
      <c r="AW41" s="23">
        <v>5</v>
      </c>
      <c r="AX41" s="23">
        <v>5</v>
      </c>
      <c r="AY41" s="23">
        <v>5</v>
      </c>
      <c r="AZ41" s="23">
        <v>-100</v>
      </c>
      <c r="BA41" s="23">
        <v>5</v>
      </c>
      <c r="BB41" s="23">
        <v>5</v>
      </c>
      <c r="BC41" s="23">
        <v>5</v>
      </c>
      <c r="BD41" s="23">
        <v>5</v>
      </c>
      <c r="BE41" s="23">
        <v>5</v>
      </c>
      <c r="BF41" s="23">
        <v>5</v>
      </c>
      <c r="BG41" s="23">
        <v>5</v>
      </c>
      <c r="BH41" s="23">
        <v>-100</v>
      </c>
      <c r="BI41" s="23">
        <v>-100</v>
      </c>
      <c r="BJ41" s="23">
        <v>-100</v>
      </c>
      <c r="BK41" s="23">
        <v>-100</v>
      </c>
      <c r="BL41" s="23">
        <v>-100</v>
      </c>
      <c r="BM41" s="23">
        <v>-100</v>
      </c>
      <c r="BN41" s="23">
        <v>-100</v>
      </c>
      <c r="BO41" s="23">
        <v>-100</v>
      </c>
    </row>
    <row r="42" spans="1:67" x14ac:dyDescent="0.25">
      <c r="A42" s="22">
        <f>1</f>
        <v>1</v>
      </c>
      <c r="B42" t="s">
        <v>43</v>
      </c>
      <c r="C42">
        <v>300</v>
      </c>
      <c r="D42" s="21" t="s">
        <v>3</v>
      </c>
      <c r="E42" t="s">
        <v>291</v>
      </c>
      <c r="F42" t="s">
        <v>321</v>
      </c>
      <c r="G42" s="21">
        <f>COUNTIF(SCourse[Course],SCourse[[#This Row],[Course]])</f>
        <v>3</v>
      </c>
      <c r="I42" s="21">
        <f>COUNTIF(SCourse[Block],SCourse[[#This Row],[Block]])</f>
        <v>0</v>
      </c>
      <c r="J42" s="21">
        <v>1</v>
      </c>
      <c r="K42" s="21">
        <v>0</v>
      </c>
      <c r="L42" s="21">
        <v>0</v>
      </c>
      <c r="M42" s="21">
        <v>0</v>
      </c>
      <c r="N42" s="21">
        <v>0</v>
      </c>
      <c r="O42" s="21">
        <v>0</v>
      </c>
      <c r="P42" s="21">
        <v>0</v>
      </c>
      <c r="Q42" s="21">
        <v>0</v>
      </c>
      <c r="R42" s="21">
        <v>0</v>
      </c>
      <c r="S42" s="21">
        <v>0</v>
      </c>
      <c r="T42" s="21">
        <v>0</v>
      </c>
      <c r="U42" s="21">
        <v>0</v>
      </c>
      <c r="V42" s="21">
        <v>0</v>
      </c>
      <c r="W42" s="21">
        <v>0</v>
      </c>
      <c r="X42" s="21">
        <v>0</v>
      </c>
      <c r="Y42" s="21">
        <v>0</v>
      </c>
      <c r="Z42" s="21">
        <v>-100</v>
      </c>
      <c r="AA42" s="21">
        <v>0</v>
      </c>
      <c r="AB42" s="21">
        <v>0</v>
      </c>
      <c r="AC42" s="21">
        <v>0</v>
      </c>
      <c r="AD42" s="21">
        <v>0</v>
      </c>
      <c r="AE42" s="21">
        <v>0</v>
      </c>
      <c r="AF42" s="21">
        <v>0</v>
      </c>
      <c r="AG42" s="21">
        <v>0</v>
      </c>
      <c r="AH42" s="21">
        <v>0</v>
      </c>
      <c r="AI42" s="21">
        <v>0</v>
      </c>
      <c r="AJ42" s="21">
        <v>0</v>
      </c>
      <c r="AK42" s="21">
        <v>0</v>
      </c>
      <c r="AL42" s="21">
        <v>0</v>
      </c>
      <c r="AM42" s="21">
        <v>0</v>
      </c>
      <c r="AN42" s="23">
        <v>5</v>
      </c>
      <c r="AO42" s="23">
        <v>5</v>
      </c>
      <c r="AP42" s="23">
        <v>5</v>
      </c>
      <c r="AQ42" s="23">
        <v>5</v>
      </c>
      <c r="AR42" s="23">
        <v>5</v>
      </c>
      <c r="AS42" s="23">
        <v>5</v>
      </c>
      <c r="AT42" s="23">
        <v>5</v>
      </c>
      <c r="AU42" s="23">
        <v>5</v>
      </c>
      <c r="AV42" s="23">
        <v>5</v>
      </c>
      <c r="AW42" s="23">
        <v>5</v>
      </c>
      <c r="AX42" s="23">
        <v>5</v>
      </c>
      <c r="AY42" s="23">
        <v>5</v>
      </c>
      <c r="AZ42" s="23">
        <v>5</v>
      </c>
      <c r="BA42" s="23">
        <v>5</v>
      </c>
      <c r="BB42" s="23">
        <v>-100</v>
      </c>
      <c r="BC42" s="23">
        <v>5</v>
      </c>
      <c r="BD42" s="23">
        <v>5</v>
      </c>
      <c r="BE42" s="23">
        <v>5</v>
      </c>
      <c r="BF42" s="23">
        <v>5</v>
      </c>
      <c r="BG42" s="23">
        <v>5</v>
      </c>
      <c r="BH42" s="23">
        <v>-100</v>
      </c>
      <c r="BI42" s="23">
        <v>-100</v>
      </c>
      <c r="BJ42" s="23">
        <v>-100</v>
      </c>
      <c r="BK42" s="23">
        <v>-100</v>
      </c>
      <c r="BL42" s="23">
        <v>-100</v>
      </c>
      <c r="BM42" s="23">
        <v>-100</v>
      </c>
      <c r="BN42" s="23">
        <v>-100</v>
      </c>
      <c r="BO42" s="23">
        <v>-100</v>
      </c>
    </row>
    <row r="43" spans="1:67" x14ac:dyDescent="0.25">
      <c r="A43" s="22">
        <f>1</f>
        <v>1</v>
      </c>
      <c r="B43" t="s">
        <v>44</v>
      </c>
      <c r="C43">
        <v>100</v>
      </c>
      <c r="D43" s="21" t="s">
        <v>3</v>
      </c>
      <c r="E43" t="s">
        <v>215</v>
      </c>
      <c r="F43" t="s">
        <v>304</v>
      </c>
      <c r="G43" s="21">
        <f>COUNTIF(SCourse[Course],SCourse[[#This Row],[Course]])</f>
        <v>1</v>
      </c>
      <c r="I43" s="21">
        <f>COUNTIF(SCourse[Block],SCourse[[#This Row],[Block]])</f>
        <v>0</v>
      </c>
      <c r="J43" s="21">
        <v>1</v>
      </c>
      <c r="K43" s="21">
        <v>-1</v>
      </c>
      <c r="L43" s="21">
        <v>0</v>
      </c>
      <c r="M43" s="21">
        <v>0</v>
      </c>
      <c r="N43" s="21">
        <v>0</v>
      </c>
      <c r="O43" s="21">
        <v>0</v>
      </c>
      <c r="P43" s="21">
        <v>0</v>
      </c>
      <c r="Q43" s="21">
        <v>0</v>
      </c>
      <c r="R43" s="21">
        <v>0</v>
      </c>
      <c r="S43" s="21">
        <v>0</v>
      </c>
      <c r="T43" s="21">
        <v>0</v>
      </c>
      <c r="U43" s="21">
        <v>0</v>
      </c>
      <c r="V43" s="21">
        <v>0</v>
      </c>
      <c r="W43" s="21">
        <v>0</v>
      </c>
      <c r="X43" s="21">
        <v>0</v>
      </c>
      <c r="Y43" s="21">
        <v>0</v>
      </c>
      <c r="Z43" s="21">
        <v>0</v>
      </c>
      <c r="AA43" s="21">
        <v>0</v>
      </c>
      <c r="AB43" s="21">
        <v>0</v>
      </c>
      <c r="AC43" s="21">
        <v>0</v>
      </c>
      <c r="AD43" s="21">
        <v>0</v>
      </c>
      <c r="AE43" s="21">
        <v>0</v>
      </c>
      <c r="AF43" s="21">
        <v>0</v>
      </c>
      <c r="AG43" s="21">
        <v>0</v>
      </c>
      <c r="AH43" s="21">
        <v>-100</v>
      </c>
      <c r="AI43" s="21">
        <v>0</v>
      </c>
      <c r="AJ43" s="21">
        <v>0</v>
      </c>
      <c r="AK43" s="21">
        <v>0</v>
      </c>
      <c r="AL43" s="21">
        <v>0</v>
      </c>
      <c r="AM43" s="21">
        <v>0</v>
      </c>
      <c r="AN43" s="23">
        <v>5</v>
      </c>
      <c r="AO43" s="23">
        <v>5</v>
      </c>
      <c r="AP43" s="23">
        <v>5</v>
      </c>
      <c r="AQ43" s="23">
        <v>5</v>
      </c>
      <c r="AR43" s="23">
        <v>5</v>
      </c>
      <c r="AS43" s="23">
        <v>5</v>
      </c>
      <c r="AT43" s="23">
        <v>5</v>
      </c>
      <c r="AU43" s="23">
        <v>5</v>
      </c>
      <c r="AV43" s="23">
        <v>5</v>
      </c>
      <c r="AW43" s="23">
        <v>5</v>
      </c>
      <c r="AX43" s="23">
        <v>5</v>
      </c>
      <c r="AY43" s="23">
        <v>5</v>
      </c>
      <c r="AZ43" s="23">
        <v>5</v>
      </c>
      <c r="BA43" s="23">
        <v>5</v>
      </c>
      <c r="BB43" s="23">
        <v>5</v>
      </c>
      <c r="BC43" s="23">
        <v>5</v>
      </c>
      <c r="BD43" s="23">
        <v>5</v>
      </c>
      <c r="BE43" s="23">
        <v>5</v>
      </c>
      <c r="BF43" s="23">
        <v>5</v>
      </c>
      <c r="BG43" s="23">
        <v>5</v>
      </c>
      <c r="BH43" s="23">
        <v>-100</v>
      </c>
      <c r="BI43" s="23">
        <v>-100</v>
      </c>
      <c r="BJ43" s="23">
        <v>-100</v>
      </c>
      <c r="BK43" s="23">
        <v>-100</v>
      </c>
      <c r="BL43" s="23">
        <v>-100</v>
      </c>
      <c r="BM43" s="23">
        <v>-100</v>
      </c>
      <c r="BN43" s="23">
        <v>-100</v>
      </c>
      <c r="BO43" s="23">
        <v>-100</v>
      </c>
    </row>
    <row r="44" spans="1:67" x14ac:dyDescent="0.25">
      <c r="A44" s="22">
        <f>1</f>
        <v>1</v>
      </c>
      <c r="B44" t="s">
        <v>45</v>
      </c>
      <c r="C44">
        <v>100</v>
      </c>
      <c r="D44" s="21" t="s">
        <v>3</v>
      </c>
      <c r="E44" t="s">
        <v>216</v>
      </c>
      <c r="F44" t="s">
        <v>326</v>
      </c>
      <c r="G44" s="21">
        <f>COUNTIF(SCourse[Course],SCourse[[#This Row],[Course]])</f>
        <v>1</v>
      </c>
      <c r="I44" s="21">
        <f>COUNTIF(SCourse[Block],SCourse[[#This Row],[Block]])</f>
        <v>0</v>
      </c>
      <c r="J44" s="21">
        <v>1</v>
      </c>
      <c r="K44" s="21">
        <v>0</v>
      </c>
      <c r="L44" s="21">
        <v>0</v>
      </c>
      <c r="M44" s="21">
        <v>0</v>
      </c>
      <c r="N44" s="21">
        <v>-100</v>
      </c>
      <c r="O44" s="21">
        <v>0</v>
      </c>
      <c r="P44" s="21">
        <v>0</v>
      </c>
      <c r="Q44" s="21">
        <v>0</v>
      </c>
      <c r="R44" s="21">
        <v>0</v>
      </c>
      <c r="S44" s="21">
        <v>0</v>
      </c>
      <c r="T44" s="21">
        <v>0</v>
      </c>
      <c r="U44" s="21">
        <v>0</v>
      </c>
      <c r="V44" s="21">
        <v>0</v>
      </c>
      <c r="W44" s="21">
        <v>0</v>
      </c>
      <c r="X44" s="21">
        <v>0</v>
      </c>
      <c r="Y44" s="21">
        <v>0</v>
      </c>
      <c r="Z44" s="21">
        <v>0</v>
      </c>
      <c r="AA44" s="21">
        <v>0</v>
      </c>
      <c r="AB44" s="21">
        <v>0</v>
      </c>
      <c r="AC44" s="21">
        <v>0</v>
      </c>
      <c r="AD44" s="21">
        <v>0</v>
      </c>
      <c r="AE44" s="21">
        <v>0</v>
      </c>
      <c r="AF44" s="21">
        <v>0</v>
      </c>
      <c r="AG44" s="21">
        <v>0</v>
      </c>
      <c r="AH44" s="21">
        <v>0</v>
      </c>
      <c r="AI44" s="21">
        <v>0</v>
      </c>
      <c r="AJ44" s="21">
        <v>0</v>
      </c>
      <c r="AK44" s="21">
        <v>0</v>
      </c>
      <c r="AL44" s="21">
        <v>0</v>
      </c>
      <c r="AM44" s="21">
        <v>0</v>
      </c>
      <c r="AN44" s="23">
        <v>5</v>
      </c>
      <c r="AO44" s="23">
        <v>5</v>
      </c>
      <c r="AP44" s="23">
        <v>-100</v>
      </c>
      <c r="AQ44" s="23">
        <v>5</v>
      </c>
      <c r="AR44" s="23">
        <v>5</v>
      </c>
      <c r="AS44" s="23">
        <v>5</v>
      </c>
      <c r="AT44" s="23">
        <v>5</v>
      </c>
      <c r="AU44" s="23">
        <v>5</v>
      </c>
      <c r="AV44" s="23">
        <v>5</v>
      </c>
      <c r="AW44" s="23">
        <v>5</v>
      </c>
      <c r="AX44" s="23">
        <v>5</v>
      </c>
      <c r="AY44" s="23">
        <v>5</v>
      </c>
      <c r="AZ44" s="23">
        <v>5</v>
      </c>
      <c r="BA44" s="23">
        <v>5</v>
      </c>
      <c r="BB44" s="23">
        <v>5</v>
      </c>
      <c r="BC44" s="23">
        <v>5</v>
      </c>
      <c r="BD44" s="23">
        <v>5</v>
      </c>
      <c r="BE44" s="23">
        <v>5</v>
      </c>
      <c r="BF44" s="23">
        <v>5</v>
      </c>
      <c r="BG44" s="23">
        <v>5</v>
      </c>
      <c r="BH44" s="23">
        <v>-100</v>
      </c>
      <c r="BI44" s="23">
        <v>-100</v>
      </c>
      <c r="BJ44" s="23">
        <v>-100</v>
      </c>
      <c r="BK44" s="23">
        <v>-100</v>
      </c>
      <c r="BL44" s="23">
        <v>-100</v>
      </c>
      <c r="BM44" s="23">
        <v>-100</v>
      </c>
      <c r="BN44" s="23">
        <v>-100</v>
      </c>
      <c r="BO44" s="23">
        <v>-100</v>
      </c>
    </row>
    <row r="45" spans="1:67" x14ac:dyDescent="0.25">
      <c r="A45" s="22">
        <f>1</f>
        <v>1</v>
      </c>
      <c r="B45" t="s">
        <v>46</v>
      </c>
      <c r="C45">
        <v>100</v>
      </c>
      <c r="D45" s="21" t="s">
        <v>3</v>
      </c>
      <c r="E45" t="s">
        <v>217</v>
      </c>
      <c r="F45" t="s">
        <v>331</v>
      </c>
      <c r="G45" s="21">
        <f>COUNTIF(SCourse[Course],SCourse[[#This Row],[Course]])</f>
        <v>1</v>
      </c>
      <c r="I45" s="21">
        <f>COUNTIF(SCourse[Block],SCourse[[#This Row],[Block]])</f>
        <v>0</v>
      </c>
      <c r="J45" s="21">
        <v>1</v>
      </c>
      <c r="K45" s="21">
        <v>0</v>
      </c>
      <c r="L45" s="21">
        <v>0</v>
      </c>
      <c r="M45" s="21">
        <v>0</v>
      </c>
      <c r="N45" s="21">
        <v>0</v>
      </c>
      <c r="O45" s="21">
        <v>0</v>
      </c>
      <c r="P45" s="21">
        <v>0</v>
      </c>
      <c r="Q45" s="21">
        <v>-100</v>
      </c>
      <c r="R45" s="21">
        <v>0</v>
      </c>
      <c r="S45" s="21">
        <v>0</v>
      </c>
      <c r="T45" s="21">
        <v>0</v>
      </c>
      <c r="U45" s="21">
        <v>0</v>
      </c>
      <c r="V45" s="21">
        <v>0</v>
      </c>
      <c r="W45" s="21">
        <v>0</v>
      </c>
      <c r="X45" s="21">
        <v>0</v>
      </c>
      <c r="Y45" s="21">
        <v>0</v>
      </c>
      <c r="Z45" s="21">
        <v>0</v>
      </c>
      <c r="AA45" s="21">
        <v>0</v>
      </c>
      <c r="AB45" s="21">
        <v>0</v>
      </c>
      <c r="AC45" s="21">
        <v>0</v>
      </c>
      <c r="AD45" s="21">
        <v>0</v>
      </c>
      <c r="AE45" s="21">
        <v>0</v>
      </c>
      <c r="AF45" s="21">
        <v>0</v>
      </c>
      <c r="AG45" s="21">
        <v>0</v>
      </c>
      <c r="AH45" s="21">
        <v>0</v>
      </c>
      <c r="AI45" s="21">
        <v>0</v>
      </c>
      <c r="AJ45" s="21">
        <v>0</v>
      </c>
      <c r="AK45" s="21">
        <v>0</v>
      </c>
      <c r="AL45" s="21">
        <v>0</v>
      </c>
      <c r="AM45" s="21">
        <v>0</v>
      </c>
      <c r="AN45" s="23">
        <v>5</v>
      </c>
      <c r="AO45" s="23">
        <v>5</v>
      </c>
      <c r="AP45" s="23">
        <v>5</v>
      </c>
      <c r="AQ45" s="23">
        <v>5</v>
      </c>
      <c r="AR45" s="23">
        <v>5</v>
      </c>
      <c r="AS45" s="23">
        <v>-100</v>
      </c>
      <c r="AT45" s="23">
        <v>5</v>
      </c>
      <c r="AU45" s="23">
        <v>5</v>
      </c>
      <c r="AV45" s="23">
        <v>5</v>
      </c>
      <c r="AW45" s="23">
        <v>5</v>
      </c>
      <c r="AX45" s="23">
        <v>5</v>
      </c>
      <c r="AY45" s="23">
        <v>5</v>
      </c>
      <c r="AZ45" s="23">
        <v>5</v>
      </c>
      <c r="BA45" s="23">
        <v>5</v>
      </c>
      <c r="BB45" s="23">
        <v>5</v>
      </c>
      <c r="BC45" s="23">
        <v>5</v>
      </c>
      <c r="BD45" s="23">
        <v>5</v>
      </c>
      <c r="BE45" s="23">
        <v>5</v>
      </c>
      <c r="BF45" s="23">
        <v>5</v>
      </c>
      <c r="BG45" s="23">
        <v>5</v>
      </c>
      <c r="BH45" s="23">
        <v>-100</v>
      </c>
      <c r="BI45" s="23">
        <v>-100</v>
      </c>
      <c r="BJ45" s="23">
        <v>-100</v>
      </c>
      <c r="BK45" s="23">
        <v>-100</v>
      </c>
      <c r="BL45" s="23">
        <v>-100</v>
      </c>
      <c r="BM45" s="23">
        <v>-100</v>
      </c>
      <c r="BN45" s="23">
        <v>-100</v>
      </c>
      <c r="BO45" s="23">
        <v>-100</v>
      </c>
    </row>
    <row r="46" spans="1:67" x14ac:dyDescent="0.25">
      <c r="A46" s="22">
        <f>1</f>
        <v>1</v>
      </c>
      <c r="B46" t="s">
        <v>47</v>
      </c>
      <c r="C46">
        <v>100</v>
      </c>
      <c r="D46" s="21" t="s">
        <v>3</v>
      </c>
      <c r="E46" t="s">
        <v>218</v>
      </c>
      <c r="F46" t="s">
        <v>298</v>
      </c>
      <c r="G46" s="21">
        <f>COUNTIF(SCourse[Course],SCourse[[#This Row],[Course]])</f>
        <v>1</v>
      </c>
      <c r="I46" s="21">
        <f>COUNTIF(SCourse[Block],SCourse[[#This Row],[Block]])</f>
        <v>0</v>
      </c>
      <c r="J46" s="21">
        <v>1</v>
      </c>
      <c r="K46" s="21">
        <v>0</v>
      </c>
      <c r="L46" s="21">
        <v>0</v>
      </c>
      <c r="M46" s="21">
        <v>0</v>
      </c>
      <c r="N46" s="21">
        <v>0</v>
      </c>
      <c r="O46" s="21">
        <v>0</v>
      </c>
      <c r="P46" s="21">
        <v>0</v>
      </c>
      <c r="Q46" s="21">
        <v>0</v>
      </c>
      <c r="R46" s="21">
        <v>0</v>
      </c>
      <c r="S46" s="21">
        <v>0</v>
      </c>
      <c r="T46" s="21">
        <v>0</v>
      </c>
      <c r="U46" s="21">
        <v>0</v>
      </c>
      <c r="V46" s="21">
        <v>0</v>
      </c>
      <c r="W46" s="21">
        <v>0</v>
      </c>
      <c r="X46" s="21">
        <v>0</v>
      </c>
      <c r="Y46" s="21">
        <v>0</v>
      </c>
      <c r="Z46" s="21">
        <v>0</v>
      </c>
      <c r="AA46" s="21">
        <v>-100</v>
      </c>
      <c r="AB46" s="21">
        <v>0</v>
      </c>
      <c r="AC46" s="21">
        <v>0</v>
      </c>
      <c r="AD46" s="21">
        <v>0</v>
      </c>
      <c r="AE46" s="21">
        <v>0</v>
      </c>
      <c r="AF46" s="21">
        <v>0</v>
      </c>
      <c r="AG46" s="21">
        <v>0</v>
      </c>
      <c r="AH46" s="21">
        <v>0</v>
      </c>
      <c r="AI46" s="21">
        <v>0</v>
      </c>
      <c r="AJ46" s="21">
        <v>0</v>
      </c>
      <c r="AK46" s="21">
        <v>0</v>
      </c>
      <c r="AL46" s="21">
        <v>0</v>
      </c>
      <c r="AM46" s="21">
        <v>0</v>
      </c>
      <c r="AN46" s="23">
        <v>5</v>
      </c>
      <c r="AO46" s="23">
        <v>5</v>
      </c>
      <c r="AP46" s="23">
        <v>5</v>
      </c>
      <c r="AQ46" s="23">
        <v>5</v>
      </c>
      <c r="AR46" s="23">
        <v>5</v>
      </c>
      <c r="AS46" s="23">
        <v>5</v>
      </c>
      <c r="AT46" s="23">
        <v>5</v>
      </c>
      <c r="AU46" s="23">
        <v>5</v>
      </c>
      <c r="AV46" s="23">
        <v>5</v>
      </c>
      <c r="AW46" s="23">
        <v>5</v>
      </c>
      <c r="AX46" s="23">
        <v>5</v>
      </c>
      <c r="AY46" s="23">
        <v>5</v>
      </c>
      <c r="AZ46" s="23">
        <v>5</v>
      </c>
      <c r="BA46" s="23">
        <v>5</v>
      </c>
      <c r="BB46" s="23">
        <v>5</v>
      </c>
      <c r="BC46" s="23">
        <v>-100</v>
      </c>
      <c r="BD46" s="23">
        <v>5</v>
      </c>
      <c r="BE46" s="23">
        <v>5</v>
      </c>
      <c r="BF46" s="23">
        <v>5</v>
      </c>
      <c r="BG46" s="23">
        <v>5</v>
      </c>
      <c r="BH46" s="23">
        <v>-100</v>
      </c>
      <c r="BI46" s="23">
        <v>-100</v>
      </c>
      <c r="BJ46" s="23">
        <v>-100</v>
      </c>
      <c r="BK46" s="23">
        <v>-100</v>
      </c>
      <c r="BL46" s="23">
        <v>-100</v>
      </c>
      <c r="BM46" s="23">
        <v>-100</v>
      </c>
      <c r="BN46" s="23">
        <v>-100</v>
      </c>
      <c r="BO46" s="23">
        <v>-100</v>
      </c>
    </row>
    <row r="47" spans="1:67" x14ac:dyDescent="0.25">
      <c r="A47" s="22">
        <f>1</f>
        <v>1</v>
      </c>
      <c r="B47" t="s">
        <v>48</v>
      </c>
      <c r="C47">
        <v>100</v>
      </c>
      <c r="D47" s="21" t="s">
        <v>3</v>
      </c>
      <c r="E47" t="s">
        <v>219</v>
      </c>
      <c r="F47" t="s">
        <v>325</v>
      </c>
      <c r="G47" s="21">
        <f>COUNTIF(SCourse[Course],SCourse[[#This Row],[Course]])</f>
        <v>1</v>
      </c>
      <c r="I47" s="21">
        <f>COUNTIF(SCourse[Block],SCourse[[#This Row],[Block]])</f>
        <v>0</v>
      </c>
      <c r="J47" s="21">
        <v>1</v>
      </c>
      <c r="K47" s="21">
        <v>0</v>
      </c>
      <c r="L47" s="21">
        <v>0</v>
      </c>
      <c r="M47" s="21">
        <v>0</v>
      </c>
      <c r="N47" s="21">
        <v>0</v>
      </c>
      <c r="O47" s="21">
        <v>0</v>
      </c>
      <c r="P47" s="21">
        <v>0</v>
      </c>
      <c r="Q47" s="21">
        <v>0</v>
      </c>
      <c r="R47" s="21">
        <v>0</v>
      </c>
      <c r="S47" s="21">
        <v>0</v>
      </c>
      <c r="T47" s="21">
        <v>0</v>
      </c>
      <c r="U47" s="21">
        <v>0</v>
      </c>
      <c r="V47" s="21">
        <v>0</v>
      </c>
      <c r="W47" s="21">
        <v>0</v>
      </c>
      <c r="X47" s="21">
        <v>0</v>
      </c>
      <c r="Y47" s="21">
        <v>0</v>
      </c>
      <c r="Z47" s="21">
        <v>0</v>
      </c>
      <c r="AA47" s="21">
        <v>0</v>
      </c>
      <c r="AB47" s="21">
        <v>-100</v>
      </c>
      <c r="AC47" s="21">
        <v>0</v>
      </c>
      <c r="AD47" s="21">
        <v>0</v>
      </c>
      <c r="AE47" s="21">
        <v>0</v>
      </c>
      <c r="AF47" s="21">
        <v>0</v>
      </c>
      <c r="AG47" s="21">
        <v>0</v>
      </c>
      <c r="AH47" s="21">
        <v>0</v>
      </c>
      <c r="AI47" s="21">
        <v>0</v>
      </c>
      <c r="AJ47" s="21">
        <v>0</v>
      </c>
      <c r="AK47" s="21">
        <v>0</v>
      </c>
      <c r="AL47" s="21">
        <v>0</v>
      </c>
      <c r="AM47" s="21">
        <v>0</v>
      </c>
      <c r="AN47" s="23">
        <v>5</v>
      </c>
      <c r="AO47" s="23">
        <v>5</v>
      </c>
      <c r="AP47" s="23">
        <v>5</v>
      </c>
      <c r="AQ47" s="23">
        <v>5</v>
      </c>
      <c r="AR47" s="23">
        <v>5</v>
      </c>
      <c r="AS47" s="23">
        <v>5</v>
      </c>
      <c r="AT47" s="23">
        <v>5</v>
      </c>
      <c r="AU47" s="23">
        <v>5</v>
      </c>
      <c r="AV47" s="23">
        <v>5</v>
      </c>
      <c r="AW47" s="23">
        <v>5</v>
      </c>
      <c r="AX47" s="23">
        <v>5</v>
      </c>
      <c r="AY47" s="23">
        <v>5</v>
      </c>
      <c r="AZ47" s="23">
        <v>5</v>
      </c>
      <c r="BA47" s="23">
        <v>5</v>
      </c>
      <c r="BB47" s="23">
        <v>5</v>
      </c>
      <c r="BC47" s="23">
        <v>5</v>
      </c>
      <c r="BD47" s="23">
        <v>-100</v>
      </c>
      <c r="BE47" s="23">
        <v>5</v>
      </c>
      <c r="BF47" s="23">
        <v>5</v>
      </c>
      <c r="BG47" s="23">
        <v>5</v>
      </c>
      <c r="BH47" s="23">
        <v>-100</v>
      </c>
      <c r="BI47" s="23">
        <v>-100</v>
      </c>
      <c r="BJ47" s="23">
        <v>-100</v>
      </c>
      <c r="BK47" s="23">
        <v>-100</v>
      </c>
      <c r="BL47" s="23">
        <v>-100</v>
      </c>
      <c r="BM47" s="23">
        <v>-100</v>
      </c>
      <c r="BN47" s="23">
        <v>-100</v>
      </c>
      <c r="BO47" s="23">
        <v>-100</v>
      </c>
    </row>
    <row r="48" spans="1:67" x14ac:dyDescent="0.25">
      <c r="A48" s="22">
        <f>1</f>
        <v>1</v>
      </c>
      <c r="B48" t="s">
        <v>49</v>
      </c>
      <c r="C48">
        <v>100</v>
      </c>
      <c r="D48" s="21" t="s">
        <v>3</v>
      </c>
      <c r="E48" t="s">
        <v>220</v>
      </c>
      <c r="F48" t="s">
        <v>305</v>
      </c>
      <c r="G48" s="21">
        <f>COUNTIF(SCourse[Course],SCourse[[#This Row],[Course]])</f>
        <v>1</v>
      </c>
      <c r="I48" s="21">
        <f>COUNTIF(SCourse[Block],SCourse[[#This Row],[Block]])</f>
        <v>0</v>
      </c>
      <c r="J48" s="21">
        <v>1</v>
      </c>
      <c r="K48" s="21">
        <v>0</v>
      </c>
      <c r="L48" s="21">
        <v>0</v>
      </c>
      <c r="M48" s="21">
        <v>0</v>
      </c>
      <c r="N48" s="21">
        <v>0</v>
      </c>
      <c r="O48" s="21">
        <v>0</v>
      </c>
      <c r="P48" s="21">
        <v>0</v>
      </c>
      <c r="Q48" s="21">
        <v>0</v>
      </c>
      <c r="R48" s="21">
        <v>0</v>
      </c>
      <c r="S48" s="21">
        <v>0</v>
      </c>
      <c r="T48" s="21">
        <v>0</v>
      </c>
      <c r="U48" s="21">
        <v>0</v>
      </c>
      <c r="V48" s="21">
        <v>0</v>
      </c>
      <c r="W48" s="21">
        <v>0</v>
      </c>
      <c r="X48" s="21">
        <v>0</v>
      </c>
      <c r="Y48" s="21">
        <v>0</v>
      </c>
      <c r="Z48" s="21">
        <v>0</v>
      </c>
      <c r="AA48" s="21">
        <v>0</v>
      </c>
      <c r="AB48" s="21">
        <v>0</v>
      </c>
      <c r="AC48" s="21">
        <v>0</v>
      </c>
      <c r="AD48" s="21">
        <v>0</v>
      </c>
      <c r="AE48" s="21">
        <v>0</v>
      </c>
      <c r="AF48" s="21">
        <v>-100</v>
      </c>
      <c r="AG48" s="21">
        <v>0</v>
      </c>
      <c r="AH48" s="21">
        <v>0</v>
      </c>
      <c r="AI48" s="21">
        <v>0</v>
      </c>
      <c r="AJ48" s="21">
        <v>0</v>
      </c>
      <c r="AK48" s="21">
        <v>0</v>
      </c>
      <c r="AL48" s="21">
        <v>0</v>
      </c>
      <c r="AM48" s="21">
        <v>0</v>
      </c>
      <c r="AN48" s="23">
        <v>5</v>
      </c>
      <c r="AO48" s="23">
        <v>5</v>
      </c>
      <c r="AP48" s="23">
        <v>5</v>
      </c>
      <c r="AQ48" s="23">
        <v>5</v>
      </c>
      <c r="AR48" s="23">
        <v>5</v>
      </c>
      <c r="AS48" s="23">
        <v>5</v>
      </c>
      <c r="AT48" s="23">
        <v>5</v>
      </c>
      <c r="AU48" s="23">
        <v>5</v>
      </c>
      <c r="AV48" s="23">
        <v>5</v>
      </c>
      <c r="AW48" s="23">
        <v>5</v>
      </c>
      <c r="AX48" s="23">
        <v>5</v>
      </c>
      <c r="AY48" s="23">
        <v>5</v>
      </c>
      <c r="AZ48" s="23">
        <v>5</v>
      </c>
      <c r="BA48" s="23">
        <v>5</v>
      </c>
      <c r="BB48" s="23">
        <v>5</v>
      </c>
      <c r="BC48" s="23">
        <v>5</v>
      </c>
      <c r="BD48" s="23">
        <v>5</v>
      </c>
      <c r="BE48" s="23">
        <v>5</v>
      </c>
      <c r="BF48" s="23">
        <v>5</v>
      </c>
      <c r="BG48" s="23">
        <v>5</v>
      </c>
      <c r="BH48" s="23">
        <v>-100</v>
      </c>
      <c r="BI48" s="23">
        <v>-100</v>
      </c>
      <c r="BJ48" s="23">
        <v>-100</v>
      </c>
      <c r="BK48" s="23">
        <v>-100</v>
      </c>
      <c r="BL48" s="23">
        <v>-100</v>
      </c>
      <c r="BM48" s="23">
        <v>-100</v>
      </c>
      <c r="BN48" s="23">
        <v>-100</v>
      </c>
      <c r="BO48" s="23">
        <v>-100</v>
      </c>
    </row>
    <row r="49" spans="1:67" x14ac:dyDescent="0.25">
      <c r="A49" s="22">
        <f>1</f>
        <v>1</v>
      </c>
      <c r="B49" t="s">
        <v>50</v>
      </c>
      <c r="C49">
        <v>100</v>
      </c>
      <c r="D49" s="21" t="s">
        <v>3</v>
      </c>
      <c r="E49" t="s">
        <v>221</v>
      </c>
      <c r="F49" t="s">
        <v>323</v>
      </c>
      <c r="G49" s="21">
        <f>COUNTIF(SCourse[Course],SCourse[[#This Row],[Course]])</f>
        <v>1</v>
      </c>
      <c r="I49" s="21">
        <f>COUNTIF(SCourse[Block],SCourse[[#This Row],[Block]])</f>
        <v>0</v>
      </c>
      <c r="J49" s="21">
        <v>1</v>
      </c>
      <c r="K49" s="21">
        <v>0</v>
      </c>
      <c r="L49" s="21">
        <v>0</v>
      </c>
      <c r="M49" s="21">
        <v>0</v>
      </c>
      <c r="N49" s="21">
        <v>0</v>
      </c>
      <c r="O49" s="21">
        <v>0</v>
      </c>
      <c r="P49" s="21">
        <v>0</v>
      </c>
      <c r="Q49" s="21">
        <v>0</v>
      </c>
      <c r="R49" s="21">
        <v>0</v>
      </c>
      <c r="S49" s="21">
        <v>0</v>
      </c>
      <c r="T49" s="21">
        <v>0</v>
      </c>
      <c r="U49" s="21">
        <v>0</v>
      </c>
      <c r="V49" s="21">
        <v>0</v>
      </c>
      <c r="W49" s="21">
        <v>0</v>
      </c>
      <c r="X49" s="21">
        <v>0</v>
      </c>
      <c r="Y49" s="21">
        <v>0</v>
      </c>
      <c r="Z49" s="21">
        <v>0</v>
      </c>
      <c r="AA49" s="21">
        <v>0</v>
      </c>
      <c r="AB49" s="21">
        <v>0</v>
      </c>
      <c r="AC49" s="21">
        <v>0</v>
      </c>
      <c r="AD49" s="21">
        <v>-100</v>
      </c>
      <c r="AE49" s="21">
        <v>0</v>
      </c>
      <c r="AF49" s="21">
        <v>0</v>
      </c>
      <c r="AG49" s="21">
        <v>0</v>
      </c>
      <c r="AH49" s="21">
        <v>0</v>
      </c>
      <c r="AI49" s="21">
        <v>0</v>
      </c>
      <c r="AJ49" s="21">
        <v>0</v>
      </c>
      <c r="AK49" s="21">
        <v>0</v>
      </c>
      <c r="AL49" s="21">
        <v>0</v>
      </c>
      <c r="AM49" s="21">
        <v>0</v>
      </c>
      <c r="AN49" s="23">
        <v>5</v>
      </c>
      <c r="AO49" s="23">
        <v>5</v>
      </c>
      <c r="AP49" s="23">
        <v>5</v>
      </c>
      <c r="AQ49" s="23">
        <v>5</v>
      </c>
      <c r="AR49" s="23">
        <v>5</v>
      </c>
      <c r="AS49" s="23">
        <v>5</v>
      </c>
      <c r="AT49" s="23">
        <v>5</v>
      </c>
      <c r="AU49" s="23">
        <v>5</v>
      </c>
      <c r="AV49" s="23">
        <v>5</v>
      </c>
      <c r="AW49" s="23">
        <v>5</v>
      </c>
      <c r="AX49" s="23">
        <v>5</v>
      </c>
      <c r="AY49" s="23">
        <v>5</v>
      </c>
      <c r="AZ49" s="23">
        <v>5</v>
      </c>
      <c r="BA49" s="23">
        <v>5</v>
      </c>
      <c r="BB49" s="23">
        <v>5</v>
      </c>
      <c r="BC49" s="23">
        <v>5</v>
      </c>
      <c r="BD49" s="23">
        <v>5</v>
      </c>
      <c r="BE49" s="23">
        <v>5</v>
      </c>
      <c r="BF49" s="23">
        <v>-100</v>
      </c>
      <c r="BG49" s="23">
        <v>5</v>
      </c>
      <c r="BH49" s="23">
        <v>-100</v>
      </c>
      <c r="BI49" s="23">
        <v>-100</v>
      </c>
      <c r="BJ49" s="23">
        <v>-100</v>
      </c>
      <c r="BK49" s="23">
        <v>-100</v>
      </c>
      <c r="BL49" s="23">
        <v>-100</v>
      </c>
      <c r="BM49" s="23">
        <v>-100</v>
      </c>
      <c r="BN49" s="23">
        <v>-100</v>
      </c>
      <c r="BO49" s="23">
        <v>-100</v>
      </c>
    </row>
    <row r="50" spans="1:67" x14ac:dyDescent="0.25">
      <c r="A50" s="22">
        <f>1</f>
        <v>1</v>
      </c>
      <c r="B50" t="s">
        <v>51</v>
      </c>
      <c r="C50">
        <v>100</v>
      </c>
      <c r="D50" s="21" t="s">
        <v>3</v>
      </c>
      <c r="E50" t="s">
        <v>222</v>
      </c>
      <c r="F50" t="s">
        <v>323</v>
      </c>
      <c r="G50" s="21">
        <f>COUNTIF(SCourse[Course],SCourse[[#This Row],[Course]])</f>
        <v>1</v>
      </c>
      <c r="I50" s="21">
        <f>COUNTIF(SCourse[Block],SCourse[[#This Row],[Block]])</f>
        <v>0</v>
      </c>
      <c r="J50" s="21">
        <v>1</v>
      </c>
      <c r="K50" s="21">
        <v>0</v>
      </c>
      <c r="L50" s="21">
        <v>0</v>
      </c>
      <c r="M50" s="21">
        <v>0</v>
      </c>
      <c r="N50" s="21">
        <v>0</v>
      </c>
      <c r="O50" s="21">
        <v>0</v>
      </c>
      <c r="P50" s="21">
        <v>0</v>
      </c>
      <c r="Q50" s="21">
        <v>0</v>
      </c>
      <c r="R50" s="21">
        <v>0</v>
      </c>
      <c r="S50" s="21">
        <v>0</v>
      </c>
      <c r="T50" s="21">
        <v>0</v>
      </c>
      <c r="U50" s="21">
        <v>0</v>
      </c>
      <c r="V50" s="21">
        <v>0</v>
      </c>
      <c r="W50" s="21">
        <v>0</v>
      </c>
      <c r="X50" s="21">
        <v>0</v>
      </c>
      <c r="Y50" s="21">
        <v>0</v>
      </c>
      <c r="Z50" s="21">
        <v>0</v>
      </c>
      <c r="AA50" s="21">
        <v>0</v>
      </c>
      <c r="AB50" s="21">
        <v>0</v>
      </c>
      <c r="AC50" s="21">
        <v>0</v>
      </c>
      <c r="AD50" s="21">
        <v>-100</v>
      </c>
      <c r="AE50" s="21">
        <v>0</v>
      </c>
      <c r="AF50" s="21">
        <v>0</v>
      </c>
      <c r="AG50" s="21">
        <v>0</v>
      </c>
      <c r="AH50" s="21">
        <v>0</v>
      </c>
      <c r="AI50" s="21">
        <v>0</v>
      </c>
      <c r="AJ50" s="21">
        <v>0</v>
      </c>
      <c r="AK50" s="21">
        <v>0</v>
      </c>
      <c r="AL50" s="21">
        <v>0</v>
      </c>
      <c r="AM50" s="21">
        <v>0</v>
      </c>
      <c r="AN50" s="23">
        <v>5</v>
      </c>
      <c r="AO50" s="23">
        <v>5</v>
      </c>
      <c r="AP50" s="23">
        <v>5</v>
      </c>
      <c r="AQ50" s="23">
        <v>5</v>
      </c>
      <c r="AR50" s="23">
        <v>5</v>
      </c>
      <c r="AS50" s="23">
        <v>5</v>
      </c>
      <c r="AT50" s="23">
        <v>5</v>
      </c>
      <c r="AU50" s="23">
        <v>5</v>
      </c>
      <c r="AV50" s="23">
        <v>5</v>
      </c>
      <c r="AW50" s="23">
        <v>5</v>
      </c>
      <c r="AX50" s="23">
        <v>5</v>
      </c>
      <c r="AY50" s="23">
        <v>5</v>
      </c>
      <c r="AZ50" s="23">
        <v>5</v>
      </c>
      <c r="BA50" s="23">
        <v>5</v>
      </c>
      <c r="BB50" s="23">
        <v>5</v>
      </c>
      <c r="BC50" s="23">
        <v>5</v>
      </c>
      <c r="BD50" s="23">
        <v>5</v>
      </c>
      <c r="BE50" s="23">
        <v>5</v>
      </c>
      <c r="BF50" s="23">
        <v>-100</v>
      </c>
      <c r="BG50" s="23">
        <v>5</v>
      </c>
      <c r="BH50" s="23">
        <v>-100</v>
      </c>
      <c r="BI50" s="23">
        <v>-100</v>
      </c>
      <c r="BJ50" s="23">
        <v>-100</v>
      </c>
      <c r="BK50" s="23">
        <v>-100</v>
      </c>
      <c r="BL50" s="23">
        <v>-100</v>
      </c>
      <c r="BM50" s="23">
        <v>-100</v>
      </c>
      <c r="BN50" s="23">
        <v>-100</v>
      </c>
      <c r="BO50" s="23">
        <v>-100</v>
      </c>
    </row>
    <row r="51" spans="1:67" x14ac:dyDescent="0.25">
      <c r="A51" s="22">
        <f>1</f>
        <v>1</v>
      </c>
      <c r="B51" t="s">
        <v>52</v>
      </c>
      <c r="C51">
        <v>100</v>
      </c>
      <c r="D51" s="21" t="s">
        <v>3</v>
      </c>
      <c r="E51" t="s">
        <v>223</v>
      </c>
      <c r="F51" t="s">
        <v>297</v>
      </c>
      <c r="G51" s="21">
        <f>COUNTIF(SCourse[Course],SCourse[[#This Row],[Course]])</f>
        <v>1</v>
      </c>
      <c r="I51" s="21">
        <f>COUNTIF(SCourse[Block],SCourse[[#This Row],[Block]])</f>
        <v>0</v>
      </c>
      <c r="J51" s="21">
        <v>1</v>
      </c>
      <c r="K51" s="21">
        <v>0</v>
      </c>
      <c r="L51" s="21">
        <v>0</v>
      </c>
      <c r="M51" s="21">
        <v>0</v>
      </c>
      <c r="N51" s="21">
        <v>0</v>
      </c>
      <c r="O51" s="21">
        <v>0</v>
      </c>
      <c r="P51" s="21">
        <v>0</v>
      </c>
      <c r="Q51" s="21">
        <v>0</v>
      </c>
      <c r="R51" s="21">
        <v>0</v>
      </c>
      <c r="S51" s="21">
        <v>0</v>
      </c>
      <c r="T51" s="21">
        <v>0</v>
      </c>
      <c r="U51" s="21">
        <v>0</v>
      </c>
      <c r="V51" s="21">
        <v>0</v>
      </c>
      <c r="W51" s="21">
        <v>0</v>
      </c>
      <c r="X51" s="21">
        <v>0</v>
      </c>
      <c r="Y51" s="21">
        <v>0</v>
      </c>
      <c r="Z51" s="21">
        <v>0</v>
      </c>
      <c r="AA51" s="21">
        <v>0</v>
      </c>
      <c r="AB51" s="21">
        <v>0</v>
      </c>
      <c r="AC51" s="21">
        <v>0</v>
      </c>
      <c r="AD51" s="21">
        <v>0</v>
      </c>
      <c r="AE51" s="21">
        <v>0</v>
      </c>
      <c r="AF51" s="21">
        <v>0</v>
      </c>
      <c r="AG51" s="21">
        <v>0</v>
      </c>
      <c r="AH51" s="21">
        <v>0</v>
      </c>
      <c r="AI51" s="21">
        <v>-100</v>
      </c>
      <c r="AJ51" s="21">
        <v>0</v>
      </c>
      <c r="AK51" s="21">
        <v>0</v>
      </c>
      <c r="AL51" s="21">
        <v>0</v>
      </c>
      <c r="AM51" s="21">
        <v>0</v>
      </c>
      <c r="AN51" s="23">
        <v>5</v>
      </c>
      <c r="AO51" s="23">
        <v>5</v>
      </c>
      <c r="AP51" s="23">
        <v>5</v>
      </c>
      <c r="AQ51" s="23">
        <v>5</v>
      </c>
      <c r="AR51" s="23">
        <v>5</v>
      </c>
      <c r="AS51" s="23">
        <v>5</v>
      </c>
      <c r="AT51" s="23">
        <v>5</v>
      </c>
      <c r="AU51" s="23">
        <v>5</v>
      </c>
      <c r="AV51" s="23">
        <v>5</v>
      </c>
      <c r="AW51" s="23">
        <v>5</v>
      </c>
      <c r="AX51" s="23">
        <v>5</v>
      </c>
      <c r="AY51" s="23">
        <v>5</v>
      </c>
      <c r="AZ51" s="23">
        <v>5</v>
      </c>
      <c r="BA51" s="23">
        <v>5</v>
      </c>
      <c r="BB51" s="23">
        <v>5</v>
      </c>
      <c r="BC51" s="23">
        <v>5</v>
      </c>
      <c r="BD51" s="23">
        <v>5</v>
      </c>
      <c r="BE51" s="23">
        <v>5</v>
      </c>
      <c r="BF51" s="23">
        <v>5</v>
      </c>
      <c r="BG51" s="23">
        <v>5</v>
      </c>
      <c r="BH51" s="23">
        <v>-100</v>
      </c>
      <c r="BI51" s="23">
        <v>-100</v>
      </c>
      <c r="BJ51" s="23">
        <v>-100</v>
      </c>
      <c r="BK51" s="23">
        <v>-100</v>
      </c>
      <c r="BL51" s="23">
        <v>-100</v>
      </c>
      <c r="BM51" s="23">
        <v>-100</v>
      </c>
      <c r="BN51" s="23">
        <v>-100</v>
      </c>
      <c r="BO51" s="23">
        <v>-100</v>
      </c>
    </row>
    <row r="52" spans="1:67" x14ac:dyDescent="0.25">
      <c r="A52" s="22">
        <f>1</f>
        <v>1</v>
      </c>
      <c r="B52" t="s">
        <v>53</v>
      </c>
      <c r="C52">
        <v>100</v>
      </c>
      <c r="D52" s="21" t="s">
        <v>3</v>
      </c>
      <c r="E52" t="s">
        <v>224</v>
      </c>
      <c r="F52" t="s">
        <v>328</v>
      </c>
      <c r="G52" s="21">
        <f>COUNTIF(SCourse[Course],SCourse[[#This Row],[Course]])</f>
        <v>1</v>
      </c>
      <c r="I52" s="21">
        <f>COUNTIF(SCourse[Block],SCourse[[#This Row],[Block]])</f>
        <v>0</v>
      </c>
      <c r="J52" s="21">
        <v>1</v>
      </c>
      <c r="K52" s="21">
        <v>0</v>
      </c>
      <c r="L52" s="21">
        <v>0</v>
      </c>
      <c r="M52" s="21">
        <v>0</v>
      </c>
      <c r="N52" s="21">
        <v>0</v>
      </c>
      <c r="O52" s="21">
        <v>0</v>
      </c>
      <c r="P52" s="21">
        <v>0</v>
      </c>
      <c r="Q52" s="21">
        <v>0</v>
      </c>
      <c r="R52" s="21">
        <v>0</v>
      </c>
      <c r="S52" s="21">
        <v>0</v>
      </c>
      <c r="T52" s="21">
        <v>0</v>
      </c>
      <c r="U52" s="21">
        <v>0</v>
      </c>
      <c r="V52" s="21">
        <v>0</v>
      </c>
      <c r="W52" s="21">
        <v>-100</v>
      </c>
      <c r="X52" s="21">
        <v>0</v>
      </c>
      <c r="Y52" s="21">
        <v>0</v>
      </c>
      <c r="Z52" s="21">
        <v>0</v>
      </c>
      <c r="AA52" s="21">
        <v>0</v>
      </c>
      <c r="AB52" s="21">
        <v>0</v>
      </c>
      <c r="AC52" s="21">
        <v>0</v>
      </c>
      <c r="AD52" s="21">
        <v>0</v>
      </c>
      <c r="AE52" s="21">
        <v>0</v>
      </c>
      <c r="AF52" s="21">
        <v>0</v>
      </c>
      <c r="AG52" s="21">
        <v>0</v>
      </c>
      <c r="AH52" s="21">
        <v>0</v>
      </c>
      <c r="AI52" s="21">
        <v>0</v>
      </c>
      <c r="AJ52" s="21">
        <v>0</v>
      </c>
      <c r="AK52" s="21">
        <v>0</v>
      </c>
      <c r="AL52" s="21">
        <v>0</v>
      </c>
      <c r="AM52" s="21">
        <v>0</v>
      </c>
      <c r="AN52" s="23">
        <v>5</v>
      </c>
      <c r="AO52" s="23">
        <v>5</v>
      </c>
      <c r="AP52" s="23">
        <v>5</v>
      </c>
      <c r="AQ52" s="23">
        <v>5</v>
      </c>
      <c r="AR52" s="23">
        <v>5</v>
      </c>
      <c r="AS52" s="23">
        <v>5</v>
      </c>
      <c r="AT52" s="23">
        <v>5</v>
      </c>
      <c r="AU52" s="23">
        <v>5</v>
      </c>
      <c r="AV52" s="23">
        <v>5</v>
      </c>
      <c r="AW52" s="23">
        <v>5</v>
      </c>
      <c r="AX52" s="23">
        <v>5</v>
      </c>
      <c r="AY52" s="23">
        <v>-100</v>
      </c>
      <c r="AZ52" s="23">
        <v>5</v>
      </c>
      <c r="BA52" s="23">
        <v>5</v>
      </c>
      <c r="BB52" s="23">
        <v>5</v>
      </c>
      <c r="BC52" s="23">
        <v>5</v>
      </c>
      <c r="BD52" s="23">
        <v>5</v>
      </c>
      <c r="BE52" s="23">
        <v>5</v>
      </c>
      <c r="BF52" s="23">
        <v>5</v>
      </c>
      <c r="BG52" s="23">
        <v>5</v>
      </c>
      <c r="BH52" s="23">
        <v>-100</v>
      </c>
      <c r="BI52" s="23">
        <v>-100</v>
      </c>
      <c r="BJ52" s="23">
        <v>-100</v>
      </c>
      <c r="BK52" s="23">
        <v>-100</v>
      </c>
      <c r="BL52" s="23">
        <v>-100</v>
      </c>
      <c r="BM52" s="23">
        <v>-100</v>
      </c>
      <c r="BN52" s="23">
        <v>-100</v>
      </c>
      <c r="BO52" s="23">
        <v>-100</v>
      </c>
    </row>
    <row r="53" spans="1:67" x14ac:dyDescent="0.25">
      <c r="A53" s="22">
        <f>1</f>
        <v>1</v>
      </c>
      <c r="B53" t="s">
        <v>54</v>
      </c>
      <c r="C53">
        <v>100</v>
      </c>
      <c r="D53" s="21" t="s">
        <v>3</v>
      </c>
      <c r="E53" t="s">
        <v>225</v>
      </c>
      <c r="F53" t="s">
        <v>337</v>
      </c>
      <c r="G53" s="21">
        <f>COUNTIF(SCourse[Course],SCourse[[#This Row],[Course]])</f>
        <v>1</v>
      </c>
      <c r="I53" s="21">
        <f>COUNTIF(SCourse[Block],SCourse[[#This Row],[Block]])</f>
        <v>0</v>
      </c>
      <c r="J53" s="21">
        <v>1</v>
      </c>
      <c r="K53" s="21">
        <v>0</v>
      </c>
      <c r="L53" s="21">
        <v>0</v>
      </c>
      <c r="M53" s="21">
        <v>0</v>
      </c>
      <c r="N53" s="21">
        <v>0</v>
      </c>
      <c r="O53" s="21">
        <v>0</v>
      </c>
      <c r="P53" s="21">
        <v>0</v>
      </c>
      <c r="Q53" s="21">
        <v>0</v>
      </c>
      <c r="R53" s="21">
        <v>0</v>
      </c>
      <c r="S53" s="21">
        <v>0</v>
      </c>
      <c r="T53" s="21">
        <v>0</v>
      </c>
      <c r="U53" s="21">
        <v>0</v>
      </c>
      <c r="V53" s="21">
        <v>0</v>
      </c>
      <c r="W53" s="21">
        <v>0</v>
      </c>
      <c r="X53" s="21">
        <v>0</v>
      </c>
      <c r="Y53" s="21">
        <v>0</v>
      </c>
      <c r="Z53" s="21">
        <v>0</v>
      </c>
      <c r="AA53" s="21">
        <v>0</v>
      </c>
      <c r="AB53" s="21">
        <v>0</v>
      </c>
      <c r="AC53" s="21">
        <v>0</v>
      </c>
      <c r="AD53" s="21">
        <v>0</v>
      </c>
      <c r="AE53" s="21">
        <v>0</v>
      </c>
      <c r="AF53" s="21">
        <v>0</v>
      </c>
      <c r="AG53" s="21">
        <v>0</v>
      </c>
      <c r="AH53" s="21">
        <v>0</v>
      </c>
      <c r="AI53" s="21">
        <v>0</v>
      </c>
      <c r="AJ53" s="21">
        <v>-100</v>
      </c>
      <c r="AK53" s="21">
        <v>0</v>
      </c>
      <c r="AL53" s="21">
        <v>0</v>
      </c>
      <c r="AM53" s="21">
        <v>0</v>
      </c>
      <c r="AN53" s="23">
        <v>5</v>
      </c>
      <c r="AO53" s="23">
        <v>5</v>
      </c>
      <c r="AP53" s="23">
        <v>5</v>
      </c>
      <c r="AQ53" s="23">
        <v>5</v>
      </c>
      <c r="AR53" s="23">
        <v>5</v>
      </c>
      <c r="AS53" s="23">
        <v>5</v>
      </c>
      <c r="AT53" s="23">
        <v>5</v>
      </c>
      <c r="AU53" s="23">
        <v>5</v>
      </c>
      <c r="AV53" s="23">
        <v>5</v>
      </c>
      <c r="AW53" s="23">
        <v>5</v>
      </c>
      <c r="AX53" s="23">
        <v>5</v>
      </c>
      <c r="AY53" s="23">
        <v>5</v>
      </c>
      <c r="AZ53" s="23">
        <v>5</v>
      </c>
      <c r="BA53" s="23">
        <v>5</v>
      </c>
      <c r="BB53" s="23">
        <v>5</v>
      </c>
      <c r="BC53" s="23">
        <v>5</v>
      </c>
      <c r="BD53" s="23">
        <v>5</v>
      </c>
      <c r="BE53" s="23">
        <v>5</v>
      </c>
      <c r="BF53" s="23">
        <v>5</v>
      </c>
      <c r="BG53" s="23">
        <v>5</v>
      </c>
      <c r="BH53" s="23">
        <v>-100</v>
      </c>
      <c r="BI53" s="23">
        <v>-100</v>
      </c>
      <c r="BJ53" s="23">
        <v>-100</v>
      </c>
      <c r="BK53" s="23">
        <v>-100</v>
      </c>
      <c r="BL53" s="23">
        <v>-100</v>
      </c>
      <c r="BM53" s="23">
        <v>-100</v>
      </c>
      <c r="BN53" s="23">
        <v>-100</v>
      </c>
      <c r="BO53" s="23">
        <v>-100</v>
      </c>
    </row>
    <row r="54" spans="1:67" x14ac:dyDescent="0.25">
      <c r="A54" s="22">
        <f>1</f>
        <v>1</v>
      </c>
      <c r="B54" t="s">
        <v>55</v>
      </c>
      <c r="C54">
        <v>100</v>
      </c>
      <c r="D54" s="21" t="s">
        <v>3</v>
      </c>
      <c r="E54" t="s">
        <v>226</v>
      </c>
      <c r="F54" t="s">
        <v>322</v>
      </c>
      <c r="G54" s="21">
        <f>COUNTIF(SCourse[Course],SCourse[[#This Row],[Course]])</f>
        <v>1</v>
      </c>
      <c r="I54" s="21">
        <f>COUNTIF(SCourse[Block],SCourse[[#This Row],[Block]])</f>
        <v>0</v>
      </c>
      <c r="J54" s="21">
        <v>1</v>
      </c>
      <c r="K54" s="21">
        <v>0</v>
      </c>
      <c r="L54" s="21">
        <v>0</v>
      </c>
      <c r="M54" s="21">
        <v>0</v>
      </c>
      <c r="N54" s="21">
        <v>0</v>
      </c>
      <c r="O54" s="21">
        <v>0</v>
      </c>
      <c r="P54" s="21">
        <v>0</v>
      </c>
      <c r="Q54" s="21">
        <v>0</v>
      </c>
      <c r="R54" s="21">
        <v>0</v>
      </c>
      <c r="S54" s="21">
        <v>0</v>
      </c>
      <c r="T54" s="21">
        <v>0</v>
      </c>
      <c r="U54" s="21">
        <v>-100</v>
      </c>
      <c r="V54" s="21">
        <v>0</v>
      </c>
      <c r="W54" s="21">
        <v>0</v>
      </c>
      <c r="X54" s="21">
        <v>0</v>
      </c>
      <c r="Y54" s="21">
        <v>0</v>
      </c>
      <c r="Z54" s="21">
        <v>0</v>
      </c>
      <c r="AA54" s="21">
        <v>0</v>
      </c>
      <c r="AB54" s="21">
        <v>0</v>
      </c>
      <c r="AC54" s="21">
        <v>0</v>
      </c>
      <c r="AD54" s="21">
        <v>0</v>
      </c>
      <c r="AE54" s="21">
        <v>0</v>
      </c>
      <c r="AF54" s="21">
        <v>0</v>
      </c>
      <c r="AG54" s="21">
        <v>0</v>
      </c>
      <c r="AH54" s="21">
        <v>0</v>
      </c>
      <c r="AI54" s="21">
        <v>0</v>
      </c>
      <c r="AJ54" s="21">
        <v>0</v>
      </c>
      <c r="AK54" s="21">
        <v>0</v>
      </c>
      <c r="AL54" s="21">
        <v>0</v>
      </c>
      <c r="AM54" s="21">
        <v>0</v>
      </c>
      <c r="AN54" s="23">
        <v>5</v>
      </c>
      <c r="AO54" s="23">
        <v>5</v>
      </c>
      <c r="AP54" s="23">
        <v>5</v>
      </c>
      <c r="AQ54" s="23">
        <v>5</v>
      </c>
      <c r="AR54" s="23">
        <v>5</v>
      </c>
      <c r="AS54" s="23">
        <v>5</v>
      </c>
      <c r="AT54" s="23">
        <v>5</v>
      </c>
      <c r="AU54" s="23">
        <v>5</v>
      </c>
      <c r="AV54" s="23">
        <v>5</v>
      </c>
      <c r="AW54" s="23">
        <v>-100</v>
      </c>
      <c r="AX54" s="23">
        <v>5</v>
      </c>
      <c r="AY54" s="23">
        <v>5</v>
      </c>
      <c r="AZ54" s="23">
        <v>5</v>
      </c>
      <c r="BA54" s="23">
        <v>5</v>
      </c>
      <c r="BB54" s="23">
        <v>5</v>
      </c>
      <c r="BC54" s="23">
        <v>5</v>
      </c>
      <c r="BD54" s="23">
        <v>5</v>
      </c>
      <c r="BE54" s="23">
        <v>5</v>
      </c>
      <c r="BF54" s="23">
        <v>5</v>
      </c>
      <c r="BG54" s="23">
        <v>5</v>
      </c>
      <c r="BH54" s="23">
        <v>-100</v>
      </c>
      <c r="BI54" s="23">
        <v>-100</v>
      </c>
      <c r="BJ54" s="23">
        <v>-100</v>
      </c>
      <c r="BK54" s="23">
        <v>-100</v>
      </c>
      <c r="BL54" s="23">
        <v>-100</v>
      </c>
      <c r="BM54" s="23">
        <v>-100</v>
      </c>
      <c r="BN54" s="23">
        <v>-100</v>
      </c>
      <c r="BO54" s="23">
        <v>-100</v>
      </c>
    </row>
    <row r="55" spans="1:67" x14ac:dyDescent="0.25">
      <c r="A55" s="22">
        <f>1</f>
        <v>1</v>
      </c>
      <c r="B55" t="s">
        <v>56</v>
      </c>
      <c r="C55">
        <v>100</v>
      </c>
      <c r="D55" s="21" t="s">
        <v>3</v>
      </c>
      <c r="E55" t="s">
        <v>227</v>
      </c>
      <c r="F55" t="s">
        <v>294</v>
      </c>
      <c r="G55" s="21">
        <f>COUNTIF(SCourse[Course],SCourse[[#This Row],[Course]])</f>
        <v>1</v>
      </c>
      <c r="I55" s="21">
        <f>COUNTIF(SCourse[Block],SCourse[[#This Row],[Block]])</f>
        <v>0</v>
      </c>
      <c r="J55" s="21">
        <v>1</v>
      </c>
      <c r="K55" s="21">
        <v>0</v>
      </c>
      <c r="L55" s="21">
        <v>0</v>
      </c>
      <c r="M55" s="21">
        <v>0</v>
      </c>
      <c r="N55" s="21">
        <v>0</v>
      </c>
      <c r="O55" s="21">
        <v>0</v>
      </c>
      <c r="P55" s="21">
        <v>-100</v>
      </c>
      <c r="Q55" s="21">
        <v>0</v>
      </c>
      <c r="R55" s="21">
        <v>0</v>
      </c>
      <c r="S55" s="21">
        <v>0</v>
      </c>
      <c r="T55" s="21">
        <v>0</v>
      </c>
      <c r="U55" s="21">
        <v>0</v>
      </c>
      <c r="V55" s="21">
        <v>0</v>
      </c>
      <c r="W55" s="21">
        <v>0</v>
      </c>
      <c r="X55" s="21">
        <v>0</v>
      </c>
      <c r="Y55" s="21">
        <v>0</v>
      </c>
      <c r="Z55" s="21">
        <v>0</v>
      </c>
      <c r="AA55" s="21">
        <v>0</v>
      </c>
      <c r="AB55" s="21">
        <v>0</v>
      </c>
      <c r="AC55" s="21">
        <v>0</v>
      </c>
      <c r="AD55" s="21">
        <v>0</v>
      </c>
      <c r="AE55" s="21">
        <v>0</v>
      </c>
      <c r="AF55" s="21">
        <v>0</v>
      </c>
      <c r="AG55" s="21">
        <v>0</v>
      </c>
      <c r="AH55" s="21">
        <v>0</v>
      </c>
      <c r="AI55" s="21">
        <v>0</v>
      </c>
      <c r="AJ55" s="21">
        <v>0</v>
      </c>
      <c r="AK55" s="21">
        <v>0</v>
      </c>
      <c r="AL55" s="21">
        <v>0</v>
      </c>
      <c r="AM55" s="21">
        <v>0</v>
      </c>
      <c r="AN55" s="23">
        <v>5</v>
      </c>
      <c r="AO55" s="23">
        <v>5</v>
      </c>
      <c r="AP55" s="23">
        <v>5</v>
      </c>
      <c r="AQ55" s="23">
        <v>5</v>
      </c>
      <c r="AR55" s="23">
        <v>-100</v>
      </c>
      <c r="AS55" s="23">
        <v>5</v>
      </c>
      <c r="AT55" s="23">
        <v>5</v>
      </c>
      <c r="AU55" s="23">
        <v>5</v>
      </c>
      <c r="AV55" s="23">
        <v>5</v>
      </c>
      <c r="AW55" s="23">
        <v>5</v>
      </c>
      <c r="AX55" s="23">
        <v>5</v>
      </c>
      <c r="AY55" s="23">
        <v>5</v>
      </c>
      <c r="AZ55" s="23">
        <v>5</v>
      </c>
      <c r="BA55" s="23">
        <v>5</v>
      </c>
      <c r="BB55" s="23">
        <v>5</v>
      </c>
      <c r="BC55" s="23">
        <v>5</v>
      </c>
      <c r="BD55" s="23">
        <v>5</v>
      </c>
      <c r="BE55" s="23">
        <v>5</v>
      </c>
      <c r="BF55" s="23">
        <v>5</v>
      </c>
      <c r="BG55" s="23">
        <v>5</v>
      </c>
      <c r="BH55" s="23">
        <v>-100</v>
      </c>
      <c r="BI55" s="23">
        <v>-100</v>
      </c>
      <c r="BJ55" s="23">
        <v>-100</v>
      </c>
      <c r="BK55" s="23">
        <v>-100</v>
      </c>
      <c r="BL55" s="23">
        <v>-100</v>
      </c>
      <c r="BM55" s="23">
        <v>-100</v>
      </c>
      <c r="BN55" s="23">
        <v>-100</v>
      </c>
      <c r="BO55" s="23">
        <v>-100</v>
      </c>
    </row>
    <row r="56" spans="1:67" x14ac:dyDescent="0.25">
      <c r="A56" s="22">
        <f>1</f>
        <v>1</v>
      </c>
      <c r="B56" t="s">
        <v>57</v>
      </c>
      <c r="C56">
        <v>100</v>
      </c>
      <c r="D56" s="21" t="s">
        <v>3</v>
      </c>
      <c r="E56" t="s">
        <v>228</v>
      </c>
      <c r="F56" t="s">
        <v>312</v>
      </c>
      <c r="G56" s="21">
        <f>COUNTIF(SCourse[Course],SCourse[[#This Row],[Course]])</f>
        <v>1</v>
      </c>
      <c r="I56" s="21">
        <f>COUNTIF(SCourse[Block],SCourse[[#This Row],[Block]])</f>
        <v>0</v>
      </c>
      <c r="J56" s="21">
        <v>1</v>
      </c>
      <c r="K56" s="21">
        <v>0</v>
      </c>
      <c r="L56" s="21">
        <v>0</v>
      </c>
      <c r="M56" s="21">
        <v>0</v>
      </c>
      <c r="N56" s="21">
        <v>0</v>
      </c>
      <c r="O56" s="21">
        <v>0</v>
      </c>
      <c r="P56" s="21">
        <v>0</v>
      </c>
      <c r="Q56" s="21">
        <v>0</v>
      </c>
      <c r="R56" s="21">
        <v>0</v>
      </c>
      <c r="S56" s="21">
        <v>0</v>
      </c>
      <c r="T56" s="21">
        <v>0</v>
      </c>
      <c r="U56" s="21">
        <v>0</v>
      </c>
      <c r="V56" s="21">
        <v>0</v>
      </c>
      <c r="W56" s="21">
        <v>0</v>
      </c>
      <c r="X56" s="21">
        <v>0</v>
      </c>
      <c r="Y56" s="21">
        <v>0</v>
      </c>
      <c r="Z56" s="21">
        <v>0</v>
      </c>
      <c r="AA56" s="21">
        <v>0</v>
      </c>
      <c r="AB56" s="21">
        <v>0</v>
      </c>
      <c r="AC56" s="21">
        <v>-100</v>
      </c>
      <c r="AD56" s="21">
        <v>0</v>
      </c>
      <c r="AE56" s="21">
        <v>0</v>
      </c>
      <c r="AF56" s="21">
        <v>0</v>
      </c>
      <c r="AG56" s="21">
        <v>0</v>
      </c>
      <c r="AH56" s="21">
        <v>0</v>
      </c>
      <c r="AI56" s="21">
        <v>0</v>
      </c>
      <c r="AJ56" s="21">
        <v>0</v>
      </c>
      <c r="AK56" s="21">
        <v>0</v>
      </c>
      <c r="AL56" s="21">
        <v>0</v>
      </c>
      <c r="AM56" s="21">
        <v>0</v>
      </c>
      <c r="AN56" s="23">
        <v>5</v>
      </c>
      <c r="AO56" s="23">
        <v>5</v>
      </c>
      <c r="AP56" s="23">
        <v>5</v>
      </c>
      <c r="AQ56" s="23">
        <v>5</v>
      </c>
      <c r="AR56" s="23">
        <v>5</v>
      </c>
      <c r="AS56" s="23">
        <v>5</v>
      </c>
      <c r="AT56" s="23">
        <v>5</v>
      </c>
      <c r="AU56" s="23">
        <v>5</v>
      </c>
      <c r="AV56" s="23">
        <v>5</v>
      </c>
      <c r="AW56" s="23">
        <v>5</v>
      </c>
      <c r="AX56" s="23">
        <v>5</v>
      </c>
      <c r="AY56" s="23">
        <v>5</v>
      </c>
      <c r="AZ56" s="23">
        <v>5</v>
      </c>
      <c r="BA56" s="23">
        <v>5</v>
      </c>
      <c r="BB56" s="23">
        <v>5</v>
      </c>
      <c r="BC56" s="23">
        <v>5</v>
      </c>
      <c r="BD56" s="23">
        <v>5</v>
      </c>
      <c r="BE56" s="23">
        <v>-100</v>
      </c>
      <c r="BF56" s="23">
        <v>5</v>
      </c>
      <c r="BG56" s="23">
        <v>5</v>
      </c>
      <c r="BH56" s="23">
        <v>-100</v>
      </c>
      <c r="BI56" s="23">
        <v>-100</v>
      </c>
      <c r="BJ56" s="23">
        <v>-100</v>
      </c>
      <c r="BK56" s="23">
        <v>-100</v>
      </c>
      <c r="BL56" s="23">
        <v>-100</v>
      </c>
      <c r="BM56" s="23">
        <v>-100</v>
      </c>
      <c r="BN56" s="23">
        <v>-100</v>
      </c>
      <c r="BO56" s="23">
        <v>-100</v>
      </c>
    </row>
    <row r="57" spans="1:67" x14ac:dyDescent="0.25">
      <c r="A57" s="22">
        <f>1</f>
        <v>1</v>
      </c>
      <c r="B57" t="s">
        <v>58</v>
      </c>
      <c r="C57">
        <v>100</v>
      </c>
      <c r="D57" s="21" t="s">
        <v>3</v>
      </c>
      <c r="E57" t="s">
        <v>229</v>
      </c>
      <c r="F57" t="s">
        <v>313</v>
      </c>
      <c r="G57" s="21">
        <f>COUNTIF(SCourse[Course],SCourse[[#This Row],[Course]])</f>
        <v>1</v>
      </c>
      <c r="I57" s="21">
        <f>COUNTIF(SCourse[Block],SCourse[[#This Row],[Block]])</f>
        <v>0</v>
      </c>
      <c r="J57" s="21">
        <v>1</v>
      </c>
      <c r="K57" s="21">
        <v>0</v>
      </c>
      <c r="L57" s="21">
        <v>0</v>
      </c>
      <c r="M57" s="21">
        <v>0</v>
      </c>
      <c r="N57" s="21">
        <v>0</v>
      </c>
      <c r="O57" s="21">
        <v>0</v>
      </c>
      <c r="P57" s="21">
        <v>0</v>
      </c>
      <c r="Q57" s="21">
        <v>0</v>
      </c>
      <c r="R57" s="21">
        <v>0</v>
      </c>
      <c r="S57" s="21">
        <v>0</v>
      </c>
      <c r="T57" s="21">
        <v>-100</v>
      </c>
      <c r="U57" s="21">
        <v>0</v>
      </c>
      <c r="V57" s="21">
        <v>0</v>
      </c>
      <c r="W57" s="21">
        <v>0</v>
      </c>
      <c r="X57" s="21">
        <v>0</v>
      </c>
      <c r="Y57" s="21">
        <v>0</v>
      </c>
      <c r="Z57" s="21">
        <v>0</v>
      </c>
      <c r="AA57" s="21">
        <v>0</v>
      </c>
      <c r="AB57" s="21">
        <v>0</v>
      </c>
      <c r="AC57" s="21">
        <v>0</v>
      </c>
      <c r="AD57" s="21">
        <v>0</v>
      </c>
      <c r="AE57" s="21">
        <v>0</v>
      </c>
      <c r="AF57" s="21">
        <v>0</v>
      </c>
      <c r="AG57" s="21">
        <v>0</v>
      </c>
      <c r="AH57" s="21">
        <v>0</v>
      </c>
      <c r="AI57" s="21">
        <v>0</v>
      </c>
      <c r="AJ57" s="21">
        <v>0</v>
      </c>
      <c r="AK57" s="21">
        <v>0</v>
      </c>
      <c r="AL57" s="21">
        <v>0</v>
      </c>
      <c r="AM57" s="21">
        <v>0</v>
      </c>
      <c r="AN57" s="23">
        <v>5</v>
      </c>
      <c r="AO57" s="23">
        <v>5</v>
      </c>
      <c r="AP57" s="23">
        <v>5</v>
      </c>
      <c r="AQ57" s="23">
        <v>5</v>
      </c>
      <c r="AR57" s="23">
        <v>5</v>
      </c>
      <c r="AS57" s="23">
        <v>5</v>
      </c>
      <c r="AT57" s="23">
        <v>5</v>
      </c>
      <c r="AU57" s="23">
        <v>5</v>
      </c>
      <c r="AV57" s="23">
        <v>-100</v>
      </c>
      <c r="AW57" s="23">
        <v>5</v>
      </c>
      <c r="AX57" s="23">
        <v>5</v>
      </c>
      <c r="AY57" s="23">
        <v>5</v>
      </c>
      <c r="AZ57" s="23">
        <v>5</v>
      </c>
      <c r="BA57" s="23">
        <v>5</v>
      </c>
      <c r="BB57" s="23">
        <v>5</v>
      </c>
      <c r="BC57" s="23">
        <v>5</v>
      </c>
      <c r="BD57" s="23">
        <v>5</v>
      </c>
      <c r="BE57" s="23">
        <v>5</v>
      </c>
      <c r="BF57" s="23">
        <v>5</v>
      </c>
      <c r="BG57" s="23">
        <v>5</v>
      </c>
      <c r="BH57" s="23">
        <v>-100</v>
      </c>
      <c r="BI57" s="23">
        <v>-100</v>
      </c>
      <c r="BJ57" s="23">
        <v>-100</v>
      </c>
      <c r="BK57" s="23">
        <v>-100</v>
      </c>
      <c r="BL57" s="23">
        <v>-100</v>
      </c>
      <c r="BM57" s="23">
        <v>-100</v>
      </c>
      <c r="BN57" s="23">
        <v>-100</v>
      </c>
      <c r="BO57" s="23">
        <v>-100</v>
      </c>
    </row>
    <row r="58" spans="1:67" x14ac:dyDescent="0.25">
      <c r="A58" s="22">
        <f>1</f>
        <v>1</v>
      </c>
      <c r="B58" t="s">
        <v>59</v>
      </c>
      <c r="C58">
        <v>100</v>
      </c>
      <c r="D58" s="21" t="s">
        <v>3</v>
      </c>
      <c r="E58" t="s">
        <v>230</v>
      </c>
      <c r="F58" t="s">
        <v>327</v>
      </c>
      <c r="G58" s="21">
        <f>COUNTIF(SCourse[Course],SCourse[[#This Row],[Course]])</f>
        <v>1</v>
      </c>
      <c r="I58" s="21">
        <f>COUNTIF(SCourse[Block],SCourse[[#This Row],[Block]])</f>
        <v>0</v>
      </c>
      <c r="J58" s="21">
        <v>1</v>
      </c>
      <c r="K58" s="21">
        <v>0</v>
      </c>
      <c r="L58" s="21">
        <v>-100</v>
      </c>
      <c r="M58" s="21">
        <v>0</v>
      </c>
      <c r="N58" s="21">
        <v>0</v>
      </c>
      <c r="O58" s="21">
        <v>0</v>
      </c>
      <c r="P58" s="21">
        <v>0</v>
      </c>
      <c r="Q58" s="21">
        <v>0</v>
      </c>
      <c r="R58" s="21">
        <v>0</v>
      </c>
      <c r="S58" s="21">
        <v>0</v>
      </c>
      <c r="T58" s="21">
        <v>0</v>
      </c>
      <c r="U58" s="21">
        <v>0</v>
      </c>
      <c r="V58" s="21">
        <v>0</v>
      </c>
      <c r="W58" s="21">
        <v>0</v>
      </c>
      <c r="X58" s="21">
        <v>0</v>
      </c>
      <c r="Y58" s="21">
        <v>0</v>
      </c>
      <c r="Z58" s="21">
        <v>0</v>
      </c>
      <c r="AA58" s="21">
        <v>0</v>
      </c>
      <c r="AB58" s="21">
        <v>0</v>
      </c>
      <c r="AC58" s="21">
        <v>0</v>
      </c>
      <c r="AD58" s="21">
        <v>0</v>
      </c>
      <c r="AE58" s="21">
        <v>0</v>
      </c>
      <c r="AF58" s="21">
        <v>0</v>
      </c>
      <c r="AG58" s="21">
        <v>0</v>
      </c>
      <c r="AH58" s="21">
        <v>0</v>
      </c>
      <c r="AI58" s="21">
        <v>0</v>
      </c>
      <c r="AJ58" s="21">
        <v>0</v>
      </c>
      <c r="AK58" s="21">
        <v>0</v>
      </c>
      <c r="AL58" s="21">
        <v>0</v>
      </c>
      <c r="AM58" s="21">
        <v>0</v>
      </c>
      <c r="AN58" s="23">
        <v>-100</v>
      </c>
      <c r="AO58" s="23">
        <v>5</v>
      </c>
      <c r="AP58" s="23">
        <v>5</v>
      </c>
      <c r="AQ58" s="23">
        <v>5</v>
      </c>
      <c r="AR58" s="23">
        <v>5</v>
      </c>
      <c r="AS58" s="23">
        <v>5</v>
      </c>
      <c r="AT58" s="23">
        <v>5</v>
      </c>
      <c r="AU58" s="23">
        <v>5</v>
      </c>
      <c r="AV58" s="23">
        <v>5</v>
      </c>
      <c r="AW58" s="23">
        <v>5</v>
      </c>
      <c r="AX58" s="23">
        <v>5</v>
      </c>
      <c r="AY58" s="23">
        <v>5</v>
      </c>
      <c r="AZ58" s="23">
        <v>5</v>
      </c>
      <c r="BA58" s="23">
        <v>5</v>
      </c>
      <c r="BB58" s="23">
        <v>5</v>
      </c>
      <c r="BC58" s="23">
        <v>5</v>
      </c>
      <c r="BD58" s="23">
        <v>5</v>
      </c>
      <c r="BE58" s="23">
        <v>5</v>
      </c>
      <c r="BF58" s="23">
        <v>5</v>
      </c>
      <c r="BG58" s="23">
        <v>5</v>
      </c>
      <c r="BH58" s="23">
        <v>-100</v>
      </c>
      <c r="BI58" s="23">
        <v>-100</v>
      </c>
      <c r="BJ58" s="23">
        <v>-100</v>
      </c>
      <c r="BK58" s="23">
        <v>-100</v>
      </c>
      <c r="BL58" s="23">
        <v>-100</v>
      </c>
      <c r="BM58" s="23">
        <v>-100</v>
      </c>
      <c r="BN58" s="23">
        <v>-100</v>
      </c>
      <c r="BO58" s="23">
        <v>-100</v>
      </c>
    </row>
    <row r="59" spans="1:67" x14ac:dyDescent="0.25">
      <c r="A59" s="22">
        <f>1</f>
        <v>1</v>
      </c>
      <c r="B59" t="s">
        <v>60</v>
      </c>
      <c r="C59">
        <v>100</v>
      </c>
      <c r="D59" s="21" t="s">
        <v>3</v>
      </c>
      <c r="E59" t="s">
        <v>231</v>
      </c>
      <c r="F59" t="s">
        <v>304</v>
      </c>
      <c r="G59" s="21">
        <f>COUNTIF(SCourse[Course],SCourse[[#This Row],[Course]])</f>
        <v>1</v>
      </c>
      <c r="I59" s="21">
        <f>COUNTIF(SCourse[Block],SCourse[[#This Row],[Block]])</f>
        <v>0</v>
      </c>
      <c r="J59" s="21">
        <v>1</v>
      </c>
      <c r="K59" s="21">
        <v>-1</v>
      </c>
      <c r="L59" s="21">
        <v>0</v>
      </c>
      <c r="M59" s="21">
        <v>0</v>
      </c>
      <c r="N59" s="21">
        <v>0</v>
      </c>
      <c r="O59" s="21">
        <v>0</v>
      </c>
      <c r="P59" s="21">
        <v>0</v>
      </c>
      <c r="Q59" s="21">
        <v>0</v>
      </c>
      <c r="R59" s="21">
        <v>0</v>
      </c>
      <c r="S59" s="21">
        <v>0</v>
      </c>
      <c r="T59" s="21">
        <v>0</v>
      </c>
      <c r="U59" s="21">
        <v>0</v>
      </c>
      <c r="V59" s="21">
        <v>0</v>
      </c>
      <c r="W59" s="21">
        <v>0</v>
      </c>
      <c r="X59" s="21">
        <v>0</v>
      </c>
      <c r="Y59" s="21">
        <v>0</v>
      </c>
      <c r="Z59" s="21">
        <v>0</v>
      </c>
      <c r="AA59" s="21">
        <v>0</v>
      </c>
      <c r="AB59" s="21">
        <v>0</v>
      </c>
      <c r="AC59" s="21">
        <v>0</v>
      </c>
      <c r="AD59" s="21">
        <v>0</v>
      </c>
      <c r="AE59" s="21">
        <v>0</v>
      </c>
      <c r="AF59" s="21">
        <v>0</v>
      </c>
      <c r="AG59" s="21">
        <v>0</v>
      </c>
      <c r="AH59" s="21">
        <v>-100</v>
      </c>
      <c r="AI59" s="21">
        <v>0</v>
      </c>
      <c r="AJ59" s="21">
        <v>0</v>
      </c>
      <c r="AK59" s="21">
        <v>0</v>
      </c>
      <c r="AL59" s="21">
        <v>0</v>
      </c>
      <c r="AM59" s="21">
        <v>0</v>
      </c>
      <c r="AN59" s="23">
        <v>5</v>
      </c>
      <c r="AO59" s="23">
        <v>5</v>
      </c>
      <c r="AP59" s="23">
        <v>5</v>
      </c>
      <c r="AQ59" s="23">
        <v>5</v>
      </c>
      <c r="AR59" s="23">
        <v>5</v>
      </c>
      <c r="AS59" s="23">
        <v>5</v>
      </c>
      <c r="AT59" s="23">
        <v>5</v>
      </c>
      <c r="AU59" s="23">
        <v>5</v>
      </c>
      <c r="AV59" s="23">
        <v>5</v>
      </c>
      <c r="AW59" s="23">
        <v>5</v>
      </c>
      <c r="AX59" s="23">
        <v>5</v>
      </c>
      <c r="AY59" s="23">
        <v>5</v>
      </c>
      <c r="AZ59" s="23">
        <v>5</v>
      </c>
      <c r="BA59" s="23">
        <v>5</v>
      </c>
      <c r="BB59" s="23">
        <v>5</v>
      </c>
      <c r="BC59" s="23">
        <v>5</v>
      </c>
      <c r="BD59" s="23">
        <v>5</v>
      </c>
      <c r="BE59" s="23">
        <v>5</v>
      </c>
      <c r="BF59" s="23">
        <v>5</v>
      </c>
      <c r="BG59" s="23">
        <v>5</v>
      </c>
      <c r="BH59" s="23">
        <v>-100</v>
      </c>
      <c r="BI59" s="23">
        <v>-100</v>
      </c>
      <c r="BJ59" s="23">
        <v>-100</v>
      </c>
      <c r="BK59" s="23">
        <v>-100</v>
      </c>
      <c r="BL59" s="23">
        <v>-100</v>
      </c>
      <c r="BM59" s="23">
        <v>-100</v>
      </c>
      <c r="BN59" s="23">
        <v>-100</v>
      </c>
      <c r="BO59" s="23">
        <v>-100</v>
      </c>
    </row>
    <row r="60" spans="1:67" x14ac:dyDescent="0.25">
      <c r="A60" s="22">
        <f>1</f>
        <v>1</v>
      </c>
      <c r="B60" t="s">
        <v>61</v>
      </c>
      <c r="C60">
        <v>100</v>
      </c>
      <c r="D60" s="21" t="s">
        <v>3</v>
      </c>
      <c r="E60" t="s">
        <v>232</v>
      </c>
      <c r="F60" t="s">
        <v>296</v>
      </c>
      <c r="G60" s="21">
        <f>COUNTIF(SCourse[Course],SCourse[[#This Row],[Course]])</f>
        <v>1</v>
      </c>
      <c r="I60" s="21">
        <f>COUNTIF(SCourse[Block],SCourse[[#This Row],[Block]])</f>
        <v>0</v>
      </c>
      <c r="J60" s="21">
        <v>1</v>
      </c>
      <c r="K60" s="21">
        <v>0</v>
      </c>
      <c r="L60" s="21">
        <v>0</v>
      </c>
      <c r="M60" s="21">
        <v>0</v>
      </c>
      <c r="N60" s="21">
        <v>0</v>
      </c>
      <c r="O60" s="21">
        <v>0</v>
      </c>
      <c r="P60" s="21">
        <v>0</v>
      </c>
      <c r="Q60" s="21">
        <v>0</v>
      </c>
      <c r="R60" s="21">
        <v>0</v>
      </c>
      <c r="S60" s="21">
        <v>0</v>
      </c>
      <c r="T60" s="21">
        <v>0</v>
      </c>
      <c r="U60" s="21">
        <v>0</v>
      </c>
      <c r="V60" s="21">
        <v>0</v>
      </c>
      <c r="W60" s="21">
        <v>-100</v>
      </c>
      <c r="X60" s="21">
        <v>0</v>
      </c>
      <c r="Y60" s="21">
        <v>0</v>
      </c>
      <c r="Z60" s="21">
        <v>0</v>
      </c>
      <c r="AA60" s="21">
        <v>0</v>
      </c>
      <c r="AB60" s="21">
        <v>0</v>
      </c>
      <c r="AC60" s="21">
        <v>0</v>
      </c>
      <c r="AD60" s="21">
        <v>0</v>
      </c>
      <c r="AE60" s="21">
        <v>0</v>
      </c>
      <c r="AF60" s="21">
        <v>0</v>
      </c>
      <c r="AG60" s="21">
        <v>0</v>
      </c>
      <c r="AH60" s="21">
        <v>0</v>
      </c>
      <c r="AI60" s="21">
        <v>0</v>
      </c>
      <c r="AJ60" s="21">
        <v>0</v>
      </c>
      <c r="AK60" s="21">
        <v>0</v>
      </c>
      <c r="AL60" s="21">
        <v>0</v>
      </c>
      <c r="AM60" s="21">
        <v>0</v>
      </c>
      <c r="AN60" s="23">
        <v>5</v>
      </c>
      <c r="AO60" s="23">
        <v>5</v>
      </c>
      <c r="AP60" s="23">
        <v>5</v>
      </c>
      <c r="AQ60" s="23">
        <v>5</v>
      </c>
      <c r="AR60" s="23">
        <v>5</v>
      </c>
      <c r="AS60" s="23">
        <v>5</v>
      </c>
      <c r="AT60" s="23">
        <v>5</v>
      </c>
      <c r="AU60" s="23">
        <v>5</v>
      </c>
      <c r="AV60" s="23">
        <v>5</v>
      </c>
      <c r="AW60" s="23">
        <v>5</v>
      </c>
      <c r="AX60" s="23">
        <v>5</v>
      </c>
      <c r="AY60" s="23">
        <v>-100</v>
      </c>
      <c r="AZ60" s="23">
        <v>5</v>
      </c>
      <c r="BA60" s="23">
        <v>5</v>
      </c>
      <c r="BB60" s="23">
        <v>5</v>
      </c>
      <c r="BC60" s="23">
        <v>5</v>
      </c>
      <c r="BD60" s="23">
        <v>5</v>
      </c>
      <c r="BE60" s="23">
        <v>5</v>
      </c>
      <c r="BF60" s="23">
        <v>5</v>
      </c>
      <c r="BG60" s="23">
        <v>5</v>
      </c>
      <c r="BH60" s="23">
        <v>-100</v>
      </c>
      <c r="BI60" s="23">
        <v>-100</v>
      </c>
      <c r="BJ60" s="23">
        <v>-100</v>
      </c>
      <c r="BK60" s="23">
        <v>-100</v>
      </c>
      <c r="BL60" s="23">
        <v>-100</v>
      </c>
      <c r="BM60" s="23">
        <v>-100</v>
      </c>
      <c r="BN60" s="23">
        <v>-100</v>
      </c>
      <c r="BO60" s="23">
        <v>-100</v>
      </c>
    </row>
    <row r="61" spans="1:67" x14ac:dyDescent="0.25">
      <c r="A61" s="22">
        <f>1</f>
        <v>1</v>
      </c>
      <c r="B61" t="s">
        <v>62</v>
      </c>
      <c r="C61">
        <v>100</v>
      </c>
      <c r="D61" s="21" t="s">
        <v>3</v>
      </c>
      <c r="E61" t="s">
        <v>233</v>
      </c>
      <c r="F61" t="s">
        <v>304</v>
      </c>
      <c r="G61" s="21">
        <f>COUNTIF(SCourse[Course],SCourse[[#This Row],[Course]])</f>
        <v>1</v>
      </c>
      <c r="I61" s="21">
        <f>COUNTIF(SCourse[Block],SCourse[[#This Row],[Block]])</f>
        <v>0</v>
      </c>
      <c r="J61" s="21">
        <v>1</v>
      </c>
      <c r="K61" s="21">
        <v>-1</v>
      </c>
      <c r="L61" s="21">
        <v>0</v>
      </c>
      <c r="M61" s="21">
        <v>0</v>
      </c>
      <c r="N61" s="21">
        <v>0</v>
      </c>
      <c r="O61" s="21">
        <v>0</v>
      </c>
      <c r="P61" s="21">
        <v>0</v>
      </c>
      <c r="Q61" s="21">
        <v>0</v>
      </c>
      <c r="R61" s="21">
        <v>0</v>
      </c>
      <c r="S61" s="21">
        <v>0</v>
      </c>
      <c r="T61" s="21">
        <v>0</v>
      </c>
      <c r="U61" s="21">
        <v>0</v>
      </c>
      <c r="V61" s="21">
        <v>0</v>
      </c>
      <c r="W61" s="21">
        <v>0</v>
      </c>
      <c r="X61" s="21">
        <v>0</v>
      </c>
      <c r="Y61" s="21">
        <v>0</v>
      </c>
      <c r="Z61" s="21">
        <v>0</v>
      </c>
      <c r="AA61" s="21">
        <v>0</v>
      </c>
      <c r="AB61" s="21">
        <v>0</v>
      </c>
      <c r="AC61" s="21">
        <v>0</v>
      </c>
      <c r="AD61" s="21">
        <v>0</v>
      </c>
      <c r="AE61" s="21">
        <v>0</v>
      </c>
      <c r="AF61" s="21">
        <v>0</v>
      </c>
      <c r="AG61" s="21">
        <v>0</v>
      </c>
      <c r="AH61" s="21">
        <v>-100</v>
      </c>
      <c r="AI61" s="21">
        <v>0</v>
      </c>
      <c r="AJ61" s="21">
        <v>0</v>
      </c>
      <c r="AK61" s="21">
        <v>0</v>
      </c>
      <c r="AL61" s="21">
        <v>0</v>
      </c>
      <c r="AM61" s="21">
        <v>0</v>
      </c>
      <c r="AN61" s="23">
        <v>5</v>
      </c>
      <c r="AO61" s="23">
        <v>5</v>
      </c>
      <c r="AP61" s="23">
        <v>5</v>
      </c>
      <c r="AQ61" s="23">
        <v>5</v>
      </c>
      <c r="AR61" s="23">
        <v>5</v>
      </c>
      <c r="AS61" s="23">
        <v>5</v>
      </c>
      <c r="AT61" s="23">
        <v>5</v>
      </c>
      <c r="AU61" s="23">
        <v>5</v>
      </c>
      <c r="AV61" s="23">
        <v>5</v>
      </c>
      <c r="AW61" s="23">
        <v>5</v>
      </c>
      <c r="AX61" s="23">
        <v>5</v>
      </c>
      <c r="AY61" s="23">
        <v>5</v>
      </c>
      <c r="AZ61" s="23">
        <v>5</v>
      </c>
      <c r="BA61" s="23">
        <v>5</v>
      </c>
      <c r="BB61" s="23">
        <v>5</v>
      </c>
      <c r="BC61" s="23">
        <v>5</v>
      </c>
      <c r="BD61" s="23">
        <v>5</v>
      </c>
      <c r="BE61" s="23">
        <v>5</v>
      </c>
      <c r="BF61" s="23">
        <v>5</v>
      </c>
      <c r="BG61" s="23">
        <v>5</v>
      </c>
      <c r="BH61" s="23">
        <v>-100</v>
      </c>
      <c r="BI61" s="23">
        <v>-100</v>
      </c>
      <c r="BJ61" s="23">
        <v>-100</v>
      </c>
      <c r="BK61" s="23">
        <v>-100</v>
      </c>
      <c r="BL61" s="23">
        <v>-100</v>
      </c>
      <c r="BM61" s="23">
        <v>-100</v>
      </c>
      <c r="BN61" s="23">
        <v>-100</v>
      </c>
      <c r="BO61" s="23">
        <v>-100</v>
      </c>
    </row>
    <row r="62" spans="1:67" x14ac:dyDescent="0.25">
      <c r="A62" s="22">
        <f>1</f>
        <v>1</v>
      </c>
      <c r="B62" t="s">
        <v>63</v>
      </c>
      <c r="C62">
        <v>100</v>
      </c>
      <c r="D62" s="21" t="s">
        <v>3</v>
      </c>
      <c r="E62" t="s">
        <v>234</v>
      </c>
      <c r="F62" t="s">
        <v>311</v>
      </c>
      <c r="G62" s="21">
        <f>COUNTIF(SCourse[Course],SCourse[[#This Row],[Course]])</f>
        <v>1</v>
      </c>
      <c r="I62" s="21">
        <f>COUNTIF(SCourse[Block],SCourse[[#This Row],[Block]])</f>
        <v>0</v>
      </c>
      <c r="J62" s="21">
        <v>1</v>
      </c>
      <c r="K62" s="21">
        <v>0</v>
      </c>
      <c r="L62" s="21">
        <v>0</v>
      </c>
      <c r="M62" s="21">
        <v>0</v>
      </c>
      <c r="N62" s="21">
        <v>-100</v>
      </c>
      <c r="O62" s="21">
        <v>0</v>
      </c>
      <c r="P62" s="21">
        <v>0</v>
      </c>
      <c r="Q62" s="21">
        <v>0</v>
      </c>
      <c r="R62" s="21">
        <v>0</v>
      </c>
      <c r="S62" s="21">
        <v>0</v>
      </c>
      <c r="T62" s="21">
        <v>0</v>
      </c>
      <c r="U62" s="21">
        <v>0</v>
      </c>
      <c r="V62" s="21">
        <v>0</v>
      </c>
      <c r="W62" s="21">
        <v>0</v>
      </c>
      <c r="X62" s="21">
        <v>0</v>
      </c>
      <c r="Y62" s="21">
        <v>0</v>
      </c>
      <c r="Z62" s="21">
        <v>0</v>
      </c>
      <c r="AA62" s="21">
        <v>0</v>
      </c>
      <c r="AB62" s="21">
        <v>0</v>
      </c>
      <c r="AC62" s="21">
        <v>0</v>
      </c>
      <c r="AD62" s="21">
        <v>0</v>
      </c>
      <c r="AE62" s="21">
        <v>0</v>
      </c>
      <c r="AF62" s="21">
        <v>0</v>
      </c>
      <c r="AG62" s="21">
        <v>0</v>
      </c>
      <c r="AH62" s="21">
        <v>0</v>
      </c>
      <c r="AI62" s="21">
        <v>0</v>
      </c>
      <c r="AJ62" s="21">
        <v>0</v>
      </c>
      <c r="AK62" s="21">
        <v>0</v>
      </c>
      <c r="AL62" s="21">
        <v>0</v>
      </c>
      <c r="AM62" s="21">
        <v>0</v>
      </c>
      <c r="AN62" s="23">
        <v>5</v>
      </c>
      <c r="AO62" s="23">
        <v>5</v>
      </c>
      <c r="AP62" s="23">
        <v>-100</v>
      </c>
      <c r="AQ62" s="23">
        <v>5</v>
      </c>
      <c r="AR62" s="23">
        <v>5</v>
      </c>
      <c r="AS62" s="23">
        <v>5</v>
      </c>
      <c r="AT62" s="23">
        <v>5</v>
      </c>
      <c r="AU62" s="23">
        <v>5</v>
      </c>
      <c r="AV62" s="23">
        <v>5</v>
      </c>
      <c r="AW62" s="23">
        <v>5</v>
      </c>
      <c r="AX62" s="23">
        <v>5</v>
      </c>
      <c r="AY62" s="23">
        <v>5</v>
      </c>
      <c r="AZ62" s="23">
        <v>5</v>
      </c>
      <c r="BA62" s="23">
        <v>5</v>
      </c>
      <c r="BB62" s="23">
        <v>5</v>
      </c>
      <c r="BC62" s="23">
        <v>5</v>
      </c>
      <c r="BD62" s="23">
        <v>5</v>
      </c>
      <c r="BE62" s="23">
        <v>5</v>
      </c>
      <c r="BF62" s="23">
        <v>5</v>
      </c>
      <c r="BG62" s="23">
        <v>5</v>
      </c>
      <c r="BH62" s="23">
        <v>-100</v>
      </c>
      <c r="BI62" s="23">
        <v>-100</v>
      </c>
      <c r="BJ62" s="23">
        <v>-100</v>
      </c>
      <c r="BK62" s="23">
        <v>-100</v>
      </c>
      <c r="BL62" s="23">
        <v>-100</v>
      </c>
      <c r="BM62" s="23">
        <v>-100</v>
      </c>
      <c r="BN62" s="23">
        <v>-100</v>
      </c>
      <c r="BO62" s="23">
        <v>-100</v>
      </c>
    </row>
    <row r="63" spans="1:67" x14ac:dyDescent="0.25">
      <c r="A63" s="22">
        <f>1</f>
        <v>1</v>
      </c>
      <c r="B63" t="s">
        <v>64</v>
      </c>
      <c r="C63">
        <v>100</v>
      </c>
      <c r="D63" s="21" t="s">
        <v>3</v>
      </c>
      <c r="E63" t="s">
        <v>235</v>
      </c>
      <c r="F63" t="s">
        <v>326</v>
      </c>
      <c r="G63" s="21">
        <f>COUNTIF(SCourse[Course],SCourse[[#This Row],[Course]])</f>
        <v>1</v>
      </c>
      <c r="I63" s="21">
        <f>COUNTIF(SCourse[Block],SCourse[[#This Row],[Block]])</f>
        <v>0</v>
      </c>
      <c r="J63" s="21">
        <v>1</v>
      </c>
      <c r="K63" s="21">
        <v>0</v>
      </c>
      <c r="L63" s="21">
        <v>0</v>
      </c>
      <c r="M63" s="21">
        <v>0</v>
      </c>
      <c r="N63" s="21">
        <v>-100</v>
      </c>
      <c r="O63" s="21">
        <v>0</v>
      </c>
      <c r="P63" s="21">
        <v>0</v>
      </c>
      <c r="Q63" s="21">
        <v>0</v>
      </c>
      <c r="R63" s="21">
        <v>0</v>
      </c>
      <c r="S63" s="21">
        <v>0</v>
      </c>
      <c r="T63" s="21">
        <v>0</v>
      </c>
      <c r="U63" s="21">
        <v>0</v>
      </c>
      <c r="V63" s="21">
        <v>0</v>
      </c>
      <c r="W63" s="21">
        <v>0</v>
      </c>
      <c r="X63" s="21">
        <v>0</v>
      </c>
      <c r="Y63" s="21">
        <v>0</v>
      </c>
      <c r="Z63" s="21">
        <v>0</v>
      </c>
      <c r="AA63" s="21">
        <v>0</v>
      </c>
      <c r="AB63" s="21">
        <v>0</v>
      </c>
      <c r="AC63" s="21">
        <v>0</v>
      </c>
      <c r="AD63" s="21">
        <v>0</v>
      </c>
      <c r="AE63" s="21">
        <v>0</v>
      </c>
      <c r="AF63" s="21">
        <v>0</v>
      </c>
      <c r="AG63" s="21">
        <v>0</v>
      </c>
      <c r="AH63" s="21">
        <v>0</v>
      </c>
      <c r="AI63" s="21">
        <v>0</v>
      </c>
      <c r="AJ63" s="21">
        <v>0</v>
      </c>
      <c r="AK63" s="21">
        <v>0</v>
      </c>
      <c r="AL63" s="21">
        <v>0</v>
      </c>
      <c r="AM63" s="21">
        <v>0</v>
      </c>
      <c r="AN63" s="23">
        <v>5</v>
      </c>
      <c r="AO63" s="23">
        <v>5</v>
      </c>
      <c r="AP63" s="23">
        <v>-100</v>
      </c>
      <c r="AQ63" s="23">
        <v>5</v>
      </c>
      <c r="AR63" s="23">
        <v>5</v>
      </c>
      <c r="AS63" s="23">
        <v>5</v>
      </c>
      <c r="AT63" s="23">
        <v>5</v>
      </c>
      <c r="AU63" s="23">
        <v>5</v>
      </c>
      <c r="AV63" s="23">
        <v>5</v>
      </c>
      <c r="AW63" s="23">
        <v>5</v>
      </c>
      <c r="AX63" s="23">
        <v>5</v>
      </c>
      <c r="AY63" s="23">
        <v>5</v>
      </c>
      <c r="AZ63" s="23">
        <v>5</v>
      </c>
      <c r="BA63" s="23">
        <v>5</v>
      </c>
      <c r="BB63" s="23">
        <v>5</v>
      </c>
      <c r="BC63" s="23">
        <v>5</v>
      </c>
      <c r="BD63" s="23">
        <v>5</v>
      </c>
      <c r="BE63" s="23">
        <v>5</v>
      </c>
      <c r="BF63" s="23">
        <v>5</v>
      </c>
      <c r="BG63" s="23">
        <v>5</v>
      </c>
      <c r="BH63" s="23">
        <v>-100</v>
      </c>
      <c r="BI63" s="23">
        <v>-100</v>
      </c>
      <c r="BJ63" s="23">
        <v>-100</v>
      </c>
      <c r="BK63" s="23">
        <v>-100</v>
      </c>
      <c r="BL63" s="23">
        <v>-100</v>
      </c>
      <c r="BM63" s="23">
        <v>-100</v>
      </c>
      <c r="BN63" s="23">
        <v>-100</v>
      </c>
      <c r="BO63" s="23">
        <v>-100</v>
      </c>
    </row>
    <row r="64" spans="1:67" x14ac:dyDescent="0.25">
      <c r="A64" s="22">
        <f>1</f>
        <v>1</v>
      </c>
      <c r="B64" t="s">
        <v>65</v>
      </c>
      <c r="C64">
        <v>100</v>
      </c>
      <c r="D64" s="21" t="s">
        <v>3</v>
      </c>
      <c r="E64" t="s">
        <v>236</v>
      </c>
      <c r="F64" t="s">
        <v>332</v>
      </c>
      <c r="G64" s="21">
        <f>COUNTIF(SCourse[Course],SCourse[[#This Row],[Course]])</f>
        <v>1</v>
      </c>
      <c r="I64" s="21">
        <f>COUNTIF(SCourse[Block],SCourse[[#This Row],[Block]])</f>
        <v>0</v>
      </c>
      <c r="J64" s="21">
        <v>1</v>
      </c>
      <c r="K64" s="21">
        <v>0</v>
      </c>
      <c r="L64" s="21">
        <v>0</v>
      </c>
      <c r="M64" s="21">
        <v>0</v>
      </c>
      <c r="N64" s="21">
        <v>0</v>
      </c>
      <c r="O64" s="21">
        <v>0</v>
      </c>
      <c r="P64" s="21">
        <v>0</v>
      </c>
      <c r="Q64" s="21">
        <v>0</v>
      </c>
      <c r="R64" s="21">
        <v>0</v>
      </c>
      <c r="S64" s="21">
        <v>0</v>
      </c>
      <c r="T64" s="21">
        <v>0</v>
      </c>
      <c r="U64" s="21">
        <v>0</v>
      </c>
      <c r="V64" s="21">
        <v>0</v>
      </c>
      <c r="W64" s="21">
        <v>0</v>
      </c>
      <c r="X64" s="21">
        <v>0</v>
      </c>
      <c r="Y64" s="21">
        <v>0</v>
      </c>
      <c r="Z64" s="21">
        <v>0</v>
      </c>
      <c r="AA64" s="21">
        <v>0</v>
      </c>
      <c r="AB64" s="21">
        <v>0</v>
      </c>
      <c r="AC64" s="21">
        <v>0</v>
      </c>
      <c r="AD64" s="21">
        <v>0</v>
      </c>
      <c r="AE64" s="21">
        <v>0</v>
      </c>
      <c r="AF64" s="21">
        <v>0</v>
      </c>
      <c r="AG64" s="21">
        <v>0</v>
      </c>
      <c r="AH64" s="21">
        <v>0</v>
      </c>
      <c r="AI64" s="21">
        <v>0</v>
      </c>
      <c r="AJ64" s="21">
        <v>0</v>
      </c>
      <c r="AK64" s="21">
        <v>-100</v>
      </c>
      <c r="AL64" s="21">
        <v>0</v>
      </c>
      <c r="AM64" s="21">
        <v>0</v>
      </c>
      <c r="AN64" s="23">
        <v>5</v>
      </c>
      <c r="AO64" s="23">
        <v>5</v>
      </c>
      <c r="AP64" s="23">
        <v>5</v>
      </c>
      <c r="AQ64" s="23">
        <v>5</v>
      </c>
      <c r="AR64" s="23">
        <v>5</v>
      </c>
      <c r="AS64" s="23">
        <v>5</v>
      </c>
      <c r="AT64" s="23">
        <v>5</v>
      </c>
      <c r="AU64" s="23">
        <v>5</v>
      </c>
      <c r="AV64" s="23">
        <v>5</v>
      </c>
      <c r="AW64" s="23">
        <v>5</v>
      </c>
      <c r="AX64" s="23">
        <v>5</v>
      </c>
      <c r="AY64" s="23">
        <v>5</v>
      </c>
      <c r="AZ64" s="23">
        <v>5</v>
      </c>
      <c r="BA64" s="23">
        <v>5</v>
      </c>
      <c r="BB64" s="23">
        <v>5</v>
      </c>
      <c r="BC64" s="23">
        <v>5</v>
      </c>
      <c r="BD64" s="23">
        <v>5</v>
      </c>
      <c r="BE64" s="23">
        <v>5</v>
      </c>
      <c r="BF64" s="23">
        <v>5</v>
      </c>
      <c r="BG64" s="23">
        <v>5</v>
      </c>
      <c r="BH64" s="23">
        <v>-100</v>
      </c>
      <c r="BI64" s="23">
        <v>-100</v>
      </c>
      <c r="BJ64" s="23">
        <v>-100</v>
      </c>
      <c r="BK64" s="23">
        <v>-100</v>
      </c>
      <c r="BL64" s="23">
        <v>-100</v>
      </c>
      <c r="BM64" s="23">
        <v>-100</v>
      </c>
      <c r="BN64" s="23">
        <v>-100</v>
      </c>
      <c r="BO64" s="23">
        <v>-100</v>
      </c>
    </row>
    <row r="65" spans="1:67" x14ac:dyDescent="0.25">
      <c r="A65" s="22">
        <f>1</f>
        <v>1</v>
      </c>
      <c r="B65" t="s">
        <v>66</v>
      </c>
      <c r="C65">
        <v>100</v>
      </c>
      <c r="D65" s="21" t="s">
        <v>3</v>
      </c>
      <c r="E65" t="s">
        <v>237</v>
      </c>
      <c r="F65" t="s">
        <v>311</v>
      </c>
      <c r="G65" s="21">
        <f>COUNTIF(SCourse[Course],SCourse[[#This Row],[Course]])</f>
        <v>1</v>
      </c>
      <c r="I65" s="21">
        <f>COUNTIF(SCourse[Block],SCourse[[#This Row],[Block]])</f>
        <v>0</v>
      </c>
      <c r="J65" s="21">
        <v>1</v>
      </c>
      <c r="K65" s="21">
        <v>0</v>
      </c>
      <c r="L65" s="21">
        <v>0</v>
      </c>
      <c r="M65" s="21">
        <v>0</v>
      </c>
      <c r="N65" s="21">
        <v>-100</v>
      </c>
      <c r="O65" s="21">
        <v>0</v>
      </c>
      <c r="P65" s="21">
        <v>0</v>
      </c>
      <c r="Q65" s="21">
        <v>0</v>
      </c>
      <c r="R65" s="21">
        <v>0</v>
      </c>
      <c r="S65" s="21">
        <v>0</v>
      </c>
      <c r="T65" s="21">
        <v>0</v>
      </c>
      <c r="U65" s="21">
        <v>0</v>
      </c>
      <c r="V65" s="21">
        <v>0</v>
      </c>
      <c r="W65" s="21">
        <v>0</v>
      </c>
      <c r="X65" s="21">
        <v>0</v>
      </c>
      <c r="Y65" s="21">
        <v>0</v>
      </c>
      <c r="Z65" s="21">
        <v>0</v>
      </c>
      <c r="AA65" s="21">
        <v>0</v>
      </c>
      <c r="AB65" s="21">
        <v>0</v>
      </c>
      <c r="AC65" s="21">
        <v>0</v>
      </c>
      <c r="AD65" s="21">
        <v>0</v>
      </c>
      <c r="AE65" s="21">
        <v>0</v>
      </c>
      <c r="AF65" s="21">
        <v>0</v>
      </c>
      <c r="AG65" s="21">
        <v>0</v>
      </c>
      <c r="AH65" s="21">
        <v>0</v>
      </c>
      <c r="AI65" s="21">
        <v>0</v>
      </c>
      <c r="AJ65" s="21">
        <v>0</v>
      </c>
      <c r="AK65" s="21">
        <v>0</v>
      </c>
      <c r="AL65" s="21">
        <v>0</v>
      </c>
      <c r="AM65" s="21">
        <v>0</v>
      </c>
      <c r="AN65" s="23">
        <v>5</v>
      </c>
      <c r="AO65" s="23">
        <v>5</v>
      </c>
      <c r="AP65" s="23">
        <v>-100</v>
      </c>
      <c r="AQ65" s="23">
        <v>5</v>
      </c>
      <c r="AR65" s="23">
        <v>5</v>
      </c>
      <c r="AS65" s="23">
        <v>5</v>
      </c>
      <c r="AT65" s="23">
        <v>5</v>
      </c>
      <c r="AU65" s="23">
        <v>5</v>
      </c>
      <c r="AV65" s="23">
        <v>5</v>
      </c>
      <c r="AW65" s="23">
        <v>5</v>
      </c>
      <c r="AX65" s="23">
        <v>5</v>
      </c>
      <c r="AY65" s="23">
        <v>5</v>
      </c>
      <c r="AZ65" s="23">
        <v>5</v>
      </c>
      <c r="BA65" s="23">
        <v>5</v>
      </c>
      <c r="BB65" s="23">
        <v>5</v>
      </c>
      <c r="BC65" s="23">
        <v>5</v>
      </c>
      <c r="BD65" s="23">
        <v>5</v>
      </c>
      <c r="BE65" s="23">
        <v>5</v>
      </c>
      <c r="BF65" s="23">
        <v>5</v>
      </c>
      <c r="BG65" s="23">
        <v>5</v>
      </c>
      <c r="BH65" s="23">
        <v>-100</v>
      </c>
      <c r="BI65" s="23">
        <v>-100</v>
      </c>
      <c r="BJ65" s="23">
        <v>-100</v>
      </c>
      <c r="BK65" s="23">
        <v>-100</v>
      </c>
      <c r="BL65" s="23">
        <v>-100</v>
      </c>
      <c r="BM65" s="23">
        <v>-100</v>
      </c>
      <c r="BN65" s="23">
        <v>-100</v>
      </c>
      <c r="BO65" s="23">
        <v>-100</v>
      </c>
    </row>
    <row r="66" spans="1:67" x14ac:dyDescent="0.25">
      <c r="A66" s="22">
        <f>1</f>
        <v>1</v>
      </c>
      <c r="B66" t="s">
        <v>67</v>
      </c>
      <c r="C66">
        <v>100</v>
      </c>
      <c r="D66" s="21" t="s">
        <v>3</v>
      </c>
      <c r="E66" t="s">
        <v>238</v>
      </c>
      <c r="F66" t="s">
        <v>303</v>
      </c>
      <c r="G66" s="21">
        <f>COUNTIF(SCourse[Course],SCourse[[#This Row],[Course]])</f>
        <v>1</v>
      </c>
      <c r="I66" s="21">
        <f>COUNTIF(SCourse[Block],SCourse[[#This Row],[Block]])</f>
        <v>0</v>
      </c>
      <c r="J66" s="21">
        <v>1</v>
      </c>
      <c r="K66" s="21">
        <v>0</v>
      </c>
      <c r="L66" s="21">
        <v>0</v>
      </c>
      <c r="M66" s="21">
        <v>0</v>
      </c>
      <c r="N66" s="21">
        <v>0</v>
      </c>
      <c r="O66" s="21">
        <v>0</v>
      </c>
      <c r="P66" s="21">
        <v>0</v>
      </c>
      <c r="Q66" s="21">
        <v>0</v>
      </c>
      <c r="R66" s="21">
        <v>0</v>
      </c>
      <c r="S66" s="21">
        <v>0</v>
      </c>
      <c r="T66" s="21">
        <v>0</v>
      </c>
      <c r="U66" s="21">
        <v>0</v>
      </c>
      <c r="V66" s="21">
        <v>0</v>
      </c>
      <c r="W66" s="21">
        <v>0</v>
      </c>
      <c r="X66" s="21">
        <v>0</v>
      </c>
      <c r="Y66" s="21">
        <v>0</v>
      </c>
      <c r="Z66" s="21">
        <v>0</v>
      </c>
      <c r="AA66" s="21">
        <v>0</v>
      </c>
      <c r="AB66" s="21">
        <v>0</v>
      </c>
      <c r="AC66" s="21">
        <v>0</v>
      </c>
      <c r="AD66" s="21">
        <v>0</v>
      </c>
      <c r="AE66" s="21">
        <v>-100</v>
      </c>
      <c r="AF66" s="21">
        <v>0</v>
      </c>
      <c r="AG66" s="21">
        <v>0</v>
      </c>
      <c r="AH66" s="21">
        <v>0</v>
      </c>
      <c r="AI66" s="21">
        <v>0</v>
      </c>
      <c r="AJ66" s="21">
        <v>0</v>
      </c>
      <c r="AK66" s="21">
        <v>0</v>
      </c>
      <c r="AL66" s="21">
        <v>0</v>
      </c>
      <c r="AM66" s="21">
        <v>0</v>
      </c>
      <c r="AN66" s="23">
        <v>5</v>
      </c>
      <c r="AO66" s="23">
        <v>5</v>
      </c>
      <c r="AP66" s="23">
        <v>5</v>
      </c>
      <c r="AQ66" s="23">
        <v>5</v>
      </c>
      <c r="AR66" s="23">
        <v>5</v>
      </c>
      <c r="AS66" s="23">
        <v>5</v>
      </c>
      <c r="AT66" s="23">
        <v>5</v>
      </c>
      <c r="AU66" s="23">
        <v>5</v>
      </c>
      <c r="AV66" s="23">
        <v>5</v>
      </c>
      <c r="AW66" s="23">
        <v>5</v>
      </c>
      <c r="AX66" s="23">
        <v>5</v>
      </c>
      <c r="AY66" s="23">
        <v>5</v>
      </c>
      <c r="AZ66" s="23">
        <v>5</v>
      </c>
      <c r="BA66" s="23">
        <v>5</v>
      </c>
      <c r="BB66" s="23">
        <v>5</v>
      </c>
      <c r="BC66" s="23">
        <v>5</v>
      </c>
      <c r="BD66" s="23">
        <v>5</v>
      </c>
      <c r="BE66" s="23">
        <v>5</v>
      </c>
      <c r="BF66" s="23">
        <v>5</v>
      </c>
      <c r="BG66" s="23">
        <v>-100</v>
      </c>
      <c r="BH66" s="23">
        <v>-100</v>
      </c>
      <c r="BI66" s="23">
        <v>-100</v>
      </c>
      <c r="BJ66" s="23">
        <v>-100</v>
      </c>
      <c r="BK66" s="23">
        <v>-100</v>
      </c>
      <c r="BL66" s="23">
        <v>-100</v>
      </c>
      <c r="BM66" s="23">
        <v>-100</v>
      </c>
      <c r="BN66" s="23">
        <v>-100</v>
      </c>
      <c r="BO66" s="23">
        <v>-100</v>
      </c>
    </row>
    <row r="67" spans="1:67" x14ac:dyDescent="0.25">
      <c r="A67" s="22">
        <f>1</f>
        <v>1</v>
      </c>
      <c r="B67" t="s">
        <v>68</v>
      </c>
      <c r="C67">
        <v>100</v>
      </c>
      <c r="D67" s="21" t="s">
        <v>3</v>
      </c>
      <c r="E67" t="s">
        <v>239</v>
      </c>
      <c r="F67" t="s">
        <v>333</v>
      </c>
      <c r="G67" s="21">
        <f>COUNTIF(SCourse[Course],SCourse[[#This Row],[Course]])</f>
        <v>1</v>
      </c>
      <c r="I67" s="21">
        <f>COUNTIF(SCourse[Block],SCourse[[#This Row],[Block]])</f>
        <v>0</v>
      </c>
      <c r="J67" s="21">
        <v>4</v>
      </c>
      <c r="K67" s="21">
        <v>0</v>
      </c>
      <c r="L67" s="21">
        <v>0</v>
      </c>
      <c r="M67" s="21">
        <v>0</v>
      </c>
      <c r="N67" s="21">
        <v>0</v>
      </c>
      <c r="O67" s="21">
        <v>0</v>
      </c>
      <c r="P67" s="21">
        <v>0</v>
      </c>
      <c r="Q67" s="21">
        <v>30</v>
      </c>
      <c r="R67" s="21">
        <v>0</v>
      </c>
      <c r="S67" s="21">
        <v>0</v>
      </c>
      <c r="T67" s="21">
        <v>0</v>
      </c>
      <c r="U67" s="21">
        <v>30</v>
      </c>
      <c r="V67" s="21">
        <v>0</v>
      </c>
      <c r="W67" s="21">
        <v>0</v>
      </c>
      <c r="X67" s="21">
        <v>0</v>
      </c>
      <c r="Y67" s="21">
        <v>40</v>
      </c>
      <c r="Z67" s="21">
        <v>0</v>
      </c>
      <c r="AA67" s="21">
        <v>0</v>
      </c>
      <c r="AB67" s="21">
        <v>0</v>
      </c>
      <c r="AC67" s="21">
        <v>0</v>
      </c>
      <c r="AD67" s="21">
        <v>-100</v>
      </c>
      <c r="AE67" s="21">
        <v>0</v>
      </c>
      <c r="AF67" s="21">
        <v>0</v>
      </c>
      <c r="AG67" s="21">
        <v>0</v>
      </c>
      <c r="AH67" s="21">
        <v>0</v>
      </c>
      <c r="AI67" s="21">
        <v>0</v>
      </c>
      <c r="AJ67" s="21">
        <v>0</v>
      </c>
      <c r="AK67" s="21">
        <v>0</v>
      </c>
      <c r="AL67" s="21">
        <v>0</v>
      </c>
      <c r="AM67" s="21">
        <v>0</v>
      </c>
      <c r="AN67" s="23">
        <v>0</v>
      </c>
      <c r="AO67" s="23">
        <v>0</v>
      </c>
      <c r="AP67" s="23">
        <v>0</v>
      </c>
      <c r="AQ67" s="23">
        <v>0</v>
      </c>
      <c r="AR67" s="23">
        <v>0</v>
      </c>
      <c r="AS67" s="23">
        <v>30</v>
      </c>
      <c r="AT67" s="23">
        <v>0</v>
      </c>
      <c r="AU67" s="23">
        <v>0</v>
      </c>
      <c r="AV67" s="23">
        <v>0</v>
      </c>
      <c r="AW67" s="23">
        <v>30</v>
      </c>
      <c r="AX67" s="23">
        <v>0</v>
      </c>
      <c r="AY67" s="23">
        <v>0</v>
      </c>
      <c r="AZ67" s="23">
        <v>0</v>
      </c>
      <c r="BA67" s="23">
        <v>40</v>
      </c>
      <c r="BB67" s="23">
        <v>0</v>
      </c>
      <c r="BC67" s="23">
        <v>0</v>
      </c>
      <c r="BD67" s="23">
        <v>0</v>
      </c>
      <c r="BE67" s="23">
        <v>0</v>
      </c>
      <c r="BF67" s="23">
        <v>-100</v>
      </c>
      <c r="BG67" s="23">
        <v>0</v>
      </c>
      <c r="BH67" s="23">
        <v>-100</v>
      </c>
      <c r="BI67" s="23">
        <v>-100</v>
      </c>
      <c r="BJ67" s="23">
        <v>-100</v>
      </c>
      <c r="BK67" s="23">
        <v>-100</v>
      </c>
      <c r="BL67" s="23">
        <v>-100</v>
      </c>
      <c r="BM67" s="23">
        <v>-100</v>
      </c>
      <c r="BN67" s="23">
        <v>-100</v>
      </c>
      <c r="BO67" s="23">
        <v>-100</v>
      </c>
    </row>
    <row r="68" spans="1:67" x14ac:dyDescent="0.25">
      <c r="A68" s="22">
        <f>1</f>
        <v>1</v>
      </c>
      <c r="B68" t="s">
        <v>69</v>
      </c>
      <c r="C68">
        <v>100</v>
      </c>
      <c r="D68" s="21" t="s">
        <v>3</v>
      </c>
      <c r="E68" t="s">
        <v>240</v>
      </c>
      <c r="F68" t="s">
        <v>301</v>
      </c>
      <c r="G68" s="21">
        <f>COUNTIF(SCourse[Course],SCourse[[#This Row],[Course]])</f>
        <v>1</v>
      </c>
      <c r="I68" s="21">
        <f>COUNTIF(SCourse[Block],SCourse[[#This Row],[Block]])</f>
        <v>0</v>
      </c>
      <c r="J68" s="21">
        <v>1</v>
      </c>
      <c r="K68" s="21">
        <v>0</v>
      </c>
      <c r="L68" s="21">
        <v>0</v>
      </c>
      <c r="M68" s="21">
        <v>0</v>
      </c>
      <c r="N68" s="21">
        <v>0</v>
      </c>
      <c r="O68" s="21">
        <v>0</v>
      </c>
      <c r="P68" s="21">
        <v>0</v>
      </c>
      <c r="Q68" s="21">
        <v>0</v>
      </c>
      <c r="R68" s="21">
        <v>0</v>
      </c>
      <c r="S68" s="21">
        <v>0</v>
      </c>
      <c r="T68" s="21">
        <v>0</v>
      </c>
      <c r="U68" s="21">
        <v>0</v>
      </c>
      <c r="V68" s="21">
        <v>0</v>
      </c>
      <c r="W68" s="21">
        <v>0</v>
      </c>
      <c r="X68" s="21">
        <v>0</v>
      </c>
      <c r="Y68" s="21">
        <v>-100</v>
      </c>
      <c r="Z68" s="21">
        <v>0</v>
      </c>
      <c r="AA68" s="21">
        <v>0</v>
      </c>
      <c r="AB68" s="21">
        <v>0</v>
      </c>
      <c r="AC68" s="21">
        <v>0</v>
      </c>
      <c r="AD68" s="21">
        <v>0</v>
      </c>
      <c r="AE68" s="21">
        <v>0</v>
      </c>
      <c r="AF68" s="21">
        <v>0</v>
      </c>
      <c r="AG68" s="21">
        <v>0</v>
      </c>
      <c r="AH68" s="21">
        <v>0</v>
      </c>
      <c r="AI68" s="21">
        <v>0</v>
      </c>
      <c r="AJ68" s="21">
        <v>0</v>
      </c>
      <c r="AK68" s="21">
        <v>0</v>
      </c>
      <c r="AL68" s="21">
        <v>0</v>
      </c>
      <c r="AM68" s="21">
        <v>0</v>
      </c>
      <c r="AN68" s="23">
        <v>5</v>
      </c>
      <c r="AO68" s="23">
        <v>5</v>
      </c>
      <c r="AP68" s="23">
        <v>5</v>
      </c>
      <c r="AQ68" s="23">
        <v>5</v>
      </c>
      <c r="AR68" s="23">
        <v>5</v>
      </c>
      <c r="AS68" s="23">
        <v>5</v>
      </c>
      <c r="AT68" s="23">
        <v>5</v>
      </c>
      <c r="AU68" s="23">
        <v>5</v>
      </c>
      <c r="AV68" s="23">
        <v>5</v>
      </c>
      <c r="AW68" s="23">
        <v>5</v>
      </c>
      <c r="AX68" s="23">
        <v>5</v>
      </c>
      <c r="AY68" s="23">
        <v>5</v>
      </c>
      <c r="AZ68" s="23">
        <v>5</v>
      </c>
      <c r="BA68" s="23">
        <v>-100</v>
      </c>
      <c r="BB68" s="23">
        <v>5</v>
      </c>
      <c r="BC68" s="23">
        <v>5</v>
      </c>
      <c r="BD68" s="23">
        <v>5</v>
      </c>
      <c r="BE68" s="23">
        <v>5</v>
      </c>
      <c r="BF68" s="23">
        <v>5</v>
      </c>
      <c r="BG68" s="23">
        <v>5</v>
      </c>
      <c r="BH68" s="23">
        <v>-100</v>
      </c>
      <c r="BI68" s="23">
        <v>-100</v>
      </c>
      <c r="BJ68" s="23">
        <v>-100</v>
      </c>
      <c r="BK68" s="23">
        <v>-100</v>
      </c>
      <c r="BL68" s="23">
        <v>-100</v>
      </c>
      <c r="BM68" s="23">
        <v>-100</v>
      </c>
      <c r="BN68" s="23">
        <v>-100</v>
      </c>
      <c r="BO68" s="23">
        <v>-100</v>
      </c>
    </row>
    <row r="69" spans="1:67" x14ac:dyDescent="0.25">
      <c r="A69" s="22">
        <f>1</f>
        <v>1</v>
      </c>
      <c r="B69" t="s">
        <v>70</v>
      </c>
      <c r="C69">
        <v>100</v>
      </c>
      <c r="D69" s="21" t="s">
        <v>3</v>
      </c>
      <c r="E69" t="s">
        <v>241</v>
      </c>
      <c r="F69" t="s">
        <v>309</v>
      </c>
      <c r="G69" s="21">
        <f>COUNTIF(SCourse[Course],SCourse[[#This Row],[Course]])</f>
        <v>1</v>
      </c>
      <c r="I69" s="21">
        <f>COUNTIF(SCourse[Block],SCourse[[#This Row],[Block]])</f>
        <v>0</v>
      </c>
      <c r="J69" s="21">
        <v>1</v>
      </c>
      <c r="K69" s="21">
        <v>0</v>
      </c>
      <c r="L69" s="21">
        <v>0</v>
      </c>
      <c r="M69" s="21">
        <v>0</v>
      </c>
      <c r="N69" s="21">
        <v>0</v>
      </c>
      <c r="O69" s="21">
        <v>0</v>
      </c>
      <c r="P69" s="21">
        <v>0</v>
      </c>
      <c r="Q69" s="21">
        <v>0</v>
      </c>
      <c r="R69" s="21">
        <v>0</v>
      </c>
      <c r="S69" s="21">
        <v>0</v>
      </c>
      <c r="T69" s="21">
        <v>0</v>
      </c>
      <c r="U69" s="21">
        <v>0</v>
      </c>
      <c r="V69" s="21">
        <v>0</v>
      </c>
      <c r="W69" s="21">
        <v>0</v>
      </c>
      <c r="X69" s="21">
        <v>0</v>
      </c>
      <c r="Y69" s="21">
        <v>0</v>
      </c>
      <c r="Z69" s="21">
        <v>0</v>
      </c>
      <c r="AA69" s="21">
        <v>0</v>
      </c>
      <c r="AB69" s="21">
        <v>0</v>
      </c>
      <c r="AC69" s="21">
        <v>0</v>
      </c>
      <c r="AD69" s="21">
        <v>0</v>
      </c>
      <c r="AE69" s="21">
        <v>-100</v>
      </c>
      <c r="AF69" s="21">
        <v>0</v>
      </c>
      <c r="AG69" s="21">
        <v>0</v>
      </c>
      <c r="AH69" s="21">
        <v>0</v>
      </c>
      <c r="AI69" s="21">
        <v>0</v>
      </c>
      <c r="AJ69" s="21">
        <v>0</v>
      </c>
      <c r="AK69" s="21">
        <v>0</v>
      </c>
      <c r="AL69" s="21">
        <v>0</v>
      </c>
      <c r="AM69" s="21">
        <v>0</v>
      </c>
      <c r="AN69" s="23">
        <v>5</v>
      </c>
      <c r="AO69" s="23">
        <v>5</v>
      </c>
      <c r="AP69" s="23">
        <v>5</v>
      </c>
      <c r="AQ69" s="23">
        <v>5</v>
      </c>
      <c r="AR69" s="23">
        <v>5</v>
      </c>
      <c r="AS69" s="23">
        <v>5</v>
      </c>
      <c r="AT69" s="23">
        <v>5</v>
      </c>
      <c r="AU69" s="23">
        <v>5</v>
      </c>
      <c r="AV69" s="23">
        <v>5</v>
      </c>
      <c r="AW69" s="23">
        <v>5</v>
      </c>
      <c r="AX69" s="23">
        <v>5</v>
      </c>
      <c r="AY69" s="23">
        <v>5</v>
      </c>
      <c r="AZ69" s="23">
        <v>5</v>
      </c>
      <c r="BA69" s="23">
        <v>5</v>
      </c>
      <c r="BB69" s="23">
        <v>5</v>
      </c>
      <c r="BC69" s="23">
        <v>5</v>
      </c>
      <c r="BD69" s="23">
        <v>5</v>
      </c>
      <c r="BE69" s="23">
        <v>5</v>
      </c>
      <c r="BF69" s="23">
        <v>5</v>
      </c>
      <c r="BG69" s="23">
        <v>-100</v>
      </c>
      <c r="BH69" s="23">
        <v>-100</v>
      </c>
      <c r="BI69" s="23">
        <v>-100</v>
      </c>
      <c r="BJ69" s="23">
        <v>-100</v>
      </c>
      <c r="BK69" s="23">
        <v>-100</v>
      </c>
      <c r="BL69" s="23">
        <v>-100</v>
      </c>
      <c r="BM69" s="23">
        <v>-100</v>
      </c>
      <c r="BN69" s="23">
        <v>-100</v>
      </c>
      <c r="BO69" s="23">
        <v>-100</v>
      </c>
    </row>
    <row r="70" spans="1:67" x14ac:dyDescent="0.25">
      <c r="A70" s="22">
        <f>1</f>
        <v>1</v>
      </c>
      <c r="B70" t="s">
        <v>71</v>
      </c>
      <c r="C70">
        <v>100</v>
      </c>
      <c r="D70" s="21" t="s">
        <v>3</v>
      </c>
      <c r="E70" t="s">
        <v>242</v>
      </c>
      <c r="F70" t="s">
        <v>297</v>
      </c>
      <c r="G70" s="21">
        <f>COUNTIF(SCourse[Course],SCourse[[#This Row],[Course]])</f>
        <v>1</v>
      </c>
      <c r="I70" s="21">
        <f>COUNTIF(SCourse[Block],SCourse[[#This Row],[Block]])</f>
        <v>0</v>
      </c>
      <c r="J70" s="21">
        <v>1</v>
      </c>
      <c r="K70" s="21">
        <v>0</v>
      </c>
      <c r="L70" s="21">
        <v>0</v>
      </c>
      <c r="M70" s="21">
        <v>0</v>
      </c>
      <c r="N70" s="21">
        <v>0</v>
      </c>
      <c r="O70" s="21">
        <v>0</v>
      </c>
      <c r="P70" s="21">
        <v>0</v>
      </c>
      <c r="Q70" s="21">
        <v>0</v>
      </c>
      <c r="R70" s="21">
        <v>0</v>
      </c>
      <c r="S70" s="21">
        <v>0</v>
      </c>
      <c r="T70" s="21">
        <v>0</v>
      </c>
      <c r="U70" s="21">
        <v>0</v>
      </c>
      <c r="V70" s="21">
        <v>0</v>
      </c>
      <c r="W70" s="21">
        <v>0</v>
      </c>
      <c r="X70" s="21">
        <v>0</v>
      </c>
      <c r="Y70" s="21">
        <v>0</v>
      </c>
      <c r="Z70" s="21">
        <v>0</v>
      </c>
      <c r="AA70" s="21">
        <v>0</v>
      </c>
      <c r="AB70" s="21">
        <v>0</v>
      </c>
      <c r="AC70" s="21">
        <v>0</v>
      </c>
      <c r="AD70" s="21">
        <v>0</v>
      </c>
      <c r="AE70" s="21">
        <v>0</v>
      </c>
      <c r="AF70" s="21">
        <v>0</v>
      </c>
      <c r="AG70" s="21">
        <v>0</v>
      </c>
      <c r="AH70" s="21">
        <v>0</v>
      </c>
      <c r="AI70" s="21">
        <v>-100</v>
      </c>
      <c r="AJ70" s="21">
        <v>0</v>
      </c>
      <c r="AK70" s="21">
        <v>0</v>
      </c>
      <c r="AL70" s="21">
        <v>0</v>
      </c>
      <c r="AM70" s="21">
        <v>0</v>
      </c>
      <c r="AN70" s="23">
        <v>5</v>
      </c>
      <c r="AO70" s="23">
        <v>5</v>
      </c>
      <c r="AP70" s="23">
        <v>5</v>
      </c>
      <c r="AQ70" s="23">
        <v>5</v>
      </c>
      <c r="AR70" s="23">
        <v>5</v>
      </c>
      <c r="AS70" s="23">
        <v>5</v>
      </c>
      <c r="AT70" s="23">
        <v>5</v>
      </c>
      <c r="AU70" s="23">
        <v>5</v>
      </c>
      <c r="AV70" s="23">
        <v>5</v>
      </c>
      <c r="AW70" s="23">
        <v>5</v>
      </c>
      <c r="AX70" s="23">
        <v>5</v>
      </c>
      <c r="AY70" s="23">
        <v>5</v>
      </c>
      <c r="AZ70" s="23">
        <v>5</v>
      </c>
      <c r="BA70" s="23">
        <v>5</v>
      </c>
      <c r="BB70" s="23">
        <v>5</v>
      </c>
      <c r="BC70" s="23">
        <v>5</v>
      </c>
      <c r="BD70" s="23">
        <v>5</v>
      </c>
      <c r="BE70" s="23">
        <v>5</v>
      </c>
      <c r="BF70" s="23">
        <v>5</v>
      </c>
      <c r="BG70" s="23">
        <v>5</v>
      </c>
      <c r="BH70" s="23">
        <v>-100</v>
      </c>
      <c r="BI70" s="23">
        <v>-100</v>
      </c>
      <c r="BJ70" s="23">
        <v>-100</v>
      </c>
      <c r="BK70" s="23">
        <v>-100</v>
      </c>
      <c r="BL70" s="23">
        <v>-100</v>
      </c>
      <c r="BM70" s="23">
        <v>-100</v>
      </c>
      <c r="BN70" s="23">
        <v>-100</v>
      </c>
      <c r="BO70" s="23">
        <v>-100</v>
      </c>
    </row>
    <row r="71" spans="1:67" x14ac:dyDescent="0.25">
      <c r="A71" s="22">
        <f>1</f>
        <v>1</v>
      </c>
      <c r="B71" t="s">
        <v>72</v>
      </c>
      <c r="C71">
        <v>100</v>
      </c>
      <c r="D71" s="21" t="s">
        <v>3</v>
      </c>
      <c r="E71" t="s">
        <v>243</v>
      </c>
      <c r="F71" t="s">
        <v>336</v>
      </c>
      <c r="G71" s="21">
        <f>COUNTIF(SCourse[Course],SCourse[[#This Row],[Course]])</f>
        <v>1</v>
      </c>
      <c r="I71" s="21">
        <f>COUNTIF(SCourse[Block],SCourse[[#This Row],[Block]])</f>
        <v>0</v>
      </c>
      <c r="J71" s="21">
        <v>1</v>
      </c>
      <c r="K71" s="21">
        <v>0</v>
      </c>
      <c r="L71" s="21">
        <v>0</v>
      </c>
      <c r="M71" s="21">
        <v>0</v>
      </c>
      <c r="N71" s="21">
        <v>0</v>
      </c>
      <c r="O71" s="21">
        <v>0</v>
      </c>
      <c r="P71" s="21">
        <v>0</v>
      </c>
      <c r="Q71" s="21">
        <v>0</v>
      </c>
      <c r="R71" s="21">
        <v>0</v>
      </c>
      <c r="S71" s="21">
        <v>0</v>
      </c>
      <c r="T71" s="21">
        <v>0</v>
      </c>
      <c r="U71" s="21">
        <v>0</v>
      </c>
      <c r="V71" s="21">
        <v>0</v>
      </c>
      <c r="W71" s="21">
        <v>0</v>
      </c>
      <c r="X71" s="21">
        <v>0</v>
      </c>
      <c r="Y71" s="21">
        <v>-100</v>
      </c>
      <c r="Z71" s="21">
        <v>0</v>
      </c>
      <c r="AA71" s="21">
        <v>0</v>
      </c>
      <c r="AB71" s="21">
        <v>0</v>
      </c>
      <c r="AC71" s="21">
        <v>0</v>
      </c>
      <c r="AD71" s="21">
        <v>0</v>
      </c>
      <c r="AE71" s="21">
        <v>0</v>
      </c>
      <c r="AF71" s="21">
        <v>0</v>
      </c>
      <c r="AG71" s="21">
        <v>0</v>
      </c>
      <c r="AH71" s="21">
        <v>0</v>
      </c>
      <c r="AI71" s="21">
        <v>0</v>
      </c>
      <c r="AJ71" s="21">
        <v>0</v>
      </c>
      <c r="AK71" s="21">
        <v>0</v>
      </c>
      <c r="AL71" s="21">
        <v>0</v>
      </c>
      <c r="AM71" s="21">
        <v>0</v>
      </c>
      <c r="AN71" s="23">
        <v>5</v>
      </c>
      <c r="AO71" s="23">
        <v>5</v>
      </c>
      <c r="AP71" s="23">
        <v>5</v>
      </c>
      <c r="AQ71" s="23">
        <v>5</v>
      </c>
      <c r="AR71" s="23">
        <v>5</v>
      </c>
      <c r="AS71" s="23">
        <v>5</v>
      </c>
      <c r="AT71" s="23">
        <v>5</v>
      </c>
      <c r="AU71" s="23">
        <v>5</v>
      </c>
      <c r="AV71" s="23">
        <v>5</v>
      </c>
      <c r="AW71" s="23">
        <v>5</v>
      </c>
      <c r="AX71" s="23">
        <v>5</v>
      </c>
      <c r="AY71" s="23">
        <v>5</v>
      </c>
      <c r="AZ71" s="23">
        <v>5</v>
      </c>
      <c r="BA71" s="23">
        <v>-100</v>
      </c>
      <c r="BB71" s="23">
        <v>5</v>
      </c>
      <c r="BC71" s="23">
        <v>5</v>
      </c>
      <c r="BD71" s="23">
        <v>5</v>
      </c>
      <c r="BE71" s="23">
        <v>5</v>
      </c>
      <c r="BF71" s="23">
        <v>5</v>
      </c>
      <c r="BG71" s="23">
        <v>5</v>
      </c>
      <c r="BH71" s="23">
        <v>-100</v>
      </c>
      <c r="BI71" s="23">
        <v>-100</v>
      </c>
      <c r="BJ71" s="23">
        <v>-100</v>
      </c>
      <c r="BK71" s="23">
        <v>-100</v>
      </c>
      <c r="BL71" s="23">
        <v>-100</v>
      </c>
      <c r="BM71" s="23">
        <v>-100</v>
      </c>
      <c r="BN71" s="23">
        <v>-100</v>
      </c>
      <c r="BO71" s="23">
        <v>-100</v>
      </c>
    </row>
    <row r="72" spans="1:67" x14ac:dyDescent="0.25">
      <c r="A72" s="22">
        <f>1</f>
        <v>1</v>
      </c>
      <c r="B72" t="s">
        <v>73</v>
      </c>
      <c r="C72">
        <v>100</v>
      </c>
      <c r="D72" s="21" t="s">
        <v>3</v>
      </c>
      <c r="E72" t="s">
        <v>244</v>
      </c>
      <c r="F72" t="s">
        <v>334</v>
      </c>
      <c r="G72" s="21">
        <f>COUNTIF(SCourse[Course],SCourse[[#This Row],[Course]])</f>
        <v>1</v>
      </c>
      <c r="I72" s="21">
        <f>COUNTIF(SCourse[Block],SCourse[[#This Row],[Block]])</f>
        <v>0</v>
      </c>
      <c r="J72" s="21">
        <v>1</v>
      </c>
      <c r="K72" s="21">
        <v>0</v>
      </c>
      <c r="L72" s="21">
        <v>0</v>
      </c>
      <c r="M72" s="21">
        <v>0</v>
      </c>
      <c r="N72" s="21">
        <v>0</v>
      </c>
      <c r="O72" s="21">
        <v>0</v>
      </c>
      <c r="P72" s="21">
        <v>0</v>
      </c>
      <c r="Q72" s="21">
        <v>0</v>
      </c>
      <c r="R72" s="21">
        <v>0</v>
      </c>
      <c r="S72" s="21">
        <v>0</v>
      </c>
      <c r="T72" s="21">
        <v>0</v>
      </c>
      <c r="U72" s="21">
        <v>0</v>
      </c>
      <c r="V72" s="21">
        <v>0</v>
      </c>
      <c r="W72" s="21">
        <v>0</v>
      </c>
      <c r="X72" s="21">
        <v>0</v>
      </c>
      <c r="Y72" s="21">
        <v>0</v>
      </c>
      <c r="Z72" s="21">
        <v>0</v>
      </c>
      <c r="AA72" s="21">
        <v>0</v>
      </c>
      <c r="AB72" s="21">
        <v>0</v>
      </c>
      <c r="AC72" s="21">
        <v>0</v>
      </c>
      <c r="AD72" s="21">
        <v>0</v>
      </c>
      <c r="AE72" s="21">
        <v>0</v>
      </c>
      <c r="AF72" s="21">
        <v>0</v>
      </c>
      <c r="AG72" s="21">
        <v>0</v>
      </c>
      <c r="AH72" s="21">
        <v>0</v>
      </c>
      <c r="AI72" s="21">
        <v>0</v>
      </c>
      <c r="AJ72" s="21">
        <v>0</v>
      </c>
      <c r="AK72" s="21">
        <v>0</v>
      </c>
      <c r="AL72" s="21">
        <v>-100</v>
      </c>
      <c r="AM72" s="21">
        <v>0</v>
      </c>
      <c r="AN72" s="23">
        <v>5</v>
      </c>
      <c r="AO72" s="23">
        <v>5</v>
      </c>
      <c r="AP72" s="23">
        <v>5</v>
      </c>
      <c r="AQ72" s="23">
        <v>5</v>
      </c>
      <c r="AR72" s="23">
        <v>5</v>
      </c>
      <c r="AS72" s="23">
        <v>5</v>
      </c>
      <c r="AT72" s="23">
        <v>5</v>
      </c>
      <c r="AU72" s="23">
        <v>5</v>
      </c>
      <c r="AV72" s="23">
        <v>5</v>
      </c>
      <c r="AW72" s="23">
        <v>5</v>
      </c>
      <c r="AX72" s="23">
        <v>5</v>
      </c>
      <c r="AY72" s="23">
        <v>5</v>
      </c>
      <c r="AZ72" s="23">
        <v>5</v>
      </c>
      <c r="BA72" s="23">
        <v>5</v>
      </c>
      <c r="BB72" s="23">
        <v>5</v>
      </c>
      <c r="BC72" s="23">
        <v>5</v>
      </c>
      <c r="BD72" s="23">
        <v>5</v>
      </c>
      <c r="BE72" s="23">
        <v>5</v>
      </c>
      <c r="BF72" s="23">
        <v>5</v>
      </c>
      <c r="BG72" s="23">
        <v>5</v>
      </c>
      <c r="BH72" s="23">
        <v>-100</v>
      </c>
      <c r="BI72" s="23">
        <v>-100</v>
      </c>
      <c r="BJ72" s="23">
        <v>-100</v>
      </c>
      <c r="BK72" s="23">
        <v>-100</v>
      </c>
      <c r="BL72" s="23">
        <v>-100</v>
      </c>
      <c r="BM72" s="23">
        <v>-100</v>
      </c>
      <c r="BN72" s="23">
        <v>-100</v>
      </c>
      <c r="BO72" s="23">
        <v>-100</v>
      </c>
    </row>
    <row r="73" spans="1:67" x14ac:dyDescent="0.25">
      <c r="A73" s="22">
        <f>1</f>
        <v>1</v>
      </c>
      <c r="B73" t="s">
        <v>74</v>
      </c>
      <c r="C73">
        <v>100</v>
      </c>
      <c r="D73" s="21" t="s">
        <v>3</v>
      </c>
      <c r="E73" t="s">
        <v>245</v>
      </c>
      <c r="F73" t="s">
        <v>294</v>
      </c>
      <c r="G73" s="21">
        <f>COUNTIF(SCourse[Course],SCourse[[#This Row],[Course]])</f>
        <v>1</v>
      </c>
      <c r="I73" s="21">
        <f>COUNTIF(SCourse[Block],SCourse[[#This Row],[Block]])</f>
        <v>0</v>
      </c>
      <c r="J73" s="21">
        <v>1</v>
      </c>
      <c r="K73" s="21">
        <v>0</v>
      </c>
      <c r="L73" s="21">
        <v>0</v>
      </c>
      <c r="M73" s="21">
        <v>0</v>
      </c>
      <c r="N73" s="21">
        <v>0</v>
      </c>
      <c r="O73" s="21">
        <v>0</v>
      </c>
      <c r="P73" s="21">
        <v>-100</v>
      </c>
      <c r="Q73" s="21">
        <v>0</v>
      </c>
      <c r="R73" s="21">
        <v>0</v>
      </c>
      <c r="S73" s="21">
        <v>0</v>
      </c>
      <c r="T73" s="21">
        <v>0</v>
      </c>
      <c r="U73" s="21">
        <v>0</v>
      </c>
      <c r="V73" s="21">
        <v>0</v>
      </c>
      <c r="W73" s="21">
        <v>0</v>
      </c>
      <c r="X73" s="21">
        <v>0</v>
      </c>
      <c r="Y73" s="21">
        <v>0</v>
      </c>
      <c r="Z73" s="21">
        <v>0</v>
      </c>
      <c r="AA73" s="21">
        <v>0</v>
      </c>
      <c r="AB73" s="21">
        <v>0</v>
      </c>
      <c r="AC73" s="21">
        <v>0</v>
      </c>
      <c r="AD73" s="21">
        <v>0</v>
      </c>
      <c r="AE73" s="21">
        <v>0</v>
      </c>
      <c r="AF73" s="21">
        <v>0</v>
      </c>
      <c r="AG73" s="21">
        <v>0</v>
      </c>
      <c r="AH73" s="21">
        <v>0</v>
      </c>
      <c r="AI73" s="21">
        <v>0</v>
      </c>
      <c r="AJ73" s="21">
        <v>0</v>
      </c>
      <c r="AK73" s="21">
        <v>0</v>
      </c>
      <c r="AL73" s="21">
        <v>0</v>
      </c>
      <c r="AM73" s="21">
        <v>0</v>
      </c>
      <c r="AN73" s="23">
        <v>5</v>
      </c>
      <c r="AO73" s="23">
        <v>5</v>
      </c>
      <c r="AP73" s="23">
        <v>5</v>
      </c>
      <c r="AQ73" s="23">
        <v>5</v>
      </c>
      <c r="AR73" s="23">
        <v>-100</v>
      </c>
      <c r="AS73" s="23">
        <v>5</v>
      </c>
      <c r="AT73" s="23">
        <v>5</v>
      </c>
      <c r="AU73" s="23">
        <v>5</v>
      </c>
      <c r="AV73" s="23">
        <v>5</v>
      </c>
      <c r="AW73" s="23">
        <v>5</v>
      </c>
      <c r="AX73" s="23">
        <v>5</v>
      </c>
      <c r="AY73" s="23">
        <v>5</v>
      </c>
      <c r="AZ73" s="23">
        <v>5</v>
      </c>
      <c r="BA73" s="23">
        <v>5</v>
      </c>
      <c r="BB73" s="23">
        <v>5</v>
      </c>
      <c r="BC73" s="23">
        <v>5</v>
      </c>
      <c r="BD73" s="23">
        <v>5</v>
      </c>
      <c r="BE73" s="23">
        <v>5</v>
      </c>
      <c r="BF73" s="23">
        <v>5</v>
      </c>
      <c r="BG73" s="23">
        <v>5</v>
      </c>
      <c r="BH73" s="23">
        <v>-100</v>
      </c>
      <c r="BI73" s="23">
        <v>-100</v>
      </c>
      <c r="BJ73" s="23">
        <v>-100</v>
      </c>
      <c r="BK73" s="23">
        <v>-100</v>
      </c>
      <c r="BL73" s="23">
        <v>-100</v>
      </c>
      <c r="BM73" s="23">
        <v>-100</v>
      </c>
      <c r="BN73" s="23">
        <v>-100</v>
      </c>
      <c r="BO73" s="23">
        <v>-100</v>
      </c>
    </row>
    <row r="74" spans="1:67" x14ac:dyDescent="0.25">
      <c r="A74" s="22">
        <f>1</f>
        <v>1</v>
      </c>
      <c r="B74" t="s">
        <v>75</v>
      </c>
      <c r="C74">
        <v>100</v>
      </c>
      <c r="D74" s="21" t="s">
        <v>3</v>
      </c>
      <c r="E74" t="s">
        <v>246</v>
      </c>
      <c r="F74" t="s">
        <v>316</v>
      </c>
      <c r="G74" s="21">
        <f>COUNTIF(SCourse[Course],SCourse[[#This Row],[Course]])</f>
        <v>1</v>
      </c>
      <c r="I74" s="21">
        <f>COUNTIF(SCourse[Block],SCourse[[#This Row],[Block]])</f>
        <v>0</v>
      </c>
      <c r="J74" s="21">
        <v>1</v>
      </c>
      <c r="K74" s="21">
        <v>0</v>
      </c>
      <c r="L74" s="21">
        <v>0</v>
      </c>
      <c r="M74" s="21">
        <v>0</v>
      </c>
      <c r="N74" s="21">
        <v>0</v>
      </c>
      <c r="O74" s="21">
        <v>-100</v>
      </c>
      <c r="P74" s="21">
        <v>0</v>
      </c>
      <c r="Q74" s="21">
        <v>0</v>
      </c>
      <c r="R74" s="21">
        <v>0</v>
      </c>
      <c r="S74" s="21">
        <v>0</v>
      </c>
      <c r="T74" s="21">
        <v>0</v>
      </c>
      <c r="U74" s="21">
        <v>0</v>
      </c>
      <c r="V74" s="21">
        <v>0</v>
      </c>
      <c r="W74" s="21">
        <v>0</v>
      </c>
      <c r="X74" s="21">
        <v>0</v>
      </c>
      <c r="Y74" s="21">
        <v>0</v>
      </c>
      <c r="Z74" s="21">
        <v>0</v>
      </c>
      <c r="AA74" s="21">
        <v>0</v>
      </c>
      <c r="AB74" s="21">
        <v>0</v>
      </c>
      <c r="AC74" s="21">
        <v>0</v>
      </c>
      <c r="AD74" s="21">
        <v>0</v>
      </c>
      <c r="AE74" s="21">
        <v>0</v>
      </c>
      <c r="AF74" s="21">
        <v>0</v>
      </c>
      <c r="AG74" s="21">
        <v>0</v>
      </c>
      <c r="AH74" s="21">
        <v>0</v>
      </c>
      <c r="AI74" s="21">
        <v>0</v>
      </c>
      <c r="AJ74" s="21">
        <v>0</v>
      </c>
      <c r="AK74" s="21">
        <v>0</v>
      </c>
      <c r="AL74" s="21">
        <v>0</v>
      </c>
      <c r="AM74" s="21">
        <v>0</v>
      </c>
      <c r="AN74" s="23">
        <v>5</v>
      </c>
      <c r="AO74" s="23">
        <v>5</v>
      </c>
      <c r="AP74" s="23">
        <v>5</v>
      </c>
      <c r="AQ74" s="23">
        <v>-100</v>
      </c>
      <c r="AR74" s="23">
        <v>5</v>
      </c>
      <c r="AS74" s="23">
        <v>5</v>
      </c>
      <c r="AT74" s="23">
        <v>5</v>
      </c>
      <c r="AU74" s="23">
        <v>5</v>
      </c>
      <c r="AV74" s="23">
        <v>5</v>
      </c>
      <c r="AW74" s="23">
        <v>5</v>
      </c>
      <c r="AX74" s="23">
        <v>5</v>
      </c>
      <c r="AY74" s="23">
        <v>5</v>
      </c>
      <c r="AZ74" s="23">
        <v>5</v>
      </c>
      <c r="BA74" s="23">
        <v>5</v>
      </c>
      <c r="BB74" s="23">
        <v>5</v>
      </c>
      <c r="BC74" s="23">
        <v>5</v>
      </c>
      <c r="BD74" s="23">
        <v>5</v>
      </c>
      <c r="BE74" s="23">
        <v>5</v>
      </c>
      <c r="BF74" s="23">
        <v>5</v>
      </c>
      <c r="BG74" s="23">
        <v>5</v>
      </c>
      <c r="BH74" s="23">
        <v>-100</v>
      </c>
      <c r="BI74" s="23">
        <v>-100</v>
      </c>
      <c r="BJ74" s="23">
        <v>-100</v>
      </c>
      <c r="BK74" s="23">
        <v>-100</v>
      </c>
      <c r="BL74" s="23">
        <v>-100</v>
      </c>
      <c r="BM74" s="23">
        <v>-100</v>
      </c>
      <c r="BN74" s="23">
        <v>-100</v>
      </c>
      <c r="BO74" s="23">
        <v>-100</v>
      </c>
    </row>
    <row r="75" spans="1:67" x14ac:dyDescent="0.25">
      <c r="A75" s="22">
        <f>1</f>
        <v>1</v>
      </c>
      <c r="B75" t="s">
        <v>76</v>
      </c>
      <c r="C75">
        <v>100</v>
      </c>
      <c r="D75" s="21" t="s">
        <v>3</v>
      </c>
      <c r="E75" t="s">
        <v>247</v>
      </c>
      <c r="F75" t="s">
        <v>329</v>
      </c>
      <c r="G75" s="21">
        <f>COUNTIF(SCourse[Course],SCourse[[#This Row],[Course]])</f>
        <v>1</v>
      </c>
      <c r="I75" s="21">
        <f>COUNTIF(SCourse[Block],SCourse[[#This Row],[Block]])</f>
        <v>0</v>
      </c>
      <c r="J75" s="21">
        <v>1</v>
      </c>
      <c r="K75" s="21">
        <v>0</v>
      </c>
      <c r="L75" s="21">
        <v>0</v>
      </c>
      <c r="M75" s="21">
        <v>0</v>
      </c>
      <c r="N75" s="21">
        <v>0</v>
      </c>
      <c r="O75" s="21">
        <v>0</v>
      </c>
      <c r="P75" s="21">
        <v>0</v>
      </c>
      <c r="Q75" s="21">
        <v>0</v>
      </c>
      <c r="R75" s="21">
        <v>0</v>
      </c>
      <c r="S75" s="21">
        <v>0</v>
      </c>
      <c r="T75" s="21">
        <v>0</v>
      </c>
      <c r="U75" s="21">
        <v>0</v>
      </c>
      <c r="V75" s="21">
        <v>0</v>
      </c>
      <c r="W75" s="21">
        <v>0</v>
      </c>
      <c r="X75" s="21">
        <v>0</v>
      </c>
      <c r="Y75" s="21">
        <v>0</v>
      </c>
      <c r="Z75" s="21">
        <v>0</v>
      </c>
      <c r="AA75" s="21">
        <v>-100</v>
      </c>
      <c r="AB75" s="21">
        <v>0</v>
      </c>
      <c r="AC75" s="21">
        <v>0</v>
      </c>
      <c r="AD75" s="21">
        <v>0</v>
      </c>
      <c r="AE75" s="21">
        <v>0</v>
      </c>
      <c r="AF75" s="21">
        <v>0</v>
      </c>
      <c r="AG75" s="21">
        <v>0</v>
      </c>
      <c r="AH75" s="21">
        <v>0</v>
      </c>
      <c r="AI75" s="21">
        <v>0</v>
      </c>
      <c r="AJ75" s="21">
        <v>0</v>
      </c>
      <c r="AK75" s="21">
        <v>0</v>
      </c>
      <c r="AL75" s="21">
        <v>0</v>
      </c>
      <c r="AM75" s="21">
        <v>0</v>
      </c>
      <c r="AN75" s="23">
        <v>5</v>
      </c>
      <c r="AO75" s="23">
        <v>5</v>
      </c>
      <c r="AP75" s="23">
        <v>5</v>
      </c>
      <c r="AQ75" s="23">
        <v>5</v>
      </c>
      <c r="AR75" s="23">
        <v>5</v>
      </c>
      <c r="AS75" s="23">
        <v>5</v>
      </c>
      <c r="AT75" s="23">
        <v>5</v>
      </c>
      <c r="AU75" s="23">
        <v>5</v>
      </c>
      <c r="AV75" s="23">
        <v>5</v>
      </c>
      <c r="AW75" s="23">
        <v>5</v>
      </c>
      <c r="AX75" s="23">
        <v>5</v>
      </c>
      <c r="AY75" s="23">
        <v>5</v>
      </c>
      <c r="AZ75" s="23">
        <v>5</v>
      </c>
      <c r="BA75" s="23">
        <v>5</v>
      </c>
      <c r="BB75" s="23">
        <v>5</v>
      </c>
      <c r="BC75" s="23">
        <v>-100</v>
      </c>
      <c r="BD75" s="23">
        <v>5</v>
      </c>
      <c r="BE75" s="23">
        <v>5</v>
      </c>
      <c r="BF75" s="23">
        <v>5</v>
      </c>
      <c r="BG75" s="23">
        <v>5</v>
      </c>
      <c r="BH75" s="23">
        <v>-100</v>
      </c>
      <c r="BI75" s="23">
        <v>-100</v>
      </c>
      <c r="BJ75" s="23">
        <v>-100</v>
      </c>
      <c r="BK75" s="23">
        <v>-100</v>
      </c>
      <c r="BL75" s="23">
        <v>-100</v>
      </c>
      <c r="BM75" s="23">
        <v>-100</v>
      </c>
      <c r="BN75" s="23">
        <v>-100</v>
      </c>
      <c r="BO75" s="23">
        <v>-100</v>
      </c>
    </row>
    <row r="76" spans="1:67" x14ac:dyDescent="0.25">
      <c r="A76" s="22">
        <f>1</f>
        <v>1</v>
      </c>
      <c r="B76" t="s">
        <v>77</v>
      </c>
      <c r="C76">
        <v>100</v>
      </c>
      <c r="D76" s="21" t="s">
        <v>3</v>
      </c>
      <c r="E76" t="s">
        <v>248</v>
      </c>
      <c r="F76" t="s">
        <v>298</v>
      </c>
      <c r="G76" s="21">
        <f>COUNTIF(SCourse[Course],SCourse[[#This Row],[Course]])</f>
        <v>1</v>
      </c>
      <c r="I76" s="21">
        <f>COUNTIF(SCourse[Block],SCourse[[#This Row],[Block]])</f>
        <v>0</v>
      </c>
      <c r="J76" s="21">
        <v>1</v>
      </c>
      <c r="K76" s="21">
        <v>0</v>
      </c>
      <c r="L76" s="21">
        <v>0</v>
      </c>
      <c r="M76" s="21">
        <v>0</v>
      </c>
      <c r="N76" s="21">
        <v>0</v>
      </c>
      <c r="O76" s="21">
        <v>0</v>
      </c>
      <c r="P76" s="21">
        <v>0</v>
      </c>
      <c r="Q76" s="21">
        <v>0</v>
      </c>
      <c r="R76" s="21">
        <v>0</v>
      </c>
      <c r="S76" s="21">
        <v>0</v>
      </c>
      <c r="T76" s="21">
        <v>0</v>
      </c>
      <c r="U76" s="21">
        <v>0</v>
      </c>
      <c r="V76" s="21">
        <v>0</v>
      </c>
      <c r="W76" s="21">
        <v>0</v>
      </c>
      <c r="X76" s="21">
        <v>0</v>
      </c>
      <c r="Y76" s="21">
        <v>0</v>
      </c>
      <c r="Z76" s="21">
        <v>0</v>
      </c>
      <c r="AA76" s="21">
        <v>-100</v>
      </c>
      <c r="AB76" s="21">
        <v>0</v>
      </c>
      <c r="AC76" s="21">
        <v>0</v>
      </c>
      <c r="AD76" s="21">
        <v>0</v>
      </c>
      <c r="AE76" s="21">
        <v>0</v>
      </c>
      <c r="AF76" s="21">
        <v>0</v>
      </c>
      <c r="AG76" s="21">
        <v>0</v>
      </c>
      <c r="AH76" s="21">
        <v>0</v>
      </c>
      <c r="AI76" s="21">
        <v>0</v>
      </c>
      <c r="AJ76" s="21">
        <v>0</v>
      </c>
      <c r="AK76" s="21">
        <v>0</v>
      </c>
      <c r="AL76" s="21">
        <v>0</v>
      </c>
      <c r="AM76" s="21">
        <v>0</v>
      </c>
      <c r="AN76" s="23">
        <v>5</v>
      </c>
      <c r="AO76" s="23">
        <v>5</v>
      </c>
      <c r="AP76" s="23">
        <v>5</v>
      </c>
      <c r="AQ76" s="23">
        <v>5</v>
      </c>
      <c r="AR76" s="23">
        <v>5</v>
      </c>
      <c r="AS76" s="23">
        <v>5</v>
      </c>
      <c r="AT76" s="23">
        <v>5</v>
      </c>
      <c r="AU76" s="23">
        <v>5</v>
      </c>
      <c r="AV76" s="23">
        <v>5</v>
      </c>
      <c r="AW76" s="23">
        <v>5</v>
      </c>
      <c r="AX76" s="23">
        <v>5</v>
      </c>
      <c r="AY76" s="23">
        <v>5</v>
      </c>
      <c r="AZ76" s="23">
        <v>5</v>
      </c>
      <c r="BA76" s="23">
        <v>5</v>
      </c>
      <c r="BB76" s="23">
        <v>5</v>
      </c>
      <c r="BC76" s="23">
        <v>-100</v>
      </c>
      <c r="BD76" s="23">
        <v>5</v>
      </c>
      <c r="BE76" s="23">
        <v>5</v>
      </c>
      <c r="BF76" s="23">
        <v>5</v>
      </c>
      <c r="BG76" s="23">
        <v>5</v>
      </c>
      <c r="BH76" s="23">
        <v>-100</v>
      </c>
      <c r="BI76" s="23">
        <v>-100</v>
      </c>
      <c r="BJ76" s="23">
        <v>-100</v>
      </c>
      <c r="BK76" s="23">
        <v>-100</v>
      </c>
      <c r="BL76" s="23">
        <v>-100</v>
      </c>
      <c r="BM76" s="23">
        <v>-100</v>
      </c>
      <c r="BN76" s="23">
        <v>-100</v>
      </c>
      <c r="BO76" s="23">
        <v>-100</v>
      </c>
    </row>
    <row r="77" spans="1:67" x14ac:dyDescent="0.25">
      <c r="A77" s="22">
        <f>1</f>
        <v>1</v>
      </c>
      <c r="B77" t="s">
        <v>78</v>
      </c>
      <c r="C77">
        <v>100</v>
      </c>
      <c r="D77" s="21" t="s">
        <v>3</v>
      </c>
      <c r="E77" t="s">
        <v>249</v>
      </c>
      <c r="F77" t="s">
        <v>322</v>
      </c>
      <c r="G77" s="21">
        <f>COUNTIF(SCourse[Course],SCourse[[#This Row],[Course]])</f>
        <v>1</v>
      </c>
      <c r="I77" s="21">
        <f>COUNTIF(SCourse[Block],SCourse[[#This Row],[Block]])</f>
        <v>0</v>
      </c>
      <c r="J77" s="21">
        <v>1</v>
      </c>
      <c r="K77" s="21">
        <v>0</v>
      </c>
      <c r="L77" s="21">
        <v>0</v>
      </c>
      <c r="M77" s="21">
        <v>0</v>
      </c>
      <c r="N77" s="21">
        <v>0</v>
      </c>
      <c r="O77" s="21">
        <v>0</v>
      </c>
      <c r="P77" s="21">
        <v>0</v>
      </c>
      <c r="Q77" s="21">
        <v>0</v>
      </c>
      <c r="R77" s="21">
        <v>0</v>
      </c>
      <c r="S77" s="21">
        <v>0</v>
      </c>
      <c r="T77" s="21">
        <v>0</v>
      </c>
      <c r="U77" s="21">
        <v>-100</v>
      </c>
      <c r="V77" s="21">
        <v>0</v>
      </c>
      <c r="W77" s="21">
        <v>0</v>
      </c>
      <c r="X77" s="21">
        <v>0</v>
      </c>
      <c r="Y77" s="21">
        <v>0</v>
      </c>
      <c r="Z77" s="21">
        <v>0</v>
      </c>
      <c r="AA77" s="21">
        <v>0</v>
      </c>
      <c r="AB77" s="21">
        <v>0</v>
      </c>
      <c r="AC77" s="21">
        <v>0</v>
      </c>
      <c r="AD77" s="21">
        <v>0</v>
      </c>
      <c r="AE77" s="21">
        <v>0</v>
      </c>
      <c r="AF77" s="21">
        <v>0</v>
      </c>
      <c r="AG77" s="21">
        <v>0</v>
      </c>
      <c r="AH77" s="21">
        <v>0</v>
      </c>
      <c r="AI77" s="21">
        <v>0</v>
      </c>
      <c r="AJ77" s="21">
        <v>0</v>
      </c>
      <c r="AK77" s="21">
        <v>0</v>
      </c>
      <c r="AL77" s="21">
        <v>0</v>
      </c>
      <c r="AM77" s="21">
        <v>0</v>
      </c>
      <c r="AN77" s="23">
        <v>5</v>
      </c>
      <c r="AO77" s="23">
        <v>5</v>
      </c>
      <c r="AP77" s="23">
        <v>5</v>
      </c>
      <c r="AQ77" s="23">
        <v>5</v>
      </c>
      <c r="AR77" s="23">
        <v>5</v>
      </c>
      <c r="AS77" s="23">
        <v>5</v>
      </c>
      <c r="AT77" s="23">
        <v>5</v>
      </c>
      <c r="AU77" s="23">
        <v>5</v>
      </c>
      <c r="AV77" s="23">
        <v>5</v>
      </c>
      <c r="AW77" s="23">
        <v>-100</v>
      </c>
      <c r="AX77" s="23">
        <v>5</v>
      </c>
      <c r="AY77" s="23">
        <v>5</v>
      </c>
      <c r="AZ77" s="23">
        <v>5</v>
      </c>
      <c r="BA77" s="23">
        <v>5</v>
      </c>
      <c r="BB77" s="23">
        <v>5</v>
      </c>
      <c r="BC77" s="23">
        <v>5</v>
      </c>
      <c r="BD77" s="23">
        <v>5</v>
      </c>
      <c r="BE77" s="23">
        <v>5</v>
      </c>
      <c r="BF77" s="23">
        <v>5</v>
      </c>
      <c r="BG77" s="23">
        <v>5</v>
      </c>
      <c r="BH77" s="23">
        <v>-100</v>
      </c>
      <c r="BI77" s="23">
        <v>-100</v>
      </c>
      <c r="BJ77" s="23">
        <v>-100</v>
      </c>
      <c r="BK77" s="23">
        <v>-100</v>
      </c>
      <c r="BL77" s="23">
        <v>-100</v>
      </c>
      <c r="BM77" s="23">
        <v>-100</v>
      </c>
      <c r="BN77" s="23">
        <v>-100</v>
      </c>
      <c r="BO77" s="23">
        <v>-100</v>
      </c>
    </row>
    <row r="78" spans="1:67" x14ac:dyDescent="0.25">
      <c r="A78" s="22">
        <f>1</f>
        <v>1</v>
      </c>
      <c r="B78" t="s">
        <v>79</v>
      </c>
      <c r="C78">
        <v>100</v>
      </c>
      <c r="D78" s="21" t="s">
        <v>3</v>
      </c>
      <c r="E78" t="s">
        <v>250</v>
      </c>
      <c r="F78" t="s">
        <v>296</v>
      </c>
      <c r="G78" s="21">
        <f>COUNTIF(SCourse[Course],SCourse[[#This Row],[Course]])</f>
        <v>1</v>
      </c>
      <c r="I78" s="21">
        <f>COUNTIF(SCourse[Block],SCourse[[#This Row],[Block]])</f>
        <v>0</v>
      </c>
      <c r="J78" s="21">
        <v>1</v>
      </c>
      <c r="K78" s="21">
        <v>0</v>
      </c>
      <c r="L78" s="21">
        <v>0</v>
      </c>
      <c r="M78" s="21">
        <v>0</v>
      </c>
      <c r="N78" s="21">
        <v>0</v>
      </c>
      <c r="O78" s="21">
        <v>0</v>
      </c>
      <c r="P78" s="21">
        <v>0</v>
      </c>
      <c r="Q78" s="21">
        <v>0</v>
      </c>
      <c r="R78" s="21">
        <v>0</v>
      </c>
      <c r="S78" s="21">
        <v>0</v>
      </c>
      <c r="T78" s="21">
        <v>0</v>
      </c>
      <c r="U78" s="21">
        <v>0</v>
      </c>
      <c r="V78" s="21">
        <v>0</v>
      </c>
      <c r="W78" s="21">
        <v>-100</v>
      </c>
      <c r="X78" s="21">
        <v>0</v>
      </c>
      <c r="Y78" s="21">
        <v>0</v>
      </c>
      <c r="Z78" s="21">
        <v>0</v>
      </c>
      <c r="AA78" s="21">
        <v>0</v>
      </c>
      <c r="AB78" s="21">
        <v>0</v>
      </c>
      <c r="AC78" s="21">
        <v>0</v>
      </c>
      <c r="AD78" s="21">
        <v>0</v>
      </c>
      <c r="AE78" s="21">
        <v>0</v>
      </c>
      <c r="AF78" s="21">
        <v>0</v>
      </c>
      <c r="AG78" s="21">
        <v>0</v>
      </c>
      <c r="AH78" s="21">
        <v>0</v>
      </c>
      <c r="AI78" s="21">
        <v>0</v>
      </c>
      <c r="AJ78" s="21">
        <v>0</v>
      </c>
      <c r="AK78" s="21">
        <v>0</v>
      </c>
      <c r="AL78" s="21">
        <v>0</v>
      </c>
      <c r="AM78" s="21">
        <v>0</v>
      </c>
      <c r="AN78" s="23">
        <v>5</v>
      </c>
      <c r="AO78" s="23">
        <v>5</v>
      </c>
      <c r="AP78" s="23">
        <v>5</v>
      </c>
      <c r="AQ78" s="23">
        <v>5</v>
      </c>
      <c r="AR78" s="23">
        <v>5</v>
      </c>
      <c r="AS78" s="23">
        <v>5</v>
      </c>
      <c r="AT78" s="23">
        <v>5</v>
      </c>
      <c r="AU78" s="23">
        <v>5</v>
      </c>
      <c r="AV78" s="23">
        <v>5</v>
      </c>
      <c r="AW78" s="23">
        <v>5</v>
      </c>
      <c r="AX78" s="23">
        <v>5</v>
      </c>
      <c r="AY78" s="23">
        <v>-100</v>
      </c>
      <c r="AZ78" s="23">
        <v>5</v>
      </c>
      <c r="BA78" s="23">
        <v>5</v>
      </c>
      <c r="BB78" s="23">
        <v>5</v>
      </c>
      <c r="BC78" s="23">
        <v>5</v>
      </c>
      <c r="BD78" s="23">
        <v>5</v>
      </c>
      <c r="BE78" s="23">
        <v>5</v>
      </c>
      <c r="BF78" s="23">
        <v>5</v>
      </c>
      <c r="BG78" s="23">
        <v>5</v>
      </c>
      <c r="BH78" s="23">
        <v>-100</v>
      </c>
      <c r="BI78" s="23">
        <v>-100</v>
      </c>
      <c r="BJ78" s="23">
        <v>-100</v>
      </c>
      <c r="BK78" s="23">
        <v>-100</v>
      </c>
      <c r="BL78" s="23">
        <v>-100</v>
      </c>
      <c r="BM78" s="23">
        <v>-100</v>
      </c>
      <c r="BN78" s="23">
        <v>-100</v>
      </c>
      <c r="BO78" s="23">
        <v>-100</v>
      </c>
    </row>
    <row r="79" spans="1:67" x14ac:dyDescent="0.25">
      <c r="A79" s="22">
        <f>1</f>
        <v>1</v>
      </c>
      <c r="B79" t="s">
        <v>80</v>
      </c>
      <c r="C79">
        <v>100</v>
      </c>
      <c r="D79" s="21" t="s">
        <v>3</v>
      </c>
      <c r="E79" t="s">
        <v>251</v>
      </c>
      <c r="F79" t="s">
        <v>319</v>
      </c>
      <c r="G79" s="21">
        <f>COUNTIF(SCourse[Course],SCourse[[#This Row],[Course]])</f>
        <v>1</v>
      </c>
      <c r="I79" s="21">
        <f>COUNTIF(SCourse[Block],SCourse[[#This Row],[Block]])</f>
        <v>0</v>
      </c>
      <c r="J79" s="21">
        <v>1</v>
      </c>
      <c r="K79" s="21">
        <v>0</v>
      </c>
      <c r="L79" s="21">
        <v>0</v>
      </c>
      <c r="M79" s="21">
        <v>0</v>
      </c>
      <c r="N79" s="21">
        <v>0</v>
      </c>
      <c r="O79" s="21">
        <v>0</v>
      </c>
      <c r="P79" s="21">
        <v>0</v>
      </c>
      <c r="Q79" s="21">
        <v>0</v>
      </c>
      <c r="R79" s="21">
        <v>0</v>
      </c>
      <c r="S79" s="21">
        <v>-100</v>
      </c>
      <c r="T79" s="21">
        <v>0</v>
      </c>
      <c r="U79" s="21">
        <v>0</v>
      </c>
      <c r="V79" s="21">
        <v>0</v>
      </c>
      <c r="W79" s="21">
        <v>0</v>
      </c>
      <c r="X79" s="21">
        <v>0</v>
      </c>
      <c r="Y79" s="21">
        <v>0</v>
      </c>
      <c r="Z79" s="21">
        <v>0</v>
      </c>
      <c r="AA79" s="21">
        <v>0</v>
      </c>
      <c r="AB79" s="21">
        <v>0</v>
      </c>
      <c r="AC79" s="21">
        <v>0</v>
      </c>
      <c r="AD79" s="21">
        <v>0</v>
      </c>
      <c r="AE79" s="21">
        <v>0</v>
      </c>
      <c r="AF79" s="21">
        <v>0</v>
      </c>
      <c r="AG79" s="21">
        <v>0</v>
      </c>
      <c r="AH79" s="21">
        <v>0</v>
      </c>
      <c r="AI79" s="21">
        <v>0</v>
      </c>
      <c r="AJ79" s="21">
        <v>0</v>
      </c>
      <c r="AK79" s="21">
        <v>0</v>
      </c>
      <c r="AL79" s="21">
        <v>0</v>
      </c>
      <c r="AM79" s="21">
        <v>0</v>
      </c>
      <c r="AN79" s="23">
        <v>5</v>
      </c>
      <c r="AO79" s="23">
        <v>5</v>
      </c>
      <c r="AP79" s="23">
        <v>5</v>
      </c>
      <c r="AQ79" s="23">
        <v>5</v>
      </c>
      <c r="AR79" s="23">
        <v>5</v>
      </c>
      <c r="AS79" s="23">
        <v>5</v>
      </c>
      <c r="AT79" s="23">
        <v>5</v>
      </c>
      <c r="AU79" s="23">
        <v>-100</v>
      </c>
      <c r="AV79" s="23">
        <v>5</v>
      </c>
      <c r="AW79" s="23">
        <v>5</v>
      </c>
      <c r="AX79" s="23">
        <v>5</v>
      </c>
      <c r="AY79" s="23">
        <v>5</v>
      </c>
      <c r="AZ79" s="23">
        <v>5</v>
      </c>
      <c r="BA79" s="23">
        <v>5</v>
      </c>
      <c r="BB79" s="23">
        <v>5</v>
      </c>
      <c r="BC79" s="23">
        <v>5</v>
      </c>
      <c r="BD79" s="23">
        <v>5</v>
      </c>
      <c r="BE79" s="23">
        <v>5</v>
      </c>
      <c r="BF79" s="23">
        <v>5</v>
      </c>
      <c r="BG79" s="23">
        <v>5</v>
      </c>
      <c r="BH79" s="23">
        <v>-100</v>
      </c>
      <c r="BI79" s="23">
        <v>-100</v>
      </c>
      <c r="BJ79" s="23">
        <v>-100</v>
      </c>
      <c r="BK79" s="23">
        <v>-100</v>
      </c>
      <c r="BL79" s="23">
        <v>-100</v>
      </c>
      <c r="BM79" s="23">
        <v>-100</v>
      </c>
      <c r="BN79" s="23">
        <v>-100</v>
      </c>
      <c r="BO79" s="23">
        <v>-100</v>
      </c>
    </row>
    <row r="80" spans="1:67" x14ac:dyDescent="0.25">
      <c r="A80" s="22">
        <f>1</f>
        <v>1</v>
      </c>
      <c r="B80" t="s">
        <v>81</v>
      </c>
      <c r="C80">
        <v>100</v>
      </c>
      <c r="D80" s="21" t="s">
        <v>3</v>
      </c>
      <c r="E80" t="s">
        <v>252</v>
      </c>
      <c r="F80" t="s">
        <v>325</v>
      </c>
      <c r="G80" s="21">
        <f>COUNTIF(SCourse[Course],SCourse[[#This Row],[Course]])</f>
        <v>1</v>
      </c>
      <c r="I80" s="21">
        <f>COUNTIF(SCourse[Block],SCourse[[#This Row],[Block]])</f>
        <v>0</v>
      </c>
      <c r="J80" s="21">
        <v>1</v>
      </c>
      <c r="K80" s="21">
        <v>0</v>
      </c>
      <c r="L80" s="21">
        <v>0</v>
      </c>
      <c r="M80" s="21">
        <v>0</v>
      </c>
      <c r="N80" s="21">
        <v>0</v>
      </c>
      <c r="O80" s="21">
        <v>0</v>
      </c>
      <c r="P80" s="21">
        <v>0</v>
      </c>
      <c r="Q80" s="21">
        <v>0</v>
      </c>
      <c r="R80" s="21">
        <v>0</v>
      </c>
      <c r="S80" s="21">
        <v>0</v>
      </c>
      <c r="T80" s="21">
        <v>0</v>
      </c>
      <c r="U80" s="21">
        <v>0</v>
      </c>
      <c r="V80" s="21">
        <v>0</v>
      </c>
      <c r="W80" s="21">
        <v>0</v>
      </c>
      <c r="X80" s="21">
        <v>0</v>
      </c>
      <c r="Y80" s="21">
        <v>0</v>
      </c>
      <c r="Z80" s="21">
        <v>0</v>
      </c>
      <c r="AA80" s="21">
        <v>0</v>
      </c>
      <c r="AB80" s="21">
        <v>-100</v>
      </c>
      <c r="AC80" s="21">
        <v>0</v>
      </c>
      <c r="AD80" s="21">
        <v>0</v>
      </c>
      <c r="AE80" s="21">
        <v>0</v>
      </c>
      <c r="AF80" s="21">
        <v>0</v>
      </c>
      <c r="AG80" s="21">
        <v>0</v>
      </c>
      <c r="AH80" s="21">
        <v>0</v>
      </c>
      <c r="AI80" s="21">
        <v>0</v>
      </c>
      <c r="AJ80" s="21">
        <v>0</v>
      </c>
      <c r="AK80" s="21">
        <v>0</v>
      </c>
      <c r="AL80" s="21">
        <v>0</v>
      </c>
      <c r="AM80" s="21">
        <v>0</v>
      </c>
      <c r="AN80" s="23">
        <v>5</v>
      </c>
      <c r="AO80" s="23">
        <v>5</v>
      </c>
      <c r="AP80" s="23">
        <v>5</v>
      </c>
      <c r="AQ80" s="23">
        <v>5</v>
      </c>
      <c r="AR80" s="23">
        <v>5</v>
      </c>
      <c r="AS80" s="23">
        <v>5</v>
      </c>
      <c r="AT80" s="23">
        <v>5</v>
      </c>
      <c r="AU80" s="23">
        <v>5</v>
      </c>
      <c r="AV80" s="23">
        <v>5</v>
      </c>
      <c r="AW80" s="23">
        <v>5</v>
      </c>
      <c r="AX80" s="23">
        <v>5</v>
      </c>
      <c r="AY80" s="23">
        <v>5</v>
      </c>
      <c r="AZ80" s="23">
        <v>5</v>
      </c>
      <c r="BA80" s="23">
        <v>5</v>
      </c>
      <c r="BB80" s="23">
        <v>5</v>
      </c>
      <c r="BC80" s="23">
        <v>5</v>
      </c>
      <c r="BD80" s="23">
        <v>-100</v>
      </c>
      <c r="BE80" s="23">
        <v>5</v>
      </c>
      <c r="BF80" s="23">
        <v>5</v>
      </c>
      <c r="BG80" s="23">
        <v>5</v>
      </c>
      <c r="BH80" s="23">
        <v>-100</v>
      </c>
      <c r="BI80" s="23">
        <v>-100</v>
      </c>
      <c r="BJ80" s="23">
        <v>-100</v>
      </c>
      <c r="BK80" s="23">
        <v>-100</v>
      </c>
      <c r="BL80" s="23">
        <v>-100</v>
      </c>
      <c r="BM80" s="23">
        <v>-100</v>
      </c>
      <c r="BN80" s="23">
        <v>-100</v>
      </c>
      <c r="BO80" s="23">
        <v>-100</v>
      </c>
    </row>
    <row r="81" spans="1:67" x14ac:dyDescent="0.25">
      <c r="A81" s="22">
        <f>1</f>
        <v>1</v>
      </c>
      <c r="B81" t="s">
        <v>82</v>
      </c>
      <c r="C81">
        <v>100</v>
      </c>
      <c r="D81" s="21" t="s">
        <v>3</v>
      </c>
      <c r="E81" t="s">
        <v>253</v>
      </c>
      <c r="F81" t="s">
        <v>305</v>
      </c>
      <c r="G81" s="21">
        <f>COUNTIF(SCourse[Course],SCourse[[#This Row],[Course]])</f>
        <v>1</v>
      </c>
      <c r="I81" s="21">
        <f>COUNTIF(SCourse[Block],SCourse[[#This Row],[Block]])</f>
        <v>0</v>
      </c>
      <c r="J81" s="21">
        <v>1</v>
      </c>
      <c r="K81" s="21">
        <v>0</v>
      </c>
      <c r="L81" s="21">
        <v>0</v>
      </c>
      <c r="M81" s="21">
        <v>0</v>
      </c>
      <c r="N81" s="21">
        <v>0</v>
      </c>
      <c r="O81" s="21">
        <v>0</v>
      </c>
      <c r="P81" s="21">
        <v>0</v>
      </c>
      <c r="Q81" s="21">
        <v>0</v>
      </c>
      <c r="R81" s="21">
        <v>0</v>
      </c>
      <c r="S81" s="21">
        <v>0</v>
      </c>
      <c r="T81" s="21">
        <v>0</v>
      </c>
      <c r="U81" s="21">
        <v>0</v>
      </c>
      <c r="V81" s="21">
        <v>0</v>
      </c>
      <c r="W81" s="21">
        <v>0</v>
      </c>
      <c r="X81" s="21">
        <v>0</v>
      </c>
      <c r="Y81" s="21">
        <v>0</v>
      </c>
      <c r="Z81" s="21">
        <v>0</v>
      </c>
      <c r="AA81" s="21">
        <v>0</v>
      </c>
      <c r="AB81" s="21">
        <v>0</v>
      </c>
      <c r="AC81" s="21">
        <v>0</v>
      </c>
      <c r="AD81" s="21">
        <v>0</v>
      </c>
      <c r="AE81" s="21">
        <v>0</v>
      </c>
      <c r="AF81" s="21">
        <v>-100</v>
      </c>
      <c r="AG81" s="21">
        <v>0</v>
      </c>
      <c r="AH81" s="21">
        <v>0</v>
      </c>
      <c r="AI81" s="21">
        <v>0</v>
      </c>
      <c r="AJ81" s="21">
        <v>0</v>
      </c>
      <c r="AK81" s="21">
        <v>0</v>
      </c>
      <c r="AL81" s="21">
        <v>0</v>
      </c>
      <c r="AM81" s="21">
        <v>0</v>
      </c>
      <c r="AN81" s="23">
        <v>5</v>
      </c>
      <c r="AO81" s="23">
        <v>5</v>
      </c>
      <c r="AP81" s="23">
        <v>5</v>
      </c>
      <c r="AQ81" s="23">
        <v>5</v>
      </c>
      <c r="AR81" s="23">
        <v>5</v>
      </c>
      <c r="AS81" s="23">
        <v>5</v>
      </c>
      <c r="AT81" s="23">
        <v>5</v>
      </c>
      <c r="AU81" s="23">
        <v>5</v>
      </c>
      <c r="AV81" s="23">
        <v>5</v>
      </c>
      <c r="AW81" s="23">
        <v>5</v>
      </c>
      <c r="AX81" s="23">
        <v>5</v>
      </c>
      <c r="AY81" s="23">
        <v>5</v>
      </c>
      <c r="AZ81" s="23">
        <v>5</v>
      </c>
      <c r="BA81" s="23">
        <v>5</v>
      </c>
      <c r="BB81" s="23">
        <v>5</v>
      </c>
      <c r="BC81" s="23">
        <v>5</v>
      </c>
      <c r="BD81" s="23">
        <v>5</v>
      </c>
      <c r="BE81" s="23">
        <v>5</v>
      </c>
      <c r="BF81" s="23">
        <v>5</v>
      </c>
      <c r="BG81" s="23">
        <v>5</v>
      </c>
      <c r="BH81" s="23">
        <v>-100</v>
      </c>
      <c r="BI81" s="23">
        <v>-100</v>
      </c>
      <c r="BJ81" s="23">
        <v>-100</v>
      </c>
      <c r="BK81" s="23">
        <v>-100</v>
      </c>
      <c r="BL81" s="23">
        <v>-100</v>
      </c>
      <c r="BM81" s="23">
        <v>-100</v>
      </c>
      <c r="BN81" s="23">
        <v>-100</v>
      </c>
      <c r="BO81" s="23">
        <v>-100</v>
      </c>
    </row>
    <row r="82" spans="1:67" x14ac:dyDescent="0.25">
      <c r="A82" s="22">
        <f>1</f>
        <v>1</v>
      </c>
      <c r="B82" t="s">
        <v>83</v>
      </c>
      <c r="C82">
        <v>100</v>
      </c>
      <c r="D82" s="21" t="s">
        <v>3</v>
      </c>
      <c r="E82" t="s">
        <v>254</v>
      </c>
      <c r="F82" t="s">
        <v>318</v>
      </c>
      <c r="G82" s="21">
        <f>COUNTIF(SCourse[Course],SCourse[[#This Row],[Course]])</f>
        <v>1</v>
      </c>
      <c r="I82" s="21">
        <f>COUNTIF(SCourse[Block],SCourse[[#This Row],[Block]])</f>
        <v>0</v>
      </c>
      <c r="J82" s="21">
        <v>1</v>
      </c>
      <c r="K82" s="21">
        <v>0</v>
      </c>
      <c r="L82" s="21">
        <v>0</v>
      </c>
      <c r="M82" s="21">
        <v>0</v>
      </c>
      <c r="N82" s="21">
        <v>0</v>
      </c>
      <c r="O82" s="21">
        <v>0</v>
      </c>
      <c r="P82" s="21">
        <v>0</v>
      </c>
      <c r="Q82" s="21">
        <v>0</v>
      </c>
      <c r="R82" s="21">
        <v>0</v>
      </c>
      <c r="S82" s="21">
        <v>0</v>
      </c>
      <c r="T82" s="21">
        <v>0</v>
      </c>
      <c r="U82" s="21">
        <v>0</v>
      </c>
      <c r="V82" s="21">
        <v>0</v>
      </c>
      <c r="W82" s="21">
        <v>0</v>
      </c>
      <c r="X82" s="21">
        <v>0</v>
      </c>
      <c r="Y82" s="21">
        <v>0</v>
      </c>
      <c r="Z82" s="21">
        <v>0</v>
      </c>
      <c r="AA82" s="21">
        <v>0</v>
      </c>
      <c r="AB82" s="21">
        <v>0</v>
      </c>
      <c r="AC82" s="21">
        <v>0</v>
      </c>
      <c r="AD82" s="21">
        <v>0</v>
      </c>
      <c r="AE82" s="21">
        <v>0</v>
      </c>
      <c r="AF82" s="21">
        <v>0</v>
      </c>
      <c r="AG82" s="21">
        <v>0</v>
      </c>
      <c r="AH82" s="21">
        <v>0</v>
      </c>
      <c r="AI82" s="21">
        <v>0</v>
      </c>
      <c r="AJ82" s="21">
        <v>0</v>
      </c>
      <c r="AK82" s="21">
        <v>0</v>
      </c>
      <c r="AL82" s="21">
        <v>0</v>
      </c>
      <c r="AM82" s="21">
        <v>-100</v>
      </c>
      <c r="AN82" s="23">
        <v>5</v>
      </c>
      <c r="AO82" s="23">
        <v>5</v>
      </c>
      <c r="AP82" s="23">
        <v>5</v>
      </c>
      <c r="AQ82" s="23">
        <v>5</v>
      </c>
      <c r="AR82" s="23">
        <v>5</v>
      </c>
      <c r="AS82" s="23">
        <v>5</v>
      </c>
      <c r="AT82" s="23">
        <v>5</v>
      </c>
      <c r="AU82" s="23">
        <v>5</v>
      </c>
      <c r="AV82" s="23">
        <v>5</v>
      </c>
      <c r="AW82" s="23">
        <v>5</v>
      </c>
      <c r="AX82" s="23">
        <v>5</v>
      </c>
      <c r="AY82" s="23">
        <v>5</v>
      </c>
      <c r="AZ82" s="23">
        <v>5</v>
      </c>
      <c r="BA82" s="23">
        <v>5</v>
      </c>
      <c r="BB82" s="23">
        <v>5</v>
      </c>
      <c r="BC82" s="23">
        <v>5</v>
      </c>
      <c r="BD82" s="23">
        <v>5</v>
      </c>
      <c r="BE82" s="23">
        <v>5</v>
      </c>
      <c r="BF82" s="23">
        <v>5</v>
      </c>
      <c r="BG82" s="23">
        <v>5</v>
      </c>
      <c r="BH82" s="23">
        <v>-100</v>
      </c>
      <c r="BI82" s="23">
        <v>-100</v>
      </c>
      <c r="BJ82" s="23">
        <v>-100</v>
      </c>
      <c r="BK82" s="23">
        <v>-100</v>
      </c>
      <c r="BL82" s="23">
        <v>-100</v>
      </c>
      <c r="BM82" s="23">
        <v>-100</v>
      </c>
      <c r="BN82" s="23">
        <v>-100</v>
      </c>
      <c r="BO82" s="23">
        <v>-100</v>
      </c>
    </row>
    <row r="83" spans="1:67" x14ac:dyDescent="0.25">
      <c r="A83" s="22">
        <f>1</f>
        <v>1</v>
      </c>
      <c r="B83" t="s">
        <v>84</v>
      </c>
      <c r="C83">
        <v>100</v>
      </c>
      <c r="D83" s="21" t="s">
        <v>3</v>
      </c>
      <c r="E83" t="s">
        <v>255</v>
      </c>
      <c r="F83" t="s">
        <v>313</v>
      </c>
      <c r="G83" s="21">
        <f>COUNTIF(SCourse[Course],SCourse[[#This Row],[Course]])</f>
        <v>1</v>
      </c>
      <c r="I83" s="21">
        <f>COUNTIF(SCourse[Block],SCourse[[#This Row],[Block]])</f>
        <v>0</v>
      </c>
      <c r="J83" s="21">
        <v>1</v>
      </c>
      <c r="K83" s="21">
        <v>0</v>
      </c>
      <c r="L83" s="21">
        <v>0</v>
      </c>
      <c r="M83" s="21">
        <v>0</v>
      </c>
      <c r="N83" s="21">
        <v>0</v>
      </c>
      <c r="O83" s="21">
        <v>0</v>
      </c>
      <c r="P83" s="21">
        <v>0</v>
      </c>
      <c r="Q83" s="21">
        <v>0</v>
      </c>
      <c r="R83" s="21">
        <v>0</v>
      </c>
      <c r="S83" s="21">
        <v>0</v>
      </c>
      <c r="T83" s="21">
        <v>-100</v>
      </c>
      <c r="U83" s="21">
        <v>0</v>
      </c>
      <c r="V83" s="21">
        <v>0</v>
      </c>
      <c r="W83" s="21">
        <v>0</v>
      </c>
      <c r="X83" s="21">
        <v>0</v>
      </c>
      <c r="Y83" s="21">
        <v>0</v>
      </c>
      <c r="Z83" s="21">
        <v>0</v>
      </c>
      <c r="AA83" s="21">
        <v>0</v>
      </c>
      <c r="AB83" s="21">
        <v>0</v>
      </c>
      <c r="AC83" s="21">
        <v>0</v>
      </c>
      <c r="AD83" s="21">
        <v>0</v>
      </c>
      <c r="AE83" s="21">
        <v>0</v>
      </c>
      <c r="AF83" s="21">
        <v>0</v>
      </c>
      <c r="AG83" s="21">
        <v>0</v>
      </c>
      <c r="AH83" s="21">
        <v>0</v>
      </c>
      <c r="AI83" s="21">
        <v>0</v>
      </c>
      <c r="AJ83" s="21">
        <v>0</v>
      </c>
      <c r="AK83" s="21">
        <v>0</v>
      </c>
      <c r="AL83" s="21">
        <v>0</v>
      </c>
      <c r="AM83" s="21">
        <v>0</v>
      </c>
      <c r="AN83" s="23">
        <v>5</v>
      </c>
      <c r="AO83" s="23">
        <v>5</v>
      </c>
      <c r="AP83" s="23">
        <v>5</v>
      </c>
      <c r="AQ83" s="23">
        <v>5</v>
      </c>
      <c r="AR83" s="23">
        <v>5</v>
      </c>
      <c r="AS83" s="23">
        <v>5</v>
      </c>
      <c r="AT83" s="23">
        <v>5</v>
      </c>
      <c r="AU83" s="23">
        <v>5</v>
      </c>
      <c r="AV83" s="23">
        <v>-100</v>
      </c>
      <c r="AW83" s="23">
        <v>5</v>
      </c>
      <c r="AX83" s="23">
        <v>5</v>
      </c>
      <c r="AY83" s="23">
        <v>5</v>
      </c>
      <c r="AZ83" s="23">
        <v>5</v>
      </c>
      <c r="BA83" s="23">
        <v>5</v>
      </c>
      <c r="BB83" s="23">
        <v>5</v>
      </c>
      <c r="BC83" s="23">
        <v>5</v>
      </c>
      <c r="BD83" s="23">
        <v>5</v>
      </c>
      <c r="BE83" s="23">
        <v>5</v>
      </c>
      <c r="BF83" s="23">
        <v>5</v>
      </c>
      <c r="BG83" s="23">
        <v>5</v>
      </c>
      <c r="BH83" s="23">
        <v>-100</v>
      </c>
      <c r="BI83" s="23">
        <v>-100</v>
      </c>
      <c r="BJ83" s="23">
        <v>-100</v>
      </c>
      <c r="BK83" s="23">
        <v>-100</v>
      </c>
      <c r="BL83" s="23">
        <v>-100</v>
      </c>
      <c r="BM83" s="23">
        <v>-100</v>
      </c>
      <c r="BN83" s="23">
        <v>-100</v>
      </c>
      <c r="BO83" s="23">
        <v>-100</v>
      </c>
    </row>
    <row r="84" spans="1:67" x14ac:dyDescent="0.25">
      <c r="A84" s="22">
        <f>1</f>
        <v>1</v>
      </c>
      <c r="B84" t="s">
        <v>85</v>
      </c>
      <c r="C84">
        <v>100</v>
      </c>
      <c r="D84" s="21" t="s">
        <v>3</v>
      </c>
      <c r="E84" t="s">
        <v>256</v>
      </c>
      <c r="F84" t="s">
        <v>306</v>
      </c>
      <c r="G84" s="21">
        <f>COUNTIF(SCourse[Course],SCourse[[#This Row],[Course]])</f>
        <v>1</v>
      </c>
      <c r="I84" s="21">
        <f>COUNTIF(SCourse[Block],SCourse[[#This Row],[Block]])</f>
        <v>0</v>
      </c>
      <c r="J84" s="21">
        <v>1</v>
      </c>
      <c r="K84" s="21">
        <v>0</v>
      </c>
      <c r="L84" s="21">
        <v>0</v>
      </c>
      <c r="M84" s="21">
        <v>0</v>
      </c>
      <c r="N84" s="21">
        <v>0</v>
      </c>
      <c r="O84" s="21">
        <v>0</v>
      </c>
      <c r="P84" s="21">
        <v>0</v>
      </c>
      <c r="Q84" s="21">
        <v>0</v>
      </c>
      <c r="R84" s="21">
        <v>0</v>
      </c>
      <c r="S84" s="21">
        <v>0</v>
      </c>
      <c r="T84" s="21">
        <v>0</v>
      </c>
      <c r="U84" s="21">
        <v>0</v>
      </c>
      <c r="V84" s="21">
        <v>0</v>
      </c>
      <c r="W84" s="21">
        <v>0</v>
      </c>
      <c r="X84" s="21">
        <v>-100</v>
      </c>
      <c r="Y84" s="21">
        <v>0</v>
      </c>
      <c r="Z84" s="21">
        <v>0</v>
      </c>
      <c r="AA84" s="21">
        <v>0</v>
      </c>
      <c r="AB84" s="21">
        <v>0</v>
      </c>
      <c r="AC84" s="21">
        <v>0</v>
      </c>
      <c r="AD84" s="21">
        <v>0</v>
      </c>
      <c r="AE84" s="21">
        <v>0</v>
      </c>
      <c r="AF84" s="21">
        <v>0</v>
      </c>
      <c r="AG84" s="21">
        <v>0</v>
      </c>
      <c r="AH84" s="21">
        <v>0</v>
      </c>
      <c r="AI84" s="21">
        <v>0</v>
      </c>
      <c r="AJ84" s="21">
        <v>0</v>
      </c>
      <c r="AK84" s="21">
        <v>0</v>
      </c>
      <c r="AL84" s="21">
        <v>0</v>
      </c>
      <c r="AM84" s="21">
        <v>0</v>
      </c>
      <c r="AN84" s="23">
        <v>5</v>
      </c>
      <c r="AO84" s="23">
        <v>5</v>
      </c>
      <c r="AP84" s="23">
        <v>5</v>
      </c>
      <c r="AQ84" s="23">
        <v>5</v>
      </c>
      <c r="AR84" s="23">
        <v>5</v>
      </c>
      <c r="AS84" s="23">
        <v>5</v>
      </c>
      <c r="AT84" s="23">
        <v>5</v>
      </c>
      <c r="AU84" s="23">
        <v>5</v>
      </c>
      <c r="AV84" s="23">
        <v>5</v>
      </c>
      <c r="AW84" s="23">
        <v>5</v>
      </c>
      <c r="AX84" s="23">
        <v>5</v>
      </c>
      <c r="AY84" s="23">
        <v>5</v>
      </c>
      <c r="AZ84" s="23">
        <v>-100</v>
      </c>
      <c r="BA84" s="23">
        <v>5</v>
      </c>
      <c r="BB84" s="23">
        <v>5</v>
      </c>
      <c r="BC84" s="23">
        <v>5</v>
      </c>
      <c r="BD84" s="23">
        <v>5</v>
      </c>
      <c r="BE84" s="23">
        <v>5</v>
      </c>
      <c r="BF84" s="23">
        <v>5</v>
      </c>
      <c r="BG84" s="23">
        <v>5</v>
      </c>
      <c r="BH84" s="23">
        <v>-100</v>
      </c>
      <c r="BI84" s="23">
        <v>-100</v>
      </c>
      <c r="BJ84" s="23">
        <v>-100</v>
      </c>
      <c r="BK84" s="23">
        <v>-100</v>
      </c>
      <c r="BL84" s="23">
        <v>-100</v>
      </c>
      <c r="BM84" s="23">
        <v>-100</v>
      </c>
      <c r="BN84" s="23">
        <v>-100</v>
      </c>
      <c r="BO84" s="23">
        <v>-100</v>
      </c>
    </row>
    <row r="85" spans="1:67" x14ac:dyDescent="0.25">
      <c r="A85" s="22">
        <f>1</f>
        <v>1</v>
      </c>
      <c r="B85" t="s">
        <v>86</v>
      </c>
      <c r="C85">
        <v>100</v>
      </c>
      <c r="D85" s="21" t="s">
        <v>3</v>
      </c>
      <c r="E85" t="s">
        <v>257</v>
      </c>
      <c r="F85" t="s">
        <v>309</v>
      </c>
      <c r="G85" s="21">
        <f>COUNTIF(SCourse[Course],SCourse[[#This Row],[Course]])</f>
        <v>1</v>
      </c>
      <c r="I85" s="21">
        <f>COUNTIF(SCourse[Block],SCourse[[#This Row],[Block]])</f>
        <v>0</v>
      </c>
      <c r="J85" s="21">
        <v>1</v>
      </c>
      <c r="K85" s="21">
        <v>0</v>
      </c>
      <c r="L85" s="21">
        <v>0</v>
      </c>
      <c r="M85" s="21">
        <v>0</v>
      </c>
      <c r="N85" s="21">
        <v>0</v>
      </c>
      <c r="O85" s="21">
        <v>0</v>
      </c>
      <c r="P85" s="21">
        <v>0</v>
      </c>
      <c r="Q85" s="21">
        <v>0</v>
      </c>
      <c r="R85" s="21">
        <v>0</v>
      </c>
      <c r="S85" s="21">
        <v>0</v>
      </c>
      <c r="T85" s="21">
        <v>0</v>
      </c>
      <c r="U85" s="21">
        <v>0</v>
      </c>
      <c r="V85" s="21">
        <v>0</v>
      </c>
      <c r="W85" s="21">
        <v>0</v>
      </c>
      <c r="X85" s="21">
        <v>0</v>
      </c>
      <c r="Y85" s="21">
        <v>0</v>
      </c>
      <c r="Z85" s="21">
        <v>0</v>
      </c>
      <c r="AA85" s="21">
        <v>0</v>
      </c>
      <c r="AB85" s="21">
        <v>0</v>
      </c>
      <c r="AC85" s="21">
        <v>0</v>
      </c>
      <c r="AD85" s="21">
        <v>0</v>
      </c>
      <c r="AE85" s="21">
        <v>-100</v>
      </c>
      <c r="AF85" s="21">
        <v>0</v>
      </c>
      <c r="AG85" s="21">
        <v>0</v>
      </c>
      <c r="AH85" s="21">
        <v>0</v>
      </c>
      <c r="AI85" s="21">
        <v>0</v>
      </c>
      <c r="AJ85" s="21">
        <v>0</v>
      </c>
      <c r="AK85" s="21">
        <v>0</v>
      </c>
      <c r="AL85" s="21">
        <v>0</v>
      </c>
      <c r="AM85" s="21">
        <v>0</v>
      </c>
      <c r="AN85" s="23">
        <v>5</v>
      </c>
      <c r="AO85" s="23">
        <v>5</v>
      </c>
      <c r="AP85" s="23">
        <v>5</v>
      </c>
      <c r="AQ85" s="23">
        <v>5</v>
      </c>
      <c r="AR85" s="23">
        <v>5</v>
      </c>
      <c r="AS85" s="23">
        <v>5</v>
      </c>
      <c r="AT85" s="23">
        <v>5</v>
      </c>
      <c r="AU85" s="23">
        <v>5</v>
      </c>
      <c r="AV85" s="23">
        <v>5</v>
      </c>
      <c r="AW85" s="23">
        <v>5</v>
      </c>
      <c r="AX85" s="23">
        <v>5</v>
      </c>
      <c r="AY85" s="23">
        <v>5</v>
      </c>
      <c r="AZ85" s="23">
        <v>5</v>
      </c>
      <c r="BA85" s="23">
        <v>5</v>
      </c>
      <c r="BB85" s="23">
        <v>5</v>
      </c>
      <c r="BC85" s="23">
        <v>5</v>
      </c>
      <c r="BD85" s="23">
        <v>5</v>
      </c>
      <c r="BE85" s="23">
        <v>5</v>
      </c>
      <c r="BF85" s="23">
        <v>5</v>
      </c>
      <c r="BG85" s="23">
        <v>-100</v>
      </c>
      <c r="BH85" s="23">
        <v>-100</v>
      </c>
      <c r="BI85" s="23">
        <v>-100</v>
      </c>
      <c r="BJ85" s="23">
        <v>-100</v>
      </c>
      <c r="BK85" s="23">
        <v>-100</v>
      </c>
      <c r="BL85" s="23">
        <v>-100</v>
      </c>
      <c r="BM85" s="23">
        <v>-100</v>
      </c>
      <c r="BN85" s="23">
        <v>-100</v>
      </c>
      <c r="BO85" s="23">
        <v>-100</v>
      </c>
    </row>
    <row r="86" spans="1:67" x14ac:dyDescent="0.25">
      <c r="A86" s="22">
        <f>1</f>
        <v>1</v>
      </c>
      <c r="B86" t="s">
        <v>87</v>
      </c>
      <c r="C86">
        <v>100</v>
      </c>
      <c r="D86" s="21" t="s">
        <v>3</v>
      </c>
      <c r="E86" t="s">
        <v>258</v>
      </c>
      <c r="F86" t="s">
        <v>340</v>
      </c>
      <c r="G86" s="21">
        <f>COUNTIF(SCourse[Course],SCourse[[#This Row],[Course]])</f>
        <v>1</v>
      </c>
      <c r="I86" s="21">
        <f>COUNTIF(SCourse[Block],SCourse[[#This Row],[Block]])</f>
        <v>0</v>
      </c>
      <c r="J86" s="21">
        <v>1</v>
      </c>
      <c r="K86" s="21">
        <v>0</v>
      </c>
      <c r="L86" s="21">
        <v>0</v>
      </c>
      <c r="M86" s="21">
        <v>0</v>
      </c>
      <c r="N86" s="21">
        <v>0</v>
      </c>
      <c r="O86" s="21">
        <v>0</v>
      </c>
      <c r="P86" s="21">
        <v>0</v>
      </c>
      <c r="Q86" s="21">
        <v>0</v>
      </c>
      <c r="R86" s="21">
        <v>0</v>
      </c>
      <c r="S86" s="21">
        <v>0</v>
      </c>
      <c r="T86" s="21">
        <v>0</v>
      </c>
      <c r="U86" s="21">
        <v>0</v>
      </c>
      <c r="V86" s="21">
        <v>0</v>
      </c>
      <c r="W86" s="21">
        <v>0</v>
      </c>
      <c r="X86" s="21">
        <v>0</v>
      </c>
      <c r="Y86" s="21">
        <v>0</v>
      </c>
      <c r="Z86" s="21">
        <v>0</v>
      </c>
      <c r="AA86" s="21">
        <v>0</v>
      </c>
      <c r="AB86" s="21">
        <v>0</v>
      </c>
      <c r="AC86" s="21">
        <v>0</v>
      </c>
      <c r="AD86" s="21">
        <v>0</v>
      </c>
      <c r="AE86" s="21">
        <v>0</v>
      </c>
      <c r="AF86" s="21">
        <v>0</v>
      </c>
      <c r="AG86" s="21">
        <v>-100</v>
      </c>
      <c r="AH86" s="21">
        <v>0</v>
      </c>
      <c r="AI86" s="21">
        <v>0</v>
      </c>
      <c r="AJ86" s="21">
        <v>0</v>
      </c>
      <c r="AK86" s="21">
        <v>0</v>
      </c>
      <c r="AL86" s="21">
        <v>0</v>
      </c>
      <c r="AM86" s="21">
        <v>0</v>
      </c>
      <c r="AN86" s="23">
        <v>5</v>
      </c>
      <c r="AO86" s="23">
        <v>5</v>
      </c>
      <c r="AP86" s="23">
        <v>5</v>
      </c>
      <c r="AQ86" s="23">
        <v>5</v>
      </c>
      <c r="AR86" s="23">
        <v>5</v>
      </c>
      <c r="AS86" s="23">
        <v>5</v>
      </c>
      <c r="AT86" s="23">
        <v>5</v>
      </c>
      <c r="AU86" s="23">
        <v>5</v>
      </c>
      <c r="AV86" s="23">
        <v>5</v>
      </c>
      <c r="AW86" s="23">
        <v>5</v>
      </c>
      <c r="AX86" s="23">
        <v>5</v>
      </c>
      <c r="AY86" s="23">
        <v>5</v>
      </c>
      <c r="AZ86" s="23">
        <v>5</v>
      </c>
      <c r="BA86" s="23">
        <v>5</v>
      </c>
      <c r="BB86" s="23">
        <v>5</v>
      </c>
      <c r="BC86" s="23">
        <v>5</v>
      </c>
      <c r="BD86" s="23">
        <v>5</v>
      </c>
      <c r="BE86" s="23">
        <v>5</v>
      </c>
      <c r="BF86" s="23">
        <v>5</v>
      </c>
      <c r="BG86" s="23">
        <v>5</v>
      </c>
      <c r="BH86" s="23">
        <v>-100</v>
      </c>
      <c r="BI86" s="23">
        <v>-100</v>
      </c>
      <c r="BJ86" s="23">
        <v>-100</v>
      </c>
      <c r="BK86" s="23">
        <v>-100</v>
      </c>
      <c r="BL86" s="23">
        <v>-100</v>
      </c>
      <c r="BM86" s="23">
        <v>-100</v>
      </c>
      <c r="BN86" s="23">
        <v>-100</v>
      </c>
      <c r="BO86" s="23">
        <v>-100</v>
      </c>
    </row>
    <row r="87" spans="1:67" x14ac:dyDescent="0.25">
      <c r="A87" s="22">
        <f>1</f>
        <v>1</v>
      </c>
      <c r="B87" t="s">
        <v>88</v>
      </c>
      <c r="C87">
        <v>100</v>
      </c>
      <c r="D87" s="21" t="s">
        <v>3</v>
      </c>
      <c r="E87" t="s">
        <v>259</v>
      </c>
      <c r="F87" t="s">
        <v>329</v>
      </c>
      <c r="G87" s="21">
        <f>COUNTIF(SCourse[Course],SCourse[[#This Row],[Course]])</f>
        <v>1</v>
      </c>
      <c r="I87" s="21">
        <f>COUNTIF(SCourse[Block],SCourse[[#This Row],[Block]])</f>
        <v>0</v>
      </c>
      <c r="J87" s="21">
        <v>1</v>
      </c>
      <c r="K87" s="21">
        <v>0</v>
      </c>
      <c r="L87" s="21">
        <v>0</v>
      </c>
      <c r="M87" s="21">
        <v>0</v>
      </c>
      <c r="N87" s="21">
        <v>0</v>
      </c>
      <c r="O87" s="21">
        <v>0</v>
      </c>
      <c r="P87" s="21">
        <v>0</v>
      </c>
      <c r="Q87" s="21">
        <v>0</v>
      </c>
      <c r="R87" s="21">
        <v>0</v>
      </c>
      <c r="S87" s="21">
        <v>0</v>
      </c>
      <c r="T87" s="21">
        <v>0</v>
      </c>
      <c r="U87" s="21">
        <v>0</v>
      </c>
      <c r="V87" s="21">
        <v>0</v>
      </c>
      <c r="W87" s="21">
        <v>0</v>
      </c>
      <c r="X87" s="21">
        <v>0</v>
      </c>
      <c r="Y87" s="21">
        <v>0</v>
      </c>
      <c r="Z87" s="21">
        <v>0</v>
      </c>
      <c r="AA87" s="21">
        <v>-100</v>
      </c>
      <c r="AB87" s="21">
        <v>0</v>
      </c>
      <c r="AC87" s="21">
        <v>0</v>
      </c>
      <c r="AD87" s="21">
        <v>0</v>
      </c>
      <c r="AE87" s="21">
        <v>0</v>
      </c>
      <c r="AF87" s="21">
        <v>0</v>
      </c>
      <c r="AG87" s="21">
        <v>0</v>
      </c>
      <c r="AH87" s="21">
        <v>0</v>
      </c>
      <c r="AI87" s="21">
        <v>0</v>
      </c>
      <c r="AJ87" s="21">
        <v>0</v>
      </c>
      <c r="AK87" s="21">
        <v>0</v>
      </c>
      <c r="AL87" s="21">
        <v>0</v>
      </c>
      <c r="AM87" s="21">
        <v>0</v>
      </c>
      <c r="AN87" s="23">
        <v>5</v>
      </c>
      <c r="AO87" s="23">
        <v>5</v>
      </c>
      <c r="AP87" s="23">
        <v>5</v>
      </c>
      <c r="AQ87" s="23">
        <v>5</v>
      </c>
      <c r="AR87" s="23">
        <v>5</v>
      </c>
      <c r="AS87" s="23">
        <v>5</v>
      </c>
      <c r="AT87" s="23">
        <v>5</v>
      </c>
      <c r="AU87" s="23">
        <v>5</v>
      </c>
      <c r="AV87" s="23">
        <v>5</v>
      </c>
      <c r="AW87" s="23">
        <v>5</v>
      </c>
      <c r="AX87" s="23">
        <v>5</v>
      </c>
      <c r="AY87" s="23">
        <v>5</v>
      </c>
      <c r="AZ87" s="23">
        <v>5</v>
      </c>
      <c r="BA87" s="23">
        <v>5</v>
      </c>
      <c r="BB87" s="23">
        <v>5</v>
      </c>
      <c r="BC87" s="23">
        <v>-100</v>
      </c>
      <c r="BD87" s="23">
        <v>5</v>
      </c>
      <c r="BE87" s="23">
        <v>5</v>
      </c>
      <c r="BF87" s="23">
        <v>5</v>
      </c>
      <c r="BG87" s="23">
        <v>5</v>
      </c>
      <c r="BH87" s="23">
        <v>-100</v>
      </c>
      <c r="BI87" s="23">
        <v>-100</v>
      </c>
      <c r="BJ87" s="23">
        <v>-100</v>
      </c>
      <c r="BK87" s="23">
        <v>-100</v>
      </c>
      <c r="BL87" s="23">
        <v>-100</v>
      </c>
      <c r="BM87" s="23">
        <v>-100</v>
      </c>
      <c r="BN87" s="23">
        <v>-100</v>
      </c>
      <c r="BO87" s="23">
        <v>-100</v>
      </c>
    </row>
    <row r="88" spans="1:67" x14ac:dyDescent="0.25">
      <c r="A88" s="22">
        <f>1</f>
        <v>1</v>
      </c>
      <c r="B88" t="s">
        <v>89</v>
      </c>
      <c r="C88">
        <v>100</v>
      </c>
      <c r="D88" s="21" t="s">
        <v>3</v>
      </c>
      <c r="E88" t="s">
        <v>260</v>
      </c>
      <c r="F88" t="s">
        <v>310</v>
      </c>
      <c r="G88" s="21">
        <f>COUNTIF(SCourse[Course],SCourse[[#This Row],[Course]])</f>
        <v>1</v>
      </c>
      <c r="I88" s="21">
        <f>COUNTIF(SCourse[Block],SCourse[[#This Row],[Block]])</f>
        <v>0</v>
      </c>
      <c r="J88" s="21">
        <v>1</v>
      </c>
      <c r="K88" s="21">
        <v>0</v>
      </c>
      <c r="L88" s="21">
        <v>0</v>
      </c>
      <c r="M88" s="21">
        <v>0</v>
      </c>
      <c r="N88" s="21">
        <v>0</v>
      </c>
      <c r="O88" s="21">
        <v>0</v>
      </c>
      <c r="P88" s="21">
        <v>0</v>
      </c>
      <c r="Q88" s="21">
        <v>0</v>
      </c>
      <c r="R88" s="21">
        <v>0</v>
      </c>
      <c r="S88" s="21">
        <v>0</v>
      </c>
      <c r="T88" s="21">
        <v>0</v>
      </c>
      <c r="U88" s="21">
        <v>0</v>
      </c>
      <c r="V88" s="21">
        <v>0</v>
      </c>
      <c r="W88" s="21">
        <v>0</v>
      </c>
      <c r="X88" s="21">
        <v>0</v>
      </c>
      <c r="Y88" s="21">
        <v>0</v>
      </c>
      <c r="Z88" s="21">
        <v>0</v>
      </c>
      <c r="AA88" s="21">
        <v>0</v>
      </c>
      <c r="AB88" s="21">
        <v>0</v>
      </c>
      <c r="AC88" s="21">
        <v>0</v>
      </c>
      <c r="AD88" s="21">
        <v>0</v>
      </c>
      <c r="AE88" s="21">
        <v>0</v>
      </c>
      <c r="AF88" s="21">
        <v>-100</v>
      </c>
      <c r="AG88" s="21">
        <v>0</v>
      </c>
      <c r="AH88" s="21">
        <v>0</v>
      </c>
      <c r="AI88" s="21">
        <v>0</v>
      </c>
      <c r="AJ88" s="21">
        <v>0</v>
      </c>
      <c r="AK88" s="21">
        <v>0</v>
      </c>
      <c r="AL88" s="21">
        <v>0</v>
      </c>
      <c r="AM88" s="21">
        <v>0</v>
      </c>
      <c r="AN88" s="23">
        <v>5</v>
      </c>
      <c r="AO88" s="23">
        <v>5</v>
      </c>
      <c r="AP88" s="23">
        <v>5</v>
      </c>
      <c r="AQ88" s="23">
        <v>5</v>
      </c>
      <c r="AR88" s="23">
        <v>5</v>
      </c>
      <c r="AS88" s="23">
        <v>5</v>
      </c>
      <c r="AT88" s="23">
        <v>5</v>
      </c>
      <c r="AU88" s="23">
        <v>5</v>
      </c>
      <c r="AV88" s="23">
        <v>5</v>
      </c>
      <c r="AW88" s="23">
        <v>5</v>
      </c>
      <c r="AX88" s="23">
        <v>5</v>
      </c>
      <c r="AY88" s="23">
        <v>5</v>
      </c>
      <c r="AZ88" s="23">
        <v>5</v>
      </c>
      <c r="BA88" s="23">
        <v>5</v>
      </c>
      <c r="BB88" s="23">
        <v>5</v>
      </c>
      <c r="BC88" s="23">
        <v>5</v>
      </c>
      <c r="BD88" s="23">
        <v>5</v>
      </c>
      <c r="BE88" s="23">
        <v>5</v>
      </c>
      <c r="BF88" s="23">
        <v>5</v>
      </c>
      <c r="BG88" s="23">
        <v>5</v>
      </c>
      <c r="BH88" s="23">
        <v>-100</v>
      </c>
      <c r="BI88" s="23">
        <v>-100</v>
      </c>
      <c r="BJ88" s="23">
        <v>-100</v>
      </c>
      <c r="BK88" s="23">
        <v>-100</v>
      </c>
      <c r="BL88" s="23">
        <v>-100</v>
      </c>
      <c r="BM88" s="23">
        <v>-100</v>
      </c>
      <c r="BN88" s="23">
        <v>-100</v>
      </c>
      <c r="BO88" s="23">
        <v>-100</v>
      </c>
    </row>
    <row r="89" spans="1:67" x14ac:dyDescent="0.25">
      <c r="A89" s="22">
        <f>1</f>
        <v>1</v>
      </c>
      <c r="B89" t="s">
        <v>90</v>
      </c>
      <c r="C89">
        <v>100</v>
      </c>
      <c r="D89" s="21" t="s">
        <v>3</v>
      </c>
      <c r="E89" t="s">
        <v>261</v>
      </c>
      <c r="F89" t="s">
        <v>335</v>
      </c>
      <c r="G89" s="21">
        <f>COUNTIF(SCourse[Course],SCourse[[#This Row],[Course]])</f>
        <v>1</v>
      </c>
      <c r="I89" s="21">
        <f>COUNTIF(SCourse[Block],SCourse[[#This Row],[Block]])</f>
        <v>0</v>
      </c>
      <c r="J89" s="21">
        <v>1</v>
      </c>
      <c r="K89" s="21">
        <v>0</v>
      </c>
      <c r="L89" s="21">
        <v>0</v>
      </c>
      <c r="M89" s="21">
        <v>-100</v>
      </c>
      <c r="N89" s="21">
        <v>0</v>
      </c>
      <c r="O89" s="21">
        <v>0</v>
      </c>
      <c r="P89" s="21">
        <v>0</v>
      </c>
      <c r="Q89" s="21">
        <v>0</v>
      </c>
      <c r="R89" s="21">
        <v>0</v>
      </c>
      <c r="S89" s="21">
        <v>0</v>
      </c>
      <c r="T89" s="21">
        <v>0</v>
      </c>
      <c r="U89" s="21">
        <v>0</v>
      </c>
      <c r="V89" s="21">
        <v>0</v>
      </c>
      <c r="W89" s="21">
        <v>0</v>
      </c>
      <c r="X89" s="21">
        <v>0</v>
      </c>
      <c r="Y89" s="21">
        <v>0</v>
      </c>
      <c r="Z89" s="21">
        <v>0</v>
      </c>
      <c r="AA89" s="21">
        <v>0</v>
      </c>
      <c r="AB89" s="21">
        <v>0</v>
      </c>
      <c r="AC89" s="21">
        <v>0</v>
      </c>
      <c r="AD89" s="21">
        <v>0</v>
      </c>
      <c r="AE89" s="21">
        <v>0</v>
      </c>
      <c r="AF89" s="21">
        <v>0</v>
      </c>
      <c r="AG89" s="21">
        <v>0</v>
      </c>
      <c r="AH89" s="21">
        <v>0</v>
      </c>
      <c r="AI89" s="21">
        <v>0</v>
      </c>
      <c r="AJ89" s="21">
        <v>0</v>
      </c>
      <c r="AK89" s="21">
        <v>0</v>
      </c>
      <c r="AL89" s="21">
        <v>0</v>
      </c>
      <c r="AM89" s="21">
        <v>0</v>
      </c>
      <c r="AN89" s="23">
        <v>5</v>
      </c>
      <c r="AO89" s="23">
        <v>-100</v>
      </c>
      <c r="AP89" s="23">
        <v>5</v>
      </c>
      <c r="AQ89" s="23">
        <v>5</v>
      </c>
      <c r="AR89" s="23">
        <v>5</v>
      </c>
      <c r="AS89" s="23">
        <v>5</v>
      </c>
      <c r="AT89" s="23">
        <v>5</v>
      </c>
      <c r="AU89" s="23">
        <v>5</v>
      </c>
      <c r="AV89" s="23">
        <v>5</v>
      </c>
      <c r="AW89" s="23">
        <v>5</v>
      </c>
      <c r="AX89" s="23">
        <v>5</v>
      </c>
      <c r="AY89" s="23">
        <v>5</v>
      </c>
      <c r="AZ89" s="23">
        <v>5</v>
      </c>
      <c r="BA89" s="23">
        <v>5</v>
      </c>
      <c r="BB89" s="23">
        <v>5</v>
      </c>
      <c r="BC89" s="23">
        <v>5</v>
      </c>
      <c r="BD89" s="23">
        <v>5</v>
      </c>
      <c r="BE89" s="23">
        <v>5</v>
      </c>
      <c r="BF89" s="23">
        <v>5</v>
      </c>
      <c r="BG89" s="23">
        <v>5</v>
      </c>
      <c r="BH89" s="23">
        <v>-100</v>
      </c>
      <c r="BI89" s="23">
        <v>-100</v>
      </c>
      <c r="BJ89" s="23">
        <v>-100</v>
      </c>
      <c r="BK89" s="23">
        <v>-100</v>
      </c>
      <c r="BL89" s="23">
        <v>-100</v>
      </c>
      <c r="BM89" s="23">
        <v>-100</v>
      </c>
      <c r="BN89" s="23">
        <v>-100</v>
      </c>
      <c r="BO89" s="23">
        <v>-100</v>
      </c>
    </row>
    <row r="90" spans="1:67" x14ac:dyDescent="0.25">
      <c r="A90" s="22">
        <f>1</f>
        <v>1</v>
      </c>
      <c r="B90" t="s">
        <v>91</v>
      </c>
      <c r="C90">
        <v>100</v>
      </c>
      <c r="D90" s="21" t="s">
        <v>3</v>
      </c>
      <c r="E90" t="s">
        <v>262</v>
      </c>
      <c r="F90" t="s">
        <v>315</v>
      </c>
      <c r="G90" s="21">
        <f>COUNTIF(SCourse[Course],SCourse[[#This Row],[Course]])</f>
        <v>1</v>
      </c>
      <c r="I90" s="21">
        <f>COUNTIF(SCourse[Block],SCourse[[#This Row],[Block]])</f>
        <v>0</v>
      </c>
      <c r="J90" s="21">
        <v>1</v>
      </c>
      <c r="K90" s="21">
        <v>0</v>
      </c>
      <c r="L90" s="21">
        <v>0</v>
      </c>
      <c r="M90" s="21">
        <v>0</v>
      </c>
      <c r="N90" s="21">
        <v>0</v>
      </c>
      <c r="O90" s="21">
        <v>0</v>
      </c>
      <c r="P90" s="21">
        <v>0</v>
      </c>
      <c r="Q90" s="21">
        <v>0</v>
      </c>
      <c r="R90" s="21">
        <v>0</v>
      </c>
      <c r="S90" s="21">
        <v>0</v>
      </c>
      <c r="T90" s="21">
        <v>0</v>
      </c>
      <c r="U90" s="21">
        <v>0</v>
      </c>
      <c r="V90" s="21">
        <v>0</v>
      </c>
      <c r="W90" s="21">
        <v>0</v>
      </c>
      <c r="X90" s="21">
        <v>0</v>
      </c>
      <c r="Y90" s="21">
        <v>0</v>
      </c>
      <c r="Z90" s="21">
        <v>0</v>
      </c>
      <c r="AA90" s="21">
        <v>0</v>
      </c>
      <c r="AB90" s="21">
        <v>0</v>
      </c>
      <c r="AC90" s="21">
        <v>0</v>
      </c>
      <c r="AD90" s="21">
        <v>0</v>
      </c>
      <c r="AE90" s="21">
        <v>0</v>
      </c>
      <c r="AF90" s="21">
        <v>0</v>
      </c>
      <c r="AG90" s="21">
        <v>0</v>
      </c>
      <c r="AH90" s="21">
        <v>-100</v>
      </c>
      <c r="AI90" s="21">
        <v>0</v>
      </c>
      <c r="AJ90" s="21">
        <v>0</v>
      </c>
      <c r="AK90" s="21">
        <v>0</v>
      </c>
      <c r="AL90" s="21">
        <v>0</v>
      </c>
      <c r="AM90" s="21">
        <v>0</v>
      </c>
      <c r="AN90" s="23">
        <v>5</v>
      </c>
      <c r="AO90" s="23">
        <v>5</v>
      </c>
      <c r="AP90" s="23">
        <v>5</v>
      </c>
      <c r="AQ90" s="23">
        <v>5</v>
      </c>
      <c r="AR90" s="23">
        <v>5</v>
      </c>
      <c r="AS90" s="23">
        <v>5</v>
      </c>
      <c r="AT90" s="23">
        <v>5</v>
      </c>
      <c r="AU90" s="23">
        <v>5</v>
      </c>
      <c r="AV90" s="23">
        <v>5</v>
      </c>
      <c r="AW90" s="23">
        <v>5</v>
      </c>
      <c r="AX90" s="23">
        <v>5</v>
      </c>
      <c r="AY90" s="23">
        <v>5</v>
      </c>
      <c r="AZ90" s="23">
        <v>5</v>
      </c>
      <c r="BA90" s="23">
        <v>5</v>
      </c>
      <c r="BB90" s="23">
        <v>5</v>
      </c>
      <c r="BC90" s="23">
        <v>5</v>
      </c>
      <c r="BD90" s="23">
        <v>5</v>
      </c>
      <c r="BE90" s="23">
        <v>5</v>
      </c>
      <c r="BF90" s="23">
        <v>5</v>
      </c>
      <c r="BG90" s="23">
        <v>5</v>
      </c>
      <c r="BH90" s="23">
        <v>-100</v>
      </c>
      <c r="BI90" s="23">
        <v>-100</v>
      </c>
      <c r="BJ90" s="23">
        <v>-100</v>
      </c>
      <c r="BK90" s="23">
        <v>-100</v>
      </c>
      <c r="BL90" s="23">
        <v>-100</v>
      </c>
      <c r="BM90" s="23">
        <v>-100</v>
      </c>
      <c r="BN90" s="23">
        <v>-100</v>
      </c>
      <c r="BO90" s="23">
        <v>-100</v>
      </c>
    </row>
    <row r="91" spans="1:67" x14ac:dyDescent="0.25">
      <c r="A91" s="22">
        <f>1</f>
        <v>1</v>
      </c>
      <c r="B91" t="s">
        <v>92</v>
      </c>
      <c r="C91">
        <v>100</v>
      </c>
      <c r="D91" s="21" t="s">
        <v>3</v>
      </c>
      <c r="E91" t="s">
        <v>263</v>
      </c>
      <c r="F91" t="s">
        <v>316</v>
      </c>
      <c r="G91" s="21">
        <f>COUNTIF(SCourse[Course],SCourse[[#This Row],[Course]])</f>
        <v>1</v>
      </c>
      <c r="I91" s="21">
        <f>COUNTIF(SCourse[Block],SCourse[[#This Row],[Block]])</f>
        <v>0</v>
      </c>
      <c r="J91" s="21">
        <v>1</v>
      </c>
      <c r="K91" s="21">
        <v>0</v>
      </c>
      <c r="L91" s="21">
        <v>0</v>
      </c>
      <c r="M91" s="21">
        <v>0</v>
      </c>
      <c r="N91" s="21">
        <v>0</v>
      </c>
      <c r="O91" s="21">
        <v>-100</v>
      </c>
      <c r="P91" s="21">
        <v>0</v>
      </c>
      <c r="Q91" s="21">
        <v>0</v>
      </c>
      <c r="R91" s="21">
        <v>0</v>
      </c>
      <c r="S91" s="21">
        <v>0</v>
      </c>
      <c r="T91" s="21">
        <v>0</v>
      </c>
      <c r="U91" s="21">
        <v>0</v>
      </c>
      <c r="V91" s="21">
        <v>0</v>
      </c>
      <c r="W91" s="21">
        <v>0</v>
      </c>
      <c r="X91" s="21">
        <v>0</v>
      </c>
      <c r="Y91" s="21">
        <v>0</v>
      </c>
      <c r="Z91" s="21">
        <v>0</v>
      </c>
      <c r="AA91" s="21">
        <v>0</v>
      </c>
      <c r="AB91" s="21">
        <v>0</v>
      </c>
      <c r="AC91" s="21">
        <v>0</v>
      </c>
      <c r="AD91" s="21">
        <v>0</v>
      </c>
      <c r="AE91" s="21">
        <v>0</v>
      </c>
      <c r="AF91" s="21">
        <v>0</v>
      </c>
      <c r="AG91" s="21">
        <v>0</v>
      </c>
      <c r="AH91" s="21">
        <v>0</v>
      </c>
      <c r="AI91" s="21">
        <v>0</v>
      </c>
      <c r="AJ91" s="21">
        <v>0</v>
      </c>
      <c r="AK91" s="21">
        <v>0</v>
      </c>
      <c r="AL91" s="21">
        <v>0</v>
      </c>
      <c r="AM91" s="21">
        <v>0</v>
      </c>
      <c r="AN91" s="23">
        <v>5</v>
      </c>
      <c r="AO91" s="23">
        <v>5</v>
      </c>
      <c r="AP91" s="23">
        <v>5</v>
      </c>
      <c r="AQ91" s="23">
        <v>-100</v>
      </c>
      <c r="AR91" s="23">
        <v>5</v>
      </c>
      <c r="AS91" s="23">
        <v>5</v>
      </c>
      <c r="AT91" s="23">
        <v>5</v>
      </c>
      <c r="AU91" s="23">
        <v>5</v>
      </c>
      <c r="AV91" s="23">
        <v>5</v>
      </c>
      <c r="AW91" s="23">
        <v>5</v>
      </c>
      <c r="AX91" s="23">
        <v>5</v>
      </c>
      <c r="AY91" s="23">
        <v>5</v>
      </c>
      <c r="AZ91" s="23">
        <v>5</v>
      </c>
      <c r="BA91" s="23">
        <v>5</v>
      </c>
      <c r="BB91" s="23">
        <v>5</v>
      </c>
      <c r="BC91" s="23">
        <v>5</v>
      </c>
      <c r="BD91" s="23">
        <v>5</v>
      </c>
      <c r="BE91" s="23">
        <v>5</v>
      </c>
      <c r="BF91" s="23">
        <v>5</v>
      </c>
      <c r="BG91" s="23">
        <v>5</v>
      </c>
      <c r="BH91" s="23">
        <v>-100</v>
      </c>
      <c r="BI91" s="23">
        <v>-100</v>
      </c>
      <c r="BJ91" s="23">
        <v>-100</v>
      </c>
      <c r="BK91" s="23">
        <v>-100</v>
      </c>
      <c r="BL91" s="23">
        <v>-100</v>
      </c>
      <c r="BM91" s="23">
        <v>-100</v>
      </c>
      <c r="BN91" s="23">
        <v>-100</v>
      </c>
      <c r="BO91" s="23">
        <v>-100</v>
      </c>
    </row>
    <row r="92" spans="1:67" x14ac:dyDescent="0.25">
      <c r="A92" s="22">
        <f>1</f>
        <v>1</v>
      </c>
      <c r="B92" t="s">
        <v>93</v>
      </c>
      <c r="C92">
        <v>100</v>
      </c>
      <c r="D92" s="21" t="s">
        <v>3</v>
      </c>
      <c r="E92" t="s">
        <v>264</v>
      </c>
      <c r="F92" t="s">
        <v>331</v>
      </c>
      <c r="G92" s="21">
        <f>COUNTIF(SCourse[Course],SCourse[[#This Row],[Course]])</f>
        <v>1</v>
      </c>
      <c r="I92" s="21">
        <f>COUNTIF(SCourse[Block],SCourse[[#This Row],[Block]])</f>
        <v>0</v>
      </c>
      <c r="J92" s="21">
        <v>1</v>
      </c>
      <c r="K92" s="21">
        <v>0</v>
      </c>
      <c r="L92" s="21">
        <v>0</v>
      </c>
      <c r="M92" s="21">
        <v>0</v>
      </c>
      <c r="N92" s="21">
        <v>0</v>
      </c>
      <c r="O92" s="21">
        <v>0</v>
      </c>
      <c r="P92" s="21">
        <v>0</v>
      </c>
      <c r="Q92" s="21">
        <v>-100</v>
      </c>
      <c r="R92" s="21">
        <v>0</v>
      </c>
      <c r="S92" s="21">
        <v>0</v>
      </c>
      <c r="T92" s="21">
        <v>0</v>
      </c>
      <c r="U92" s="21">
        <v>0</v>
      </c>
      <c r="V92" s="21">
        <v>0</v>
      </c>
      <c r="W92" s="21">
        <v>0</v>
      </c>
      <c r="X92" s="21">
        <v>0</v>
      </c>
      <c r="Y92" s="21">
        <v>0</v>
      </c>
      <c r="Z92" s="21">
        <v>0</v>
      </c>
      <c r="AA92" s="21">
        <v>0</v>
      </c>
      <c r="AB92" s="21">
        <v>0</v>
      </c>
      <c r="AC92" s="21">
        <v>0</v>
      </c>
      <c r="AD92" s="21">
        <v>0</v>
      </c>
      <c r="AE92" s="21">
        <v>0</v>
      </c>
      <c r="AF92" s="21">
        <v>0</v>
      </c>
      <c r="AG92" s="21">
        <v>0</v>
      </c>
      <c r="AH92" s="21">
        <v>0</v>
      </c>
      <c r="AI92" s="21">
        <v>0</v>
      </c>
      <c r="AJ92" s="21">
        <v>0</v>
      </c>
      <c r="AK92" s="21">
        <v>0</v>
      </c>
      <c r="AL92" s="21">
        <v>0</v>
      </c>
      <c r="AM92" s="21">
        <v>0</v>
      </c>
      <c r="AN92" s="23">
        <v>5</v>
      </c>
      <c r="AO92" s="23">
        <v>5</v>
      </c>
      <c r="AP92" s="23">
        <v>5</v>
      </c>
      <c r="AQ92" s="23">
        <v>5</v>
      </c>
      <c r="AR92" s="23">
        <v>5</v>
      </c>
      <c r="AS92" s="23">
        <v>-100</v>
      </c>
      <c r="AT92" s="23">
        <v>5</v>
      </c>
      <c r="AU92" s="23">
        <v>5</v>
      </c>
      <c r="AV92" s="23">
        <v>5</v>
      </c>
      <c r="AW92" s="23">
        <v>5</v>
      </c>
      <c r="AX92" s="23">
        <v>5</v>
      </c>
      <c r="AY92" s="23">
        <v>5</v>
      </c>
      <c r="AZ92" s="23">
        <v>5</v>
      </c>
      <c r="BA92" s="23">
        <v>5</v>
      </c>
      <c r="BB92" s="23">
        <v>5</v>
      </c>
      <c r="BC92" s="23">
        <v>5</v>
      </c>
      <c r="BD92" s="23">
        <v>5</v>
      </c>
      <c r="BE92" s="23">
        <v>5</v>
      </c>
      <c r="BF92" s="23">
        <v>5</v>
      </c>
      <c r="BG92" s="23">
        <v>5</v>
      </c>
      <c r="BH92" s="23">
        <v>-100</v>
      </c>
      <c r="BI92" s="23">
        <v>-100</v>
      </c>
      <c r="BJ92" s="23">
        <v>-100</v>
      </c>
      <c r="BK92" s="23">
        <v>-100</v>
      </c>
      <c r="BL92" s="23">
        <v>-100</v>
      </c>
      <c r="BM92" s="23">
        <v>-100</v>
      </c>
      <c r="BN92" s="23">
        <v>-100</v>
      </c>
      <c r="BO92" s="23">
        <v>-100</v>
      </c>
    </row>
    <row r="93" spans="1:67" x14ac:dyDescent="0.25">
      <c r="A93" s="22">
        <f>1</f>
        <v>1</v>
      </c>
      <c r="B93" t="s">
        <v>94</v>
      </c>
      <c r="C93">
        <v>100</v>
      </c>
      <c r="D93" s="21" t="s">
        <v>3</v>
      </c>
      <c r="E93" t="s">
        <v>265</v>
      </c>
      <c r="F93" t="s">
        <v>330</v>
      </c>
      <c r="G93" s="21">
        <f>COUNTIF(SCourse[Course],SCourse[[#This Row],[Course]])</f>
        <v>1</v>
      </c>
      <c r="I93" s="21">
        <f>COUNTIF(SCourse[Block],SCourse[[#This Row],[Block]])</f>
        <v>0</v>
      </c>
      <c r="J93" s="21">
        <v>6</v>
      </c>
      <c r="K93" s="21">
        <v>0</v>
      </c>
      <c r="L93" s="21">
        <v>0</v>
      </c>
      <c r="M93" s="21">
        <v>0</v>
      </c>
      <c r="N93" s="21">
        <v>0</v>
      </c>
      <c r="O93" s="21">
        <v>0</v>
      </c>
      <c r="P93" s="21">
        <v>-100</v>
      </c>
      <c r="Q93" s="21">
        <v>0</v>
      </c>
      <c r="R93" s="21">
        <v>0</v>
      </c>
      <c r="S93" s="21">
        <v>20</v>
      </c>
      <c r="T93" s="21">
        <v>0</v>
      </c>
      <c r="U93" s="21">
        <v>0</v>
      </c>
      <c r="V93" s="21">
        <v>0</v>
      </c>
      <c r="W93" s="21">
        <v>0</v>
      </c>
      <c r="X93" s="21">
        <v>20</v>
      </c>
      <c r="Y93" s="21">
        <v>0</v>
      </c>
      <c r="Z93" s="21">
        <v>0</v>
      </c>
      <c r="AA93" s="21">
        <v>0</v>
      </c>
      <c r="AB93" s="21">
        <v>0</v>
      </c>
      <c r="AC93" s="21">
        <v>0</v>
      </c>
      <c r="AD93" s="21">
        <v>20</v>
      </c>
      <c r="AE93" s="21">
        <v>0</v>
      </c>
      <c r="AF93" s="21">
        <v>0</v>
      </c>
      <c r="AG93" s="21">
        <v>0</v>
      </c>
      <c r="AH93" s="21">
        <v>20</v>
      </c>
      <c r="AI93" s="21">
        <v>0</v>
      </c>
      <c r="AJ93" s="21">
        <v>0</v>
      </c>
      <c r="AK93" s="21">
        <v>0</v>
      </c>
      <c r="AL93" s="21">
        <v>0</v>
      </c>
      <c r="AM93" s="21">
        <v>20</v>
      </c>
      <c r="AN93" s="23">
        <v>0</v>
      </c>
      <c r="AO93" s="23">
        <v>0</v>
      </c>
      <c r="AP93" s="23">
        <v>0</v>
      </c>
      <c r="AQ93" s="23">
        <v>0</v>
      </c>
      <c r="AR93" s="23">
        <v>-100</v>
      </c>
      <c r="AS93" s="23">
        <v>0</v>
      </c>
      <c r="AT93" s="23">
        <v>0</v>
      </c>
      <c r="AU93" s="23">
        <v>20</v>
      </c>
      <c r="AV93" s="23">
        <v>0</v>
      </c>
      <c r="AW93" s="23">
        <v>0</v>
      </c>
      <c r="AX93" s="23">
        <v>0</v>
      </c>
      <c r="AY93" s="23">
        <v>0</v>
      </c>
      <c r="AZ93" s="23">
        <v>20</v>
      </c>
      <c r="BA93" s="23">
        <v>0</v>
      </c>
      <c r="BB93" s="23">
        <v>0</v>
      </c>
      <c r="BC93" s="23">
        <v>0</v>
      </c>
      <c r="BD93" s="23">
        <v>0</v>
      </c>
      <c r="BE93" s="23">
        <v>0</v>
      </c>
      <c r="BF93" s="23">
        <v>20</v>
      </c>
      <c r="BG93" s="23">
        <v>0</v>
      </c>
      <c r="BH93" s="23">
        <v>-100</v>
      </c>
      <c r="BI93" s="23">
        <v>-100</v>
      </c>
      <c r="BJ93" s="23">
        <v>-100</v>
      </c>
      <c r="BK93" s="23">
        <v>-100</v>
      </c>
      <c r="BL93" s="23">
        <v>-100</v>
      </c>
      <c r="BM93" s="23">
        <v>-100</v>
      </c>
      <c r="BN93" s="23">
        <v>-100</v>
      </c>
      <c r="BO93" s="23">
        <v>-100</v>
      </c>
    </row>
    <row r="94" spans="1:67" x14ac:dyDescent="0.25">
      <c r="A94" s="22">
        <f>1</f>
        <v>1</v>
      </c>
      <c r="B94" t="s">
        <v>95</v>
      </c>
      <c r="C94">
        <v>100</v>
      </c>
      <c r="D94" s="21" t="s">
        <v>3</v>
      </c>
      <c r="E94" t="s">
        <v>266</v>
      </c>
      <c r="F94" t="s">
        <v>320</v>
      </c>
      <c r="G94" s="21">
        <f>COUNTIF(SCourse[Course],SCourse[[#This Row],[Course]])</f>
        <v>1</v>
      </c>
      <c r="I94" s="21">
        <f>COUNTIF(SCourse[Block],SCourse[[#This Row],[Block]])</f>
        <v>0</v>
      </c>
      <c r="J94" s="21">
        <v>1</v>
      </c>
      <c r="K94" s="21">
        <v>0</v>
      </c>
      <c r="L94" s="21">
        <v>0</v>
      </c>
      <c r="M94" s="21">
        <v>0</v>
      </c>
      <c r="N94" s="21">
        <v>0</v>
      </c>
      <c r="O94" s="21">
        <v>0</v>
      </c>
      <c r="P94" s="21">
        <v>0</v>
      </c>
      <c r="Q94" s="21">
        <v>0</v>
      </c>
      <c r="R94" s="21">
        <v>0</v>
      </c>
      <c r="S94" s="21">
        <v>0</v>
      </c>
      <c r="T94" s="21">
        <v>0</v>
      </c>
      <c r="U94" s="21">
        <v>0</v>
      </c>
      <c r="V94" s="21">
        <v>0</v>
      </c>
      <c r="W94" s="21">
        <v>0</v>
      </c>
      <c r="X94" s="21">
        <v>0</v>
      </c>
      <c r="Y94" s="21">
        <v>0</v>
      </c>
      <c r="Z94" s="21">
        <v>0</v>
      </c>
      <c r="AA94" s="21">
        <v>0</v>
      </c>
      <c r="AB94" s="21">
        <v>-100</v>
      </c>
      <c r="AC94" s="21">
        <v>0</v>
      </c>
      <c r="AD94" s="21">
        <v>0</v>
      </c>
      <c r="AE94" s="21">
        <v>0</v>
      </c>
      <c r="AF94" s="21">
        <v>0</v>
      </c>
      <c r="AG94" s="21">
        <v>0</v>
      </c>
      <c r="AH94" s="21">
        <v>0</v>
      </c>
      <c r="AI94" s="21">
        <v>0</v>
      </c>
      <c r="AJ94" s="21">
        <v>0</v>
      </c>
      <c r="AK94" s="21">
        <v>0</v>
      </c>
      <c r="AL94" s="21">
        <v>0</v>
      </c>
      <c r="AM94" s="21">
        <v>0</v>
      </c>
      <c r="AN94" s="23">
        <v>5</v>
      </c>
      <c r="AO94" s="23">
        <v>5</v>
      </c>
      <c r="AP94" s="23">
        <v>5</v>
      </c>
      <c r="AQ94" s="23">
        <v>5</v>
      </c>
      <c r="AR94" s="23">
        <v>5</v>
      </c>
      <c r="AS94" s="23">
        <v>5</v>
      </c>
      <c r="AT94" s="23">
        <v>5</v>
      </c>
      <c r="AU94" s="23">
        <v>5</v>
      </c>
      <c r="AV94" s="23">
        <v>5</v>
      </c>
      <c r="AW94" s="23">
        <v>5</v>
      </c>
      <c r="AX94" s="23">
        <v>5</v>
      </c>
      <c r="AY94" s="23">
        <v>5</v>
      </c>
      <c r="AZ94" s="23">
        <v>5</v>
      </c>
      <c r="BA94" s="23">
        <v>5</v>
      </c>
      <c r="BB94" s="23">
        <v>5</v>
      </c>
      <c r="BC94" s="23">
        <v>5</v>
      </c>
      <c r="BD94" s="23">
        <v>-100</v>
      </c>
      <c r="BE94" s="23">
        <v>5</v>
      </c>
      <c r="BF94" s="23">
        <v>5</v>
      </c>
      <c r="BG94" s="23">
        <v>5</v>
      </c>
      <c r="BH94" s="23">
        <v>-100</v>
      </c>
      <c r="BI94" s="23">
        <v>-100</v>
      </c>
      <c r="BJ94" s="23">
        <v>-100</v>
      </c>
      <c r="BK94" s="23">
        <v>-100</v>
      </c>
      <c r="BL94" s="23">
        <v>-100</v>
      </c>
      <c r="BM94" s="23">
        <v>-100</v>
      </c>
      <c r="BN94" s="23">
        <v>-100</v>
      </c>
      <c r="BO94" s="23">
        <v>-100</v>
      </c>
    </row>
    <row r="95" spans="1:67" x14ac:dyDescent="0.25">
      <c r="A95" s="22">
        <f>1</f>
        <v>1</v>
      </c>
      <c r="B95" t="s">
        <v>96</v>
      </c>
      <c r="C95">
        <v>100</v>
      </c>
      <c r="D95" s="21" t="s">
        <v>3</v>
      </c>
      <c r="E95" t="s">
        <v>267</v>
      </c>
      <c r="F95" t="s">
        <v>297</v>
      </c>
      <c r="G95" s="21">
        <f>COUNTIF(SCourse[Course],SCourse[[#This Row],[Course]])</f>
        <v>1</v>
      </c>
      <c r="I95" s="21">
        <f>COUNTIF(SCourse[Block],SCourse[[#This Row],[Block]])</f>
        <v>0</v>
      </c>
      <c r="J95" s="21">
        <v>1</v>
      </c>
      <c r="K95" s="21">
        <v>0</v>
      </c>
      <c r="L95" s="21">
        <v>0</v>
      </c>
      <c r="M95" s="21">
        <v>0</v>
      </c>
      <c r="N95" s="21">
        <v>0</v>
      </c>
      <c r="O95" s="21">
        <v>0</v>
      </c>
      <c r="P95" s="21">
        <v>0</v>
      </c>
      <c r="Q95" s="21">
        <v>0</v>
      </c>
      <c r="R95" s="21">
        <v>0</v>
      </c>
      <c r="S95" s="21">
        <v>0</v>
      </c>
      <c r="T95" s="21">
        <v>0</v>
      </c>
      <c r="U95" s="21">
        <v>0</v>
      </c>
      <c r="V95" s="21">
        <v>0</v>
      </c>
      <c r="W95" s="21">
        <v>0</v>
      </c>
      <c r="X95" s="21">
        <v>0</v>
      </c>
      <c r="Y95" s="21">
        <v>0</v>
      </c>
      <c r="Z95" s="21">
        <v>0</v>
      </c>
      <c r="AA95" s="21">
        <v>0</v>
      </c>
      <c r="AB95" s="21">
        <v>0</v>
      </c>
      <c r="AC95" s="21">
        <v>0</v>
      </c>
      <c r="AD95" s="21">
        <v>0</v>
      </c>
      <c r="AE95" s="21">
        <v>0</v>
      </c>
      <c r="AF95" s="21">
        <v>0</v>
      </c>
      <c r="AG95" s="21">
        <v>0</v>
      </c>
      <c r="AH95" s="21">
        <v>0</v>
      </c>
      <c r="AI95" s="21">
        <v>-100</v>
      </c>
      <c r="AJ95" s="21">
        <v>0</v>
      </c>
      <c r="AK95" s="21">
        <v>0</v>
      </c>
      <c r="AL95" s="21">
        <v>0</v>
      </c>
      <c r="AM95" s="21">
        <v>0</v>
      </c>
      <c r="AN95" s="23">
        <v>5</v>
      </c>
      <c r="AO95" s="23">
        <v>5</v>
      </c>
      <c r="AP95" s="23">
        <v>5</v>
      </c>
      <c r="AQ95" s="23">
        <v>5</v>
      </c>
      <c r="AR95" s="23">
        <v>5</v>
      </c>
      <c r="AS95" s="23">
        <v>5</v>
      </c>
      <c r="AT95" s="23">
        <v>5</v>
      </c>
      <c r="AU95" s="23">
        <v>5</v>
      </c>
      <c r="AV95" s="23">
        <v>5</v>
      </c>
      <c r="AW95" s="23">
        <v>5</v>
      </c>
      <c r="AX95" s="23">
        <v>5</v>
      </c>
      <c r="AY95" s="23">
        <v>5</v>
      </c>
      <c r="AZ95" s="23">
        <v>5</v>
      </c>
      <c r="BA95" s="23">
        <v>5</v>
      </c>
      <c r="BB95" s="23">
        <v>5</v>
      </c>
      <c r="BC95" s="23">
        <v>5</v>
      </c>
      <c r="BD95" s="23">
        <v>5</v>
      </c>
      <c r="BE95" s="23">
        <v>5</v>
      </c>
      <c r="BF95" s="23">
        <v>5</v>
      </c>
      <c r="BG95" s="23">
        <v>5</v>
      </c>
      <c r="BH95" s="23">
        <v>-100</v>
      </c>
      <c r="BI95" s="23">
        <v>-100</v>
      </c>
      <c r="BJ95" s="23">
        <v>-100</v>
      </c>
      <c r="BK95" s="23">
        <v>-100</v>
      </c>
      <c r="BL95" s="23">
        <v>-100</v>
      </c>
      <c r="BM95" s="23">
        <v>-100</v>
      </c>
      <c r="BN95" s="23">
        <v>-100</v>
      </c>
      <c r="BO95" s="23">
        <v>-100</v>
      </c>
    </row>
    <row r="96" spans="1:67" x14ac:dyDescent="0.25">
      <c r="A96" s="22">
        <f>1</f>
        <v>1</v>
      </c>
      <c r="B96" t="s">
        <v>97</v>
      </c>
      <c r="C96">
        <v>100</v>
      </c>
      <c r="D96" s="21" t="s">
        <v>3</v>
      </c>
      <c r="E96" t="s">
        <v>268</v>
      </c>
      <c r="F96" t="s">
        <v>322</v>
      </c>
      <c r="G96" s="21">
        <f>COUNTIF(SCourse[Course],SCourse[[#This Row],[Course]])</f>
        <v>1</v>
      </c>
      <c r="I96" s="21">
        <f>COUNTIF(SCourse[Block],SCourse[[#This Row],[Block]])</f>
        <v>0</v>
      </c>
      <c r="J96" s="21">
        <v>1</v>
      </c>
      <c r="K96" s="21">
        <v>0</v>
      </c>
      <c r="L96" s="21">
        <v>0</v>
      </c>
      <c r="M96" s="21">
        <v>0</v>
      </c>
      <c r="N96" s="21">
        <v>0</v>
      </c>
      <c r="O96" s="21">
        <v>0</v>
      </c>
      <c r="P96" s="21">
        <v>0</v>
      </c>
      <c r="Q96" s="21">
        <v>0</v>
      </c>
      <c r="R96" s="21">
        <v>0</v>
      </c>
      <c r="S96" s="21">
        <v>0</v>
      </c>
      <c r="T96" s="21">
        <v>0</v>
      </c>
      <c r="U96" s="21">
        <v>-100</v>
      </c>
      <c r="V96" s="21">
        <v>0</v>
      </c>
      <c r="W96" s="21">
        <v>0</v>
      </c>
      <c r="X96" s="21">
        <v>0</v>
      </c>
      <c r="Y96" s="21">
        <v>0</v>
      </c>
      <c r="Z96" s="21">
        <v>0</v>
      </c>
      <c r="AA96" s="21">
        <v>0</v>
      </c>
      <c r="AB96" s="21">
        <v>0</v>
      </c>
      <c r="AC96" s="21">
        <v>0</v>
      </c>
      <c r="AD96" s="21">
        <v>0</v>
      </c>
      <c r="AE96" s="21">
        <v>0</v>
      </c>
      <c r="AF96" s="21">
        <v>0</v>
      </c>
      <c r="AG96" s="21">
        <v>0</v>
      </c>
      <c r="AH96" s="21">
        <v>0</v>
      </c>
      <c r="AI96" s="21">
        <v>0</v>
      </c>
      <c r="AJ96" s="21">
        <v>0</v>
      </c>
      <c r="AK96" s="21">
        <v>0</v>
      </c>
      <c r="AL96" s="21">
        <v>0</v>
      </c>
      <c r="AM96" s="21">
        <v>0</v>
      </c>
      <c r="AN96" s="23">
        <v>5</v>
      </c>
      <c r="AO96" s="23">
        <v>5</v>
      </c>
      <c r="AP96" s="23">
        <v>5</v>
      </c>
      <c r="AQ96" s="23">
        <v>5</v>
      </c>
      <c r="AR96" s="23">
        <v>5</v>
      </c>
      <c r="AS96" s="23">
        <v>5</v>
      </c>
      <c r="AT96" s="23">
        <v>5</v>
      </c>
      <c r="AU96" s="23">
        <v>5</v>
      </c>
      <c r="AV96" s="23">
        <v>5</v>
      </c>
      <c r="AW96" s="23">
        <v>-100</v>
      </c>
      <c r="AX96" s="23">
        <v>5</v>
      </c>
      <c r="AY96" s="23">
        <v>5</v>
      </c>
      <c r="AZ96" s="23">
        <v>5</v>
      </c>
      <c r="BA96" s="23">
        <v>5</v>
      </c>
      <c r="BB96" s="23">
        <v>5</v>
      </c>
      <c r="BC96" s="23">
        <v>5</v>
      </c>
      <c r="BD96" s="23">
        <v>5</v>
      </c>
      <c r="BE96" s="23">
        <v>5</v>
      </c>
      <c r="BF96" s="23">
        <v>5</v>
      </c>
      <c r="BG96" s="23">
        <v>5</v>
      </c>
      <c r="BH96" s="23">
        <v>-100</v>
      </c>
      <c r="BI96" s="23">
        <v>-100</v>
      </c>
      <c r="BJ96" s="23">
        <v>-100</v>
      </c>
      <c r="BK96" s="23">
        <v>-100</v>
      </c>
      <c r="BL96" s="23">
        <v>-100</v>
      </c>
      <c r="BM96" s="23">
        <v>-100</v>
      </c>
      <c r="BN96" s="23">
        <v>-100</v>
      </c>
      <c r="BO96" s="23">
        <v>-100</v>
      </c>
    </row>
    <row r="97" spans="1:67" x14ac:dyDescent="0.25">
      <c r="A97" s="22">
        <f>1</f>
        <v>1</v>
      </c>
      <c r="B97" t="s">
        <v>98</v>
      </c>
      <c r="C97">
        <v>100</v>
      </c>
      <c r="D97" s="21" t="s">
        <v>3</v>
      </c>
      <c r="E97" t="s">
        <v>269</v>
      </c>
      <c r="F97" t="s">
        <v>315</v>
      </c>
      <c r="G97" s="21">
        <f>COUNTIF(SCourse[Course],SCourse[[#This Row],[Course]])</f>
        <v>1</v>
      </c>
      <c r="I97" s="21">
        <f>COUNTIF(SCourse[Block],SCourse[[#This Row],[Block]])</f>
        <v>0</v>
      </c>
      <c r="J97" s="21">
        <v>1</v>
      </c>
      <c r="K97" s="21">
        <v>0</v>
      </c>
      <c r="L97" s="21">
        <v>0</v>
      </c>
      <c r="M97" s="21">
        <v>0</v>
      </c>
      <c r="N97" s="21">
        <v>0</v>
      </c>
      <c r="O97" s="21">
        <v>0</v>
      </c>
      <c r="P97" s="21">
        <v>0</v>
      </c>
      <c r="Q97" s="21">
        <v>0</v>
      </c>
      <c r="R97" s="21">
        <v>0</v>
      </c>
      <c r="S97" s="21">
        <v>0</v>
      </c>
      <c r="T97" s="21">
        <v>0</v>
      </c>
      <c r="U97" s="21">
        <v>0</v>
      </c>
      <c r="V97" s="21">
        <v>0</v>
      </c>
      <c r="W97" s="21">
        <v>0</v>
      </c>
      <c r="X97" s="21">
        <v>0</v>
      </c>
      <c r="Y97" s="21">
        <v>0</v>
      </c>
      <c r="Z97" s="21">
        <v>0</v>
      </c>
      <c r="AA97" s="21">
        <v>0</v>
      </c>
      <c r="AB97" s="21">
        <v>0</v>
      </c>
      <c r="AC97" s="21">
        <v>0</v>
      </c>
      <c r="AD97" s="21">
        <v>0</v>
      </c>
      <c r="AE97" s="21">
        <v>0</v>
      </c>
      <c r="AF97" s="21">
        <v>0</v>
      </c>
      <c r="AG97" s="21">
        <v>0</v>
      </c>
      <c r="AH97" s="21">
        <v>-100</v>
      </c>
      <c r="AI97" s="21">
        <v>0</v>
      </c>
      <c r="AJ97" s="21">
        <v>0</v>
      </c>
      <c r="AK97" s="21">
        <v>0</v>
      </c>
      <c r="AL97" s="21">
        <v>0</v>
      </c>
      <c r="AM97" s="21">
        <v>0</v>
      </c>
      <c r="AN97" s="23">
        <v>5</v>
      </c>
      <c r="AO97" s="23">
        <v>5</v>
      </c>
      <c r="AP97" s="23">
        <v>5</v>
      </c>
      <c r="AQ97" s="23">
        <v>5</v>
      </c>
      <c r="AR97" s="23">
        <v>5</v>
      </c>
      <c r="AS97" s="23">
        <v>5</v>
      </c>
      <c r="AT97" s="23">
        <v>5</v>
      </c>
      <c r="AU97" s="23">
        <v>5</v>
      </c>
      <c r="AV97" s="23">
        <v>5</v>
      </c>
      <c r="AW97" s="23">
        <v>5</v>
      </c>
      <c r="AX97" s="23">
        <v>5</v>
      </c>
      <c r="AY97" s="23">
        <v>5</v>
      </c>
      <c r="AZ97" s="23">
        <v>5</v>
      </c>
      <c r="BA97" s="23">
        <v>5</v>
      </c>
      <c r="BB97" s="23">
        <v>5</v>
      </c>
      <c r="BC97" s="23">
        <v>5</v>
      </c>
      <c r="BD97" s="23">
        <v>5</v>
      </c>
      <c r="BE97" s="23">
        <v>5</v>
      </c>
      <c r="BF97" s="23">
        <v>5</v>
      </c>
      <c r="BG97" s="23">
        <v>5</v>
      </c>
      <c r="BH97" s="23">
        <v>-100</v>
      </c>
      <c r="BI97" s="23">
        <v>-100</v>
      </c>
      <c r="BJ97" s="23">
        <v>-100</v>
      </c>
      <c r="BK97" s="23">
        <v>-100</v>
      </c>
      <c r="BL97" s="23">
        <v>-100</v>
      </c>
      <c r="BM97" s="23">
        <v>-100</v>
      </c>
      <c r="BN97" s="23">
        <v>-100</v>
      </c>
      <c r="BO97" s="23">
        <v>-100</v>
      </c>
    </row>
    <row r="98" spans="1:67" x14ac:dyDescent="0.25">
      <c r="A98" s="22">
        <f>1</f>
        <v>1</v>
      </c>
      <c r="B98" t="s">
        <v>99</v>
      </c>
      <c r="C98">
        <v>100</v>
      </c>
      <c r="D98" s="21" t="s">
        <v>3</v>
      </c>
      <c r="E98" t="s">
        <v>270</v>
      </c>
      <c r="F98" t="s">
        <v>341</v>
      </c>
      <c r="G98" s="21">
        <f>COUNTIF(SCourse[Course],SCourse[[#This Row],[Course]])</f>
        <v>1</v>
      </c>
      <c r="I98" s="21">
        <f>COUNTIF(SCourse[Block],SCourse[[#This Row],[Block]])</f>
        <v>0</v>
      </c>
      <c r="J98" s="21">
        <v>1</v>
      </c>
      <c r="K98" s="21">
        <v>0</v>
      </c>
      <c r="L98" s="21">
        <v>0</v>
      </c>
      <c r="M98" s="21">
        <v>0</v>
      </c>
      <c r="N98" s="21">
        <v>0</v>
      </c>
      <c r="O98" s="21">
        <v>0</v>
      </c>
      <c r="P98" s="21">
        <v>0</v>
      </c>
      <c r="Q98" s="21">
        <v>0</v>
      </c>
      <c r="R98" s="21">
        <v>0</v>
      </c>
      <c r="S98" s="21">
        <v>0</v>
      </c>
      <c r="T98" s="21">
        <v>-100</v>
      </c>
      <c r="U98" s="21">
        <v>0</v>
      </c>
      <c r="V98" s="21">
        <v>0</v>
      </c>
      <c r="W98" s="21">
        <v>0</v>
      </c>
      <c r="X98" s="21">
        <v>0</v>
      </c>
      <c r="Y98" s="21">
        <v>0</v>
      </c>
      <c r="Z98" s="21">
        <v>0</v>
      </c>
      <c r="AA98" s="21">
        <v>0</v>
      </c>
      <c r="AB98" s="21">
        <v>0</v>
      </c>
      <c r="AC98" s="21">
        <v>0</v>
      </c>
      <c r="AD98" s="21">
        <v>0</v>
      </c>
      <c r="AE98" s="21">
        <v>0</v>
      </c>
      <c r="AF98" s="21">
        <v>0</v>
      </c>
      <c r="AG98" s="21">
        <v>0</v>
      </c>
      <c r="AH98" s="21">
        <v>0</v>
      </c>
      <c r="AI98" s="21">
        <v>0</v>
      </c>
      <c r="AJ98" s="21">
        <v>0</v>
      </c>
      <c r="AK98" s="21">
        <v>0</v>
      </c>
      <c r="AL98" s="21">
        <v>0</v>
      </c>
      <c r="AM98" s="21">
        <v>0</v>
      </c>
      <c r="AN98" s="23">
        <v>5</v>
      </c>
      <c r="AO98" s="23">
        <v>5</v>
      </c>
      <c r="AP98" s="23">
        <v>5</v>
      </c>
      <c r="AQ98" s="23">
        <v>5</v>
      </c>
      <c r="AR98" s="23">
        <v>5</v>
      </c>
      <c r="AS98" s="23">
        <v>5</v>
      </c>
      <c r="AT98" s="23">
        <v>5</v>
      </c>
      <c r="AU98" s="23">
        <v>5</v>
      </c>
      <c r="AV98" s="23">
        <v>-100</v>
      </c>
      <c r="AW98" s="23">
        <v>5</v>
      </c>
      <c r="AX98" s="23">
        <v>5</v>
      </c>
      <c r="AY98" s="23">
        <v>5</v>
      </c>
      <c r="AZ98" s="23">
        <v>5</v>
      </c>
      <c r="BA98" s="23">
        <v>5</v>
      </c>
      <c r="BB98" s="23">
        <v>5</v>
      </c>
      <c r="BC98" s="23">
        <v>5</v>
      </c>
      <c r="BD98" s="23">
        <v>5</v>
      </c>
      <c r="BE98" s="23">
        <v>5</v>
      </c>
      <c r="BF98" s="23">
        <v>5</v>
      </c>
      <c r="BG98" s="23">
        <v>5</v>
      </c>
      <c r="BH98" s="23">
        <v>-100</v>
      </c>
      <c r="BI98" s="23">
        <v>-100</v>
      </c>
      <c r="BJ98" s="23">
        <v>-100</v>
      </c>
      <c r="BK98" s="23">
        <v>-100</v>
      </c>
      <c r="BL98" s="23">
        <v>-100</v>
      </c>
      <c r="BM98" s="23">
        <v>-100</v>
      </c>
      <c r="BN98" s="23">
        <v>-100</v>
      </c>
      <c r="BO98" s="23">
        <v>-100</v>
      </c>
    </row>
    <row r="99" spans="1:67" x14ac:dyDescent="0.25">
      <c r="A99" s="22">
        <f>1</f>
        <v>1</v>
      </c>
      <c r="B99" t="s">
        <v>100</v>
      </c>
      <c r="C99">
        <v>100</v>
      </c>
      <c r="D99" s="21" t="s">
        <v>3</v>
      </c>
      <c r="E99" t="s">
        <v>271</v>
      </c>
      <c r="F99" t="s">
        <v>326</v>
      </c>
      <c r="G99" s="21">
        <f>COUNTIF(SCourse[Course],SCourse[[#This Row],[Course]])</f>
        <v>1</v>
      </c>
      <c r="I99" s="21">
        <f>COUNTIF(SCourse[Block],SCourse[[#This Row],[Block]])</f>
        <v>0</v>
      </c>
      <c r="J99" s="21">
        <v>1</v>
      </c>
      <c r="K99" s="21">
        <v>0</v>
      </c>
      <c r="L99" s="21">
        <v>0</v>
      </c>
      <c r="M99" s="21">
        <v>0</v>
      </c>
      <c r="N99" s="21">
        <v>-100</v>
      </c>
      <c r="O99" s="21">
        <v>0</v>
      </c>
      <c r="P99" s="21">
        <v>0</v>
      </c>
      <c r="Q99" s="21">
        <v>0</v>
      </c>
      <c r="R99" s="21">
        <v>0</v>
      </c>
      <c r="S99" s="21">
        <v>0</v>
      </c>
      <c r="T99" s="21">
        <v>0</v>
      </c>
      <c r="U99" s="21">
        <v>0</v>
      </c>
      <c r="V99" s="21">
        <v>0</v>
      </c>
      <c r="W99" s="21">
        <v>0</v>
      </c>
      <c r="X99" s="21">
        <v>0</v>
      </c>
      <c r="Y99" s="21">
        <v>0</v>
      </c>
      <c r="Z99" s="21">
        <v>0</v>
      </c>
      <c r="AA99" s="21">
        <v>0</v>
      </c>
      <c r="AB99" s="21">
        <v>0</v>
      </c>
      <c r="AC99" s="21">
        <v>0</v>
      </c>
      <c r="AD99" s="21">
        <v>0</v>
      </c>
      <c r="AE99" s="21">
        <v>0</v>
      </c>
      <c r="AF99" s="21">
        <v>0</v>
      </c>
      <c r="AG99" s="21">
        <v>0</v>
      </c>
      <c r="AH99" s="21">
        <v>0</v>
      </c>
      <c r="AI99" s="21">
        <v>0</v>
      </c>
      <c r="AJ99" s="21">
        <v>0</v>
      </c>
      <c r="AK99" s="21">
        <v>0</v>
      </c>
      <c r="AL99" s="21">
        <v>0</v>
      </c>
      <c r="AM99" s="21">
        <v>0</v>
      </c>
      <c r="AN99" s="23">
        <v>5</v>
      </c>
      <c r="AO99" s="23">
        <v>5</v>
      </c>
      <c r="AP99" s="23">
        <v>-100</v>
      </c>
      <c r="AQ99" s="23">
        <v>5</v>
      </c>
      <c r="AR99" s="23">
        <v>5</v>
      </c>
      <c r="AS99" s="23">
        <v>5</v>
      </c>
      <c r="AT99" s="23">
        <v>5</v>
      </c>
      <c r="AU99" s="23">
        <v>5</v>
      </c>
      <c r="AV99" s="23">
        <v>5</v>
      </c>
      <c r="AW99" s="23">
        <v>5</v>
      </c>
      <c r="AX99" s="23">
        <v>5</v>
      </c>
      <c r="AY99" s="23">
        <v>5</v>
      </c>
      <c r="AZ99" s="23">
        <v>5</v>
      </c>
      <c r="BA99" s="23">
        <v>5</v>
      </c>
      <c r="BB99" s="23">
        <v>5</v>
      </c>
      <c r="BC99" s="23">
        <v>5</v>
      </c>
      <c r="BD99" s="23">
        <v>5</v>
      </c>
      <c r="BE99" s="23">
        <v>5</v>
      </c>
      <c r="BF99" s="23">
        <v>5</v>
      </c>
      <c r="BG99" s="23">
        <v>5</v>
      </c>
      <c r="BH99" s="23">
        <v>-100</v>
      </c>
      <c r="BI99" s="23">
        <v>-100</v>
      </c>
      <c r="BJ99" s="23">
        <v>-100</v>
      </c>
      <c r="BK99" s="23">
        <v>-100</v>
      </c>
      <c r="BL99" s="23">
        <v>-100</v>
      </c>
      <c r="BM99" s="23">
        <v>-100</v>
      </c>
      <c r="BN99" s="23">
        <v>-100</v>
      </c>
      <c r="BO99" s="23">
        <v>-100</v>
      </c>
    </row>
    <row r="100" spans="1:67" x14ac:dyDescent="0.25">
      <c r="A100" s="22">
        <f>1</f>
        <v>1</v>
      </c>
      <c r="B100" t="s">
        <v>101</v>
      </c>
      <c r="C100">
        <v>100</v>
      </c>
      <c r="D100" s="21" t="s">
        <v>3</v>
      </c>
      <c r="E100" t="s">
        <v>272</v>
      </c>
      <c r="F100" t="s">
        <v>319</v>
      </c>
      <c r="G100" s="21">
        <f>COUNTIF(SCourse[Course],SCourse[[#This Row],[Course]])</f>
        <v>1</v>
      </c>
      <c r="I100" s="21">
        <f>COUNTIF(SCourse[Block],SCourse[[#This Row],[Block]])</f>
        <v>0</v>
      </c>
      <c r="J100" s="21">
        <v>1</v>
      </c>
      <c r="K100" s="21">
        <v>0</v>
      </c>
      <c r="L100" s="21">
        <v>0</v>
      </c>
      <c r="M100" s="21">
        <v>0</v>
      </c>
      <c r="N100" s="21">
        <v>0</v>
      </c>
      <c r="O100" s="21">
        <v>0</v>
      </c>
      <c r="P100" s="21">
        <v>0</v>
      </c>
      <c r="Q100" s="21">
        <v>0</v>
      </c>
      <c r="R100" s="21">
        <v>0</v>
      </c>
      <c r="S100" s="21">
        <v>-100</v>
      </c>
      <c r="T100" s="21">
        <v>0</v>
      </c>
      <c r="U100" s="21">
        <v>0</v>
      </c>
      <c r="V100" s="21">
        <v>0</v>
      </c>
      <c r="W100" s="21">
        <v>0</v>
      </c>
      <c r="X100" s="21">
        <v>0</v>
      </c>
      <c r="Y100" s="21">
        <v>0</v>
      </c>
      <c r="Z100" s="21">
        <v>0</v>
      </c>
      <c r="AA100" s="21">
        <v>0</v>
      </c>
      <c r="AB100" s="21">
        <v>0</v>
      </c>
      <c r="AC100" s="21">
        <v>0</v>
      </c>
      <c r="AD100" s="21">
        <v>0</v>
      </c>
      <c r="AE100" s="21">
        <v>0</v>
      </c>
      <c r="AF100" s="21">
        <v>0</v>
      </c>
      <c r="AG100" s="21">
        <v>0</v>
      </c>
      <c r="AH100" s="21">
        <v>0</v>
      </c>
      <c r="AI100" s="21">
        <v>0</v>
      </c>
      <c r="AJ100" s="21">
        <v>0</v>
      </c>
      <c r="AK100" s="21">
        <v>0</v>
      </c>
      <c r="AL100" s="21">
        <v>0</v>
      </c>
      <c r="AM100" s="21">
        <v>0</v>
      </c>
      <c r="AN100" s="23">
        <v>5</v>
      </c>
      <c r="AO100" s="23">
        <v>5</v>
      </c>
      <c r="AP100" s="23">
        <v>5</v>
      </c>
      <c r="AQ100" s="23">
        <v>5</v>
      </c>
      <c r="AR100" s="23">
        <v>5</v>
      </c>
      <c r="AS100" s="23">
        <v>5</v>
      </c>
      <c r="AT100" s="23">
        <v>5</v>
      </c>
      <c r="AU100" s="23">
        <v>-100</v>
      </c>
      <c r="AV100" s="23">
        <v>5</v>
      </c>
      <c r="AW100" s="23">
        <v>5</v>
      </c>
      <c r="AX100" s="23">
        <v>5</v>
      </c>
      <c r="AY100" s="23">
        <v>5</v>
      </c>
      <c r="AZ100" s="23">
        <v>5</v>
      </c>
      <c r="BA100" s="23">
        <v>5</v>
      </c>
      <c r="BB100" s="23">
        <v>5</v>
      </c>
      <c r="BC100" s="23">
        <v>5</v>
      </c>
      <c r="BD100" s="23">
        <v>5</v>
      </c>
      <c r="BE100" s="23">
        <v>5</v>
      </c>
      <c r="BF100" s="23">
        <v>5</v>
      </c>
      <c r="BG100" s="23">
        <v>5</v>
      </c>
      <c r="BH100" s="23">
        <v>-100</v>
      </c>
      <c r="BI100" s="23">
        <v>-100</v>
      </c>
      <c r="BJ100" s="23">
        <v>-100</v>
      </c>
      <c r="BK100" s="23">
        <v>-100</v>
      </c>
      <c r="BL100" s="23">
        <v>-100</v>
      </c>
      <c r="BM100" s="23">
        <v>-100</v>
      </c>
      <c r="BN100" s="23">
        <v>-100</v>
      </c>
      <c r="BO100" s="23">
        <v>-100</v>
      </c>
    </row>
    <row r="101" spans="1:67" x14ac:dyDescent="0.25">
      <c r="A101" s="22">
        <f>1</f>
        <v>1</v>
      </c>
      <c r="B101" t="s">
        <v>102</v>
      </c>
      <c r="C101">
        <v>100</v>
      </c>
      <c r="D101" s="21" t="s">
        <v>3</v>
      </c>
      <c r="E101" t="s">
        <v>273</v>
      </c>
      <c r="F101" t="s">
        <v>329</v>
      </c>
      <c r="G101" s="21">
        <f>COUNTIF(SCourse[Course],SCourse[[#This Row],[Course]])</f>
        <v>1</v>
      </c>
      <c r="I101" s="21">
        <f>COUNTIF(SCourse[Block],SCourse[[#This Row],[Block]])</f>
        <v>0</v>
      </c>
      <c r="J101" s="21">
        <v>1</v>
      </c>
      <c r="K101" s="21">
        <v>0</v>
      </c>
      <c r="L101" s="21">
        <v>0</v>
      </c>
      <c r="M101" s="21">
        <v>0</v>
      </c>
      <c r="N101" s="21">
        <v>0</v>
      </c>
      <c r="O101" s="21">
        <v>0</v>
      </c>
      <c r="P101" s="21">
        <v>0</v>
      </c>
      <c r="Q101" s="21">
        <v>0</v>
      </c>
      <c r="R101" s="21">
        <v>0</v>
      </c>
      <c r="S101" s="21">
        <v>0</v>
      </c>
      <c r="T101" s="21">
        <v>0</v>
      </c>
      <c r="U101" s="21">
        <v>0</v>
      </c>
      <c r="V101" s="21">
        <v>0</v>
      </c>
      <c r="W101" s="21">
        <v>0</v>
      </c>
      <c r="X101" s="21">
        <v>0</v>
      </c>
      <c r="Y101" s="21">
        <v>0</v>
      </c>
      <c r="Z101" s="21">
        <v>0</v>
      </c>
      <c r="AA101" s="21">
        <v>-100</v>
      </c>
      <c r="AB101" s="21">
        <v>0</v>
      </c>
      <c r="AC101" s="21">
        <v>0</v>
      </c>
      <c r="AD101" s="21">
        <v>0</v>
      </c>
      <c r="AE101" s="21">
        <v>0</v>
      </c>
      <c r="AF101" s="21">
        <v>0</v>
      </c>
      <c r="AG101" s="21">
        <v>0</v>
      </c>
      <c r="AH101" s="21">
        <v>0</v>
      </c>
      <c r="AI101" s="21">
        <v>0</v>
      </c>
      <c r="AJ101" s="21">
        <v>0</v>
      </c>
      <c r="AK101" s="21">
        <v>0</v>
      </c>
      <c r="AL101" s="21">
        <v>0</v>
      </c>
      <c r="AM101" s="21">
        <v>0</v>
      </c>
      <c r="AN101" s="23">
        <v>5</v>
      </c>
      <c r="AO101" s="23">
        <v>5</v>
      </c>
      <c r="AP101" s="23">
        <v>5</v>
      </c>
      <c r="AQ101" s="23">
        <v>5</v>
      </c>
      <c r="AR101" s="23">
        <v>5</v>
      </c>
      <c r="AS101" s="23">
        <v>5</v>
      </c>
      <c r="AT101" s="23">
        <v>5</v>
      </c>
      <c r="AU101" s="23">
        <v>5</v>
      </c>
      <c r="AV101" s="23">
        <v>5</v>
      </c>
      <c r="AW101" s="23">
        <v>5</v>
      </c>
      <c r="AX101" s="23">
        <v>5</v>
      </c>
      <c r="AY101" s="23">
        <v>5</v>
      </c>
      <c r="AZ101" s="23">
        <v>5</v>
      </c>
      <c r="BA101" s="23">
        <v>5</v>
      </c>
      <c r="BB101" s="23">
        <v>5</v>
      </c>
      <c r="BC101" s="23">
        <v>-100</v>
      </c>
      <c r="BD101" s="23">
        <v>5</v>
      </c>
      <c r="BE101" s="23">
        <v>5</v>
      </c>
      <c r="BF101" s="23">
        <v>5</v>
      </c>
      <c r="BG101" s="23">
        <v>5</v>
      </c>
      <c r="BH101" s="23">
        <v>-100</v>
      </c>
      <c r="BI101" s="23">
        <v>-100</v>
      </c>
      <c r="BJ101" s="23">
        <v>-100</v>
      </c>
      <c r="BK101" s="23">
        <v>-100</v>
      </c>
      <c r="BL101" s="23">
        <v>-100</v>
      </c>
      <c r="BM101" s="23">
        <v>-100</v>
      </c>
      <c r="BN101" s="23">
        <v>-100</v>
      </c>
      <c r="BO101" s="23">
        <v>-100</v>
      </c>
    </row>
    <row r="102" spans="1:67" x14ac:dyDescent="0.25">
      <c r="A102" s="22">
        <f>1</f>
        <v>1</v>
      </c>
      <c r="B102" t="s">
        <v>103</v>
      </c>
      <c r="C102">
        <v>100</v>
      </c>
      <c r="D102" s="21" t="s">
        <v>3</v>
      </c>
      <c r="E102" t="s">
        <v>274</v>
      </c>
      <c r="F102" t="s">
        <v>337</v>
      </c>
      <c r="G102" s="21">
        <f>COUNTIF(SCourse[Course],SCourse[[#This Row],[Course]])</f>
        <v>1</v>
      </c>
      <c r="I102" s="21">
        <f>COUNTIF(SCourse[Block],SCourse[[#This Row],[Block]])</f>
        <v>0</v>
      </c>
      <c r="J102" s="21">
        <v>1</v>
      </c>
      <c r="K102" s="21">
        <v>0</v>
      </c>
      <c r="L102" s="21">
        <v>0</v>
      </c>
      <c r="M102" s="21">
        <v>0</v>
      </c>
      <c r="N102" s="21">
        <v>0</v>
      </c>
      <c r="O102" s="21">
        <v>0</v>
      </c>
      <c r="P102" s="21">
        <v>0</v>
      </c>
      <c r="Q102" s="21">
        <v>0</v>
      </c>
      <c r="R102" s="21">
        <v>0</v>
      </c>
      <c r="S102" s="21">
        <v>0</v>
      </c>
      <c r="T102" s="21">
        <v>0</v>
      </c>
      <c r="U102" s="21">
        <v>0</v>
      </c>
      <c r="V102" s="21">
        <v>0</v>
      </c>
      <c r="W102" s="21">
        <v>0</v>
      </c>
      <c r="X102" s="21">
        <v>0</v>
      </c>
      <c r="Y102" s="21">
        <v>0</v>
      </c>
      <c r="Z102" s="21">
        <v>0</v>
      </c>
      <c r="AA102" s="21">
        <v>0</v>
      </c>
      <c r="AB102" s="21">
        <v>0</v>
      </c>
      <c r="AC102" s="21">
        <v>0</v>
      </c>
      <c r="AD102" s="21">
        <v>0</v>
      </c>
      <c r="AE102" s="21">
        <v>0</v>
      </c>
      <c r="AF102" s="21">
        <v>0</v>
      </c>
      <c r="AG102" s="21">
        <v>0</v>
      </c>
      <c r="AH102" s="21">
        <v>0</v>
      </c>
      <c r="AI102" s="21">
        <v>0</v>
      </c>
      <c r="AJ102" s="21">
        <v>-100</v>
      </c>
      <c r="AK102" s="21">
        <v>0</v>
      </c>
      <c r="AL102" s="21">
        <v>0</v>
      </c>
      <c r="AM102" s="21">
        <v>0</v>
      </c>
      <c r="AN102" s="23">
        <v>5</v>
      </c>
      <c r="AO102" s="23">
        <v>5</v>
      </c>
      <c r="AP102" s="23">
        <v>5</v>
      </c>
      <c r="AQ102" s="23">
        <v>5</v>
      </c>
      <c r="AR102" s="23">
        <v>5</v>
      </c>
      <c r="AS102" s="23">
        <v>5</v>
      </c>
      <c r="AT102" s="23">
        <v>5</v>
      </c>
      <c r="AU102" s="23">
        <v>5</v>
      </c>
      <c r="AV102" s="23">
        <v>5</v>
      </c>
      <c r="AW102" s="23">
        <v>5</v>
      </c>
      <c r="AX102" s="23">
        <v>5</v>
      </c>
      <c r="AY102" s="23">
        <v>5</v>
      </c>
      <c r="AZ102" s="23">
        <v>5</v>
      </c>
      <c r="BA102" s="23">
        <v>5</v>
      </c>
      <c r="BB102" s="23">
        <v>5</v>
      </c>
      <c r="BC102" s="23">
        <v>5</v>
      </c>
      <c r="BD102" s="23">
        <v>5</v>
      </c>
      <c r="BE102" s="23">
        <v>5</v>
      </c>
      <c r="BF102" s="23">
        <v>5</v>
      </c>
      <c r="BG102" s="23">
        <v>5</v>
      </c>
      <c r="BH102" s="23">
        <v>-100</v>
      </c>
      <c r="BI102" s="23">
        <v>-100</v>
      </c>
      <c r="BJ102" s="23">
        <v>-100</v>
      </c>
      <c r="BK102" s="23">
        <v>-100</v>
      </c>
      <c r="BL102" s="23">
        <v>-100</v>
      </c>
      <c r="BM102" s="23">
        <v>-100</v>
      </c>
      <c r="BN102" s="23">
        <v>-100</v>
      </c>
      <c r="BO102" s="23">
        <v>-100</v>
      </c>
    </row>
    <row r="103" spans="1:67" x14ac:dyDescent="0.25">
      <c r="A103" s="22">
        <f>1</f>
        <v>1</v>
      </c>
      <c r="B103" t="s">
        <v>104</v>
      </c>
      <c r="C103">
        <v>100</v>
      </c>
      <c r="D103" s="21" t="s">
        <v>3</v>
      </c>
      <c r="E103" t="s">
        <v>275</v>
      </c>
      <c r="F103" t="s">
        <v>304</v>
      </c>
      <c r="G103" s="21">
        <f>COUNTIF(SCourse[Course],SCourse[[#This Row],[Course]])</f>
        <v>1</v>
      </c>
      <c r="I103" s="21">
        <f>COUNTIF(SCourse[Block],SCourse[[#This Row],[Block]])</f>
        <v>0</v>
      </c>
      <c r="J103" s="21">
        <v>1</v>
      </c>
      <c r="K103" s="21">
        <v>-1</v>
      </c>
      <c r="L103" s="21">
        <v>0</v>
      </c>
      <c r="M103" s="21">
        <v>0</v>
      </c>
      <c r="N103" s="21">
        <v>0</v>
      </c>
      <c r="O103" s="21">
        <v>0</v>
      </c>
      <c r="P103" s="21">
        <v>0</v>
      </c>
      <c r="Q103" s="21">
        <v>0</v>
      </c>
      <c r="R103" s="21">
        <v>0</v>
      </c>
      <c r="S103" s="21">
        <v>0</v>
      </c>
      <c r="T103" s="21">
        <v>0</v>
      </c>
      <c r="U103" s="21">
        <v>0</v>
      </c>
      <c r="V103" s="21">
        <v>0</v>
      </c>
      <c r="W103" s="21">
        <v>0</v>
      </c>
      <c r="X103" s="21">
        <v>0</v>
      </c>
      <c r="Y103" s="21">
        <v>0</v>
      </c>
      <c r="Z103" s="21">
        <v>0</v>
      </c>
      <c r="AA103" s="21">
        <v>0</v>
      </c>
      <c r="AB103" s="21">
        <v>0</v>
      </c>
      <c r="AC103" s="21">
        <v>0</v>
      </c>
      <c r="AD103" s="21">
        <v>0</v>
      </c>
      <c r="AE103" s="21">
        <v>0</v>
      </c>
      <c r="AF103" s="21">
        <v>0</v>
      </c>
      <c r="AG103" s="21">
        <v>0</v>
      </c>
      <c r="AH103" s="21">
        <v>-100</v>
      </c>
      <c r="AI103" s="21">
        <v>0</v>
      </c>
      <c r="AJ103" s="21">
        <v>0</v>
      </c>
      <c r="AK103" s="21">
        <v>0</v>
      </c>
      <c r="AL103" s="21">
        <v>0</v>
      </c>
      <c r="AM103" s="21">
        <v>0</v>
      </c>
      <c r="AN103" s="23">
        <v>5</v>
      </c>
      <c r="AO103" s="23">
        <v>5</v>
      </c>
      <c r="AP103" s="23">
        <v>5</v>
      </c>
      <c r="AQ103" s="23">
        <v>5</v>
      </c>
      <c r="AR103" s="23">
        <v>5</v>
      </c>
      <c r="AS103" s="23">
        <v>5</v>
      </c>
      <c r="AT103" s="23">
        <v>5</v>
      </c>
      <c r="AU103" s="23">
        <v>5</v>
      </c>
      <c r="AV103" s="23">
        <v>5</v>
      </c>
      <c r="AW103" s="23">
        <v>5</v>
      </c>
      <c r="AX103" s="23">
        <v>5</v>
      </c>
      <c r="AY103" s="23">
        <v>5</v>
      </c>
      <c r="AZ103" s="23">
        <v>5</v>
      </c>
      <c r="BA103" s="23">
        <v>5</v>
      </c>
      <c r="BB103" s="23">
        <v>5</v>
      </c>
      <c r="BC103" s="23">
        <v>5</v>
      </c>
      <c r="BD103" s="23">
        <v>5</v>
      </c>
      <c r="BE103" s="23">
        <v>5</v>
      </c>
      <c r="BF103" s="23">
        <v>5</v>
      </c>
      <c r="BG103" s="23">
        <v>5</v>
      </c>
      <c r="BH103" s="23">
        <v>-100</v>
      </c>
      <c r="BI103" s="23">
        <v>-100</v>
      </c>
      <c r="BJ103" s="23">
        <v>-100</v>
      </c>
      <c r="BK103" s="23">
        <v>-100</v>
      </c>
      <c r="BL103" s="23">
        <v>-100</v>
      </c>
      <c r="BM103" s="23">
        <v>-100</v>
      </c>
      <c r="BN103" s="23">
        <v>-100</v>
      </c>
      <c r="BO103" s="23">
        <v>-100</v>
      </c>
    </row>
    <row r="104" spans="1:67" x14ac:dyDescent="0.25">
      <c r="A104" s="22">
        <f>1</f>
        <v>1</v>
      </c>
      <c r="B104" t="s">
        <v>105</v>
      </c>
      <c r="C104">
        <v>100</v>
      </c>
      <c r="D104" s="21" t="s">
        <v>3</v>
      </c>
      <c r="E104" t="s">
        <v>276</v>
      </c>
      <c r="F104" t="s">
        <v>306</v>
      </c>
      <c r="G104" s="21">
        <f>COUNTIF(SCourse[Course],SCourse[[#This Row],[Course]])</f>
        <v>1</v>
      </c>
      <c r="I104" s="21">
        <f>COUNTIF(SCourse[Block],SCourse[[#This Row],[Block]])</f>
        <v>0</v>
      </c>
      <c r="J104" s="21">
        <v>1</v>
      </c>
      <c r="K104" s="21">
        <v>0</v>
      </c>
      <c r="L104" s="21">
        <v>0</v>
      </c>
      <c r="M104" s="21">
        <v>0</v>
      </c>
      <c r="N104" s="21">
        <v>0</v>
      </c>
      <c r="O104" s="21">
        <v>0</v>
      </c>
      <c r="P104" s="21">
        <v>0</v>
      </c>
      <c r="Q104" s="21">
        <v>0</v>
      </c>
      <c r="R104" s="21">
        <v>0</v>
      </c>
      <c r="S104" s="21">
        <v>0</v>
      </c>
      <c r="T104" s="21">
        <v>0</v>
      </c>
      <c r="U104" s="21">
        <v>0</v>
      </c>
      <c r="V104" s="21">
        <v>0</v>
      </c>
      <c r="W104" s="21">
        <v>0</v>
      </c>
      <c r="X104" s="21">
        <v>-100</v>
      </c>
      <c r="Y104" s="21">
        <v>0</v>
      </c>
      <c r="Z104" s="21">
        <v>0</v>
      </c>
      <c r="AA104" s="21">
        <v>0</v>
      </c>
      <c r="AB104" s="21">
        <v>0</v>
      </c>
      <c r="AC104" s="21">
        <v>0</v>
      </c>
      <c r="AD104" s="21">
        <v>0</v>
      </c>
      <c r="AE104" s="21">
        <v>0</v>
      </c>
      <c r="AF104" s="21">
        <v>0</v>
      </c>
      <c r="AG104" s="21">
        <v>0</v>
      </c>
      <c r="AH104" s="21">
        <v>0</v>
      </c>
      <c r="AI104" s="21">
        <v>0</v>
      </c>
      <c r="AJ104" s="21">
        <v>0</v>
      </c>
      <c r="AK104" s="21">
        <v>0</v>
      </c>
      <c r="AL104" s="21">
        <v>0</v>
      </c>
      <c r="AM104" s="21">
        <v>0</v>
      </c>
      <c r="AN104" s="23">
        <v>5</v>
      </c>
      <c r="AO104" s="23">
        <v>5</v>
      </c>
      <c r="AP104" s="23">
        <v>5</v>
      </c>
      <c r="AQ104" s="23">
        <v>5</v>
      </c>
      <c r="AR104" s="23">
        <v>5</v>
      </c>
      <c r="AS104" s="23">
        <v>5</v>
      </c>
      <c r="AT104" s="23">
        <v>5</v>
      </c>
      <c r="AU104" s="23">
        <v>5</v>
      </c>
      <c r="AV104" s="23">
        <v>5</v>
      </c>
      <c r="AW104" s="23">
        <v>5</v>
      </c>
      <c r="AX104" s="23">
        <v>5</v>
      </c>
      <c r="AY104" s="23">
        <v>5</v>
      </c>
      <c r="AZ104" s="23">
        <v>-100</v>
      </c>
      <c r="BA104" s="23">
        <v>5</v>
      </c>
      <c r="BB104" s="23">
        <v>5</v>
      </c>
      <c r="BC104" s="23">
        <v>5</v>
      </c>
      <c r="BD104" s="23">
        <v>5</v>
      </c>
      <c r="BE104" s="23">
        <v>5</v>
      </c>
      <c r="BF104" s="23">
        <v>5</v>
      </c>
      <c r="BG104" s="23">
        <v>5</v>
      </c>
      <c r="BH104" s="23">
        <v>-100</v>
      </c>
      <c r="BI104" s="23">
        <v>-100</v>
      </c>
      <c r="BJ104" s="23">
        <v>-100</v>
      </c>
      <c r="BK104" s="23">
        <v>-100</v>
      </c>
      <c r="BL104" s="23">
        <v>-100</v>
      </c>
      <c r="BM104" s="23">
        <v>-100</v>
      </c>
      <c r="BN104" s="23">
        <v>-100</v>
      </c>
      <c r="BO104" s="23">
        <v>-100</v>
      </c>
    </row>
    <row r="105" spans="1:67" x14ac:dyDescent="0.25">
      <c r="A105" s="22">
        <f>1</f>
        <v>1</v>
      </c>
      <c r="B105" t="s">
        <v>106</v>
      </c>
      <c r="C105">
        <v>100</v>
      </c>
      <c r="D105" s="21" t="s">
        <v>3</v>
      </c>
      <c r="E105" t="s">
        <v>277</v>
      </c>
      <c r="F105" t="s">
        <v>295</v>
      </c>
      <c r="G105" s="21">
        <f>COUNTIF(SCourse[Course],SCourse[[#This Row],[Course]])</f>
        <v>1</v>
      </c>
      <c r="I105" s="21">
        <f>COUNTIF(SCourse[Block],SCourse[[#This Row],[Block]])</f>
        <v>0</v>
      </c>
      <c r="J105" s="21">
        <v>1</v>
      </c>
      <c r="K105" s="21">
        <v>0</v>
      </c>
      <c r="L105" s="21">
        <v>0</v>
      </c>
      <c r="M105" s="21">
        <v>0</v>
      </c>
      <c r="N105" s="21">
        <v>0</v>
      </c>
      <c r="O105" s="21">
        <v>0</v>
      </c>
      <c r="P105" s="21">
        <v>0</v>
      </c>
      <c r="Q105" s="21">
        <v>0</v>
      </c>
      <c r="R105" s="21">
        <v>0</v>
      </c>
      <c r="S105" s="21">
        <v>0</v>
      </c>
      <c r="T105" s="21">
        <v>0</v>
      </c>
      <c r="U105" s="21">
        <v>0</v>
      </c>
      <c r="V105" s="21">
        <v>-100</v>
      </c>
      <c r="W105" s="21">
        <v>0</v>
      </c>
      <c r="X105" s="21">
        <v>0</v>
      </c>
      <c r="Y105" s="21">
        <v>0</v>
      </c>
      <c r="Z105" s="21">
        <v>0</v>
      </c>
      <c r="AA105" s="21">
        <v>0</v>
      </c>
      <c r="AB105" s="21">
        <v>0</v>
      </c>
      <c r="AC105" s="21">
        <v>0</v>
      </c>
      <c r="AD105" s="21">
        <v>0</v>
      </c>
      <c r="AE105" s="21">
        <v>0</v>
      </c>
      <c r="AF105" s="21">
        <v>0</v>
      </c>
      <c r="AG105" s="21">
        <v>0</v>
      </c>
      <c r="AH105" s="21">
        <v>0</v>
      </c>
      <c r="AI105" s="21">
        <v>0</v>
      </c>
      <c r="AJ105" s="21">
        <v>0</v>
      </c>
      <c r="AK105" s="21">
        <v>0</v>
      </c>
      <c r="AL105" s="21">
        <v>0</v>
      </c>
      <c r="AM105" s="21">
        <v>0</v>
      </c>
      <c r="AN105" s="23">
        <v>5</v>
      </c>
      <c r="AO105" s="23">
        <v>5</v>
      </c>
      <c r="AP105" s="23">
        <v>5</v>
      </c>
      <c r="AQ105" s="23">
        <v>5</v>
      </c>
      <c r="AR105" s="23">
        <v>5</v>
      </c>
      <c r="AS105" s="23">
        <v>5</v>
      </c>
      <c r="AT105" s="23">
        <v>5</v>
      </c>
      <c r="AU105" s="23">
        <v>5</v>
      </c>
      <c r="AV105" s="23">
        <v>5</v>
      </c>
      <c r="AW105" s="23">
        <v>5</v>
      </c>
      <c r="AX105" s="23">
        <v>-100</v>
      </c>
      <c r="AY105" s="23">
        <v>5</v>
      </c>
      <c r="AZ105" s="23">
        <v>5</v>
      </c>
      <c r="BA105" s="23">
        <v>5</v>
      </c>
      <c r="BB105" s="23">
        <v>5</v>
      </c>
      <c r="BC105" s="23">
        <v>5</v>
      </c>
      <c r="BD105" s="23">
        <v>5</v>
      </c>
      <c r="BE105" s="23">
        <v>5</v>
      </c>
      <c r="BF105" s="23">
        <v>5</v>
      </c>
      <c r="BG105" s="23">
        <v>5</v>
      </c>
      <c r="BH105" s="23">
        <v>-100</v>
      </c>
      <c r="BI105" s="23">
        <v>-100</v>
      </c>
      <c r="BJ105" s="23">
        <v>-100</v>
      </c>
      <c r="BK105" s="23">
        <v>-100</v>
      </c>
      <c r="BL105" s="23">
        <v>-100</v>
      </c>
      <c r="BM105" s="23">
        <v>-100</v>
      </c>
      <c r="BN105" s="23">
        <v>-100</v>
      </c>
      <c r="BO105" s="23">
        <v>-100</v>
      </c>
    </row>
    <row r="106" spans="1:67" x14ac:dyDescent="0.25">
      <c r="A106" s="22">
        <f>1</f>
        <v>1</v>
      </c>
      <c r="B106" t="s">
        <v>107</v>
      </c>
      <c r="C106">
        <v>100</v>
      </c>
      <c r="D106" s="21" t="s">
        <v>3</v>
      </c>
      <c r="E106" t="s">
        <v>278</v>
      </c>
      <c r="F106" t="s">
        <v>328</v>
      </c>
      <c r="G106" s="21">
        <f>COUNTIF(SCourse[Course],SCourse[[#This Row],[Course]])</f>
        <v>1</v>
      </c>
      <c r="I106" s="21">
        <f>COUNTIF(SCourse[Block],SCourse[[#This Row],[Block]])</f>
        <v>0</v>
      </c>
      <c r="J106" s="21">
        <v>1</v>
      </c>
      <c r="K106" s="21">
        <v>0</v>
      </c>
      <c r="L106" s="21">
        <v>0</v>
      </c>
      <c r="M106" s="21">
        <v>0</v>
      </c>
      <c r="N106" s="21">
        <v>0</v>
      </c>
      <c r="O106" s="21">
        <v>0</v>
      </c>
      <c r="P106" s="21">
        <v>0</v>
      </c>
      <c r="Q106" s="21">
        <v>0</v>
      </c>
      <c r="R106" s="21">
        <v>0</v>
      </c>
      <c r="S106" s="21">
        <v>0</v>
      </c>
      <c r="T106" s="21">
        <v>0</v>
      </c>
      <c r="U106" s="21">
        <v>0</v>
      </c>
      <c r="V106" s="21">
        <v>0</v>
      </c>
      <c r="W106" s="21">
        <v>-100</v>
      </c>
      <c r="X106" s="21">
        <v>0</v>
      </c>
      <c r="Y106" s="21">
        <v>0</v>
      </c>
      <c r="Z106" s="21">
        <v>0</v>
      </c>
      <c r="AA106" s="21">
        <v>0</v>
      </c>
      <c r="AB106" s="21">
        <v>0</v>
      </c>
      <c r="AC106" s="21">
        <v>0</v>
      </c>
      <c r="AD106" s="21">
        <v>0</v>
      </c>
      <c r="AE106" s="21">
        <v>0</v>
      </c>
      <c r="AF106" s="21">
        <v>0</v>
      </c>
      <c r="AG106" s="21">
        <v>0</v>
      </c>
      <c r="AH106" s="21">
        <v>0</v>
      </c>
      <c r="AI106" s="21">
        <v>0</v>
      </c>
      <c r="AJ106" s="21">
        <v>0</v>
      </c>
      <c r="AK106" s="21">
        <v>0</v>
      </c>
      <c r="AL106" s="21">
        <v>0</v>
      </c>
      <c r="AM106" s="21">
        <v>0</v>
      </c>
      <c r="AN106" s="23">
        <v>5</v>
      </c>
      <c r="AO106" s="23">
        <v>5</v>
      </c>
      <c r="AP106" s="23">
        <v>5</v>
      </c>
      <c r="AQ106" s="23">
        <v>5</v>
      </c>
      <c r="AR106" s="23">
        <v>5</v>
      </c>
      <c r="AS106" s="23">
        <v>5</v>
      </c>
      <c r="AT106" s="23">
        <v>5</v>
      </c>
      <c r="AU106" s="23">
        <v>5</v>
      </c>
      <c r="AV106" s="23">
        <v>5</v>
      </c>
      <c r="AW106" s="23">
        <v>5</v>
      </c>
      <c r="AX106" s="23">
        <v>5</v>
      </c>
      <c r="AY106" s="23">
        <v>-100</v>
      </c>
      <c r="AZ106" s="23">
        <v>5</v>
      </c>
      <c r="BA106" s="23">
        <v>5</v>
      </c>
      <c r="BB106" s="23">
        <v>5</v>
      </c>
      <c r="BC106" s="23">
        <v>5</v>
      </c>
      <c r="BD106" s="23">
        <v>5</v>
      </c>
      <c r="BE106" s="23">
        <v>5</v>
      </c>
      <c r="BF106" s="23">
        <v>5</v>
      </c>
      <c r="BG106" s="23">
        <v>5</v>
      </c>
      <c r="BH106" s="23">
        <v>-100</v>
      </c>
      <c r="BI106" s="23">
        <v>-100</v>
      </c>
      <c r="BJ106" s="23">
        <v>-100</v>
      </c>
      <c r="BK106" s="23">
        <v>-100</v>
      </c>
      <c r="BL106" s="23">
        <v>-100</v>
      </c>
      <c r="BM106" s="23">
        <v>-100</v>
      </c>
      <c r="BN106" s="23">
        <v>-100</v>
      </c>
      <c r="BO106" s="23">
        <v>-100</v>
      </c>
    </row>
  </sheetData>
  <sortState ref="A2:BO106">
    <sortCondition ref="A2"/>
  </sortState>
  <pageMargins left="0.7" right="0.7" top="0.75" bottom="0.75" header="0.3" footer="0.3"/>
  <legacy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C106"/>
  <sheetViews>
    <sheetView workbookViewId="0">
      <selection activeCell="AZ2" sqref="AZ2:AZ106"/>
    </sheetView>
  </sheetViews>
  <sheetFormatPr defaultRowHeight="15" x14ac:dyDescent="0.25"/>
  <cols>
    <col min="1" max="1" width="6.42578125" customWidth="1"/>
    <col min="2" max="2" width="5.42578125" customWidth="1"/>
    <col min="3" max="3" width="2.85546875" customWidth="1"/>
    <col min="4" max="4" width="11" customWidth="1"/>
    <col min="5" max="5" width="11.7109375" customWidth="1"/>
    <col min="6" max="6" width="5.85546875" customWidth="1"/>
    <col min="7" max="7" width="4.42578125" customWidth="1"/>
    <col min="8" max="8" width="6" customWidth="1"/>
    <col min="9" max="9" width="5.42578125" customWidth="1"/>
    <col min="10" max="10" width="4.85546875" customWidth="1"/>
    <col min="11" max="11" width="5.85546875" customWidth="1"/>
    <col min="12" max="20" width="4.140625" customWidth="1"/>
    <col min="21" max="31" width="5.140625" customWidth="1"/>
    <col min="32" max="51" width="9.140625" style="25" customWidth="1"/>
    <col min="52" max="52" width="9.140625" style="24" customWidth="1"/>
    <col min="54" max="54" width="2" bestFit="1" customWidth="1"/>
    <col min="55" max="55" width="2.7109375" bestFit="1" customWidth="1"/>
  </cols>
  <sheetData>
    <row r="1" spans="1:55" x14ac:dyDescent="0.25">
      <c r="A1" t="s">
        <v>32</v>
      </c>
      <c r="B1" t="s">
        <v>1</v>
      </c>
      <c r="C1" t="s">
        <v>2</v>
      </c>
      <c r="D1" t="s">
        <v>30</v>
      </c>
      <c r="E1" t="s">
        <v>36</v>
      </c>
      <c r="F1" t="s">
        <v>108</v>
      </c>
      <c r="G1" t="s">
        <v>0</v>
      </c>
      <c r="H1" t="s">
        <v>404</v>
      </c>
      <c r="I1" t="s">
        <v>401</v>
      </c>
      <c r="J1" t="s">
        <v>402</v>
      </c>
      <c r="K1" t="s">
        <v>403</v>
      </c>
      <c r="L1" t="s">
        <v>343</v>
      </c>
      <c r="M1" t="s">
        <v>344</v>
      </c>
      <c r="N1" t="s">
        <v>345</v>
      </c>
      <c r="O1" t="s">
        <v>346</v>
      </c>
      <c r="P1" t="s">
        <v>347</v>
      </c>
      <c r="Q1" t="s">
        <v>348</v>
      </c>
      <c r="R1" t="s">
        <v>349</v>
      </c>
      <c r="S1" t="s">
        <v>350</v>
      </c>
      <c r="T1" t="s">
        <v>351</v>
      </c>
      <c r="U1" t="s">
        <v>352</v>
      </c>
      <c r="V1" t="s">
        <v>353</v>
      </c>
      <c r="W1" t="s">
        <v>354</v>
      </c>
      <c r="X1" t="s">
        <v>355</v>
      </c>
      <c r="Y1" t="s">
        <v>356</v>
      </c>
      <c r="Z1" t="s">
        <v>357</v>
      </c>
      <c r="AA1" t="s">
        <v>358</v>
      </c>
      <c r="AB1" t="s">
        <v>359</v>
      </c>
      <c r="AC1" t="s">
        <v>360</v>
      </c>
      <c r="AD1" t="s">
        <v>361</v>
      </c>
      <c r="AE1" t="s">
        <v>362</v>
      </c>
      <c r="AF1" s="25" t="s">
        <v>405</v>
      </c>
      <c r="AG1" s="25" t="s">
        <v>406</v>
      </c>
      <c r="AH1" s="25" t="s">
        <v>407</v>
      </c>
      <c r="AI1" s="25" t="s">
        <v>408</v>
      </c>
      <c r="AJ1" s="25" t="s">
        <v>409</v>
      </c>
      <c r="AK1" s="25" t="s">
        <v>410</v>
      </c>
      <c r="AL1" s="25" t="s">
        <v>411</v>
      </c>
      <c r="AM1" s="25" t="s">
        <v>412</v>
      </c>
      <c r="AN1" s="25" t="s">
        <v>413</v>
      </c>
      <c r="AO1" s="25" t="s">
        <v>414</v>
      </c>
      <c r="AP1" s="25" t="s">
        <v>415</v>
      </c>
      <c r="AQ1" s="25" t="s">
        <v>416</v>
      </c>
      <c r="AR1" s="25" t="s">
        <v>417</v>
      </c>
      <c r="AS1" s="25" t="s">
        <v>418</v>
      </c>
      <c r="AT1" s="25" t="s">
        <v>419</v>
      </c>
      <c r="AU1" s="25" t="s">
        <v>420</v>
      </c>
      <c r="AV1" s="25" t="s">
        <v>421</v>
      </c>
      <c r="AW1" s="25" t="s">
        <v>422</v>
      </c>
      <c r="AX1" s="25" t="s">
        <v>423</v>
      </c>
      <c r="AY1" s="25" t="s">
        <v>424</v>
      </c>
      <c r="AZ1" s="24" t="s">
        <v>109</v>
      </c>
      <c r="BB1">
        <f t="array" ref="BB1">MAX(IF(SCD[Level]="U",SCD[BlockSessionNum]))</f>
        <v>5</v>
      </c>
      <c r="BC1">
        <f>MIN(BB1,ROUNDUP(COUNTIF(C:C,"U")/20,0))</f>
        <v>5</v>
      </c>
    </row>
    <row r="2" spans="1:55" x14ac:dyDescent="0.25">
      <c r="A2" t="s">
        <v>143</v>
      </c>
      <c r="B2">
        <v>400</v>
      </c>
      <c r="C2" t="s">
        <v>3</v>
      </c>
      <c r="D2" t="s">
        <v>188</v>
      </c>
      <c r="E2" t="s">
        <v>293</v>
      </c>
      <c r="F2" s="21">
        <f>COUNTIF(SCD[Course],SCD[[#This Row],[Course]])</f>
        <v>4</v>
      </c>
      <c r="G2">
        <v>3</v>
      </c>
      <c r="H2" s="21">
        <f>COUNTIF(SCD[Block],SCD[[#This Row],[Block]])</f>
        <v>4</v>
      </c>
      <c r="I2" s="21">
        <f>COUNTIFS(SCD[Course],SCD[[#This Row],[Course]],SCD[Block],"&lt;=7",SCD[Block],"&gt;=1") + COUNTIFS(SCD[Course],SCD[[#This Row],[Course]],SCD[Block],10)</f>
        <v>3</v>
      </c>
      <c r="J2" s="21">
        <f>COUNTIFS(SCD[Course],SCD[[#This Row],[Course]],SCD[Block],"&gt;7")</f>
        <v>1</v>
      </c>
      <c r="K2">
        <v>100</v>
      </c>
      <c r="AA2" s="21">
        <v>4</v>
      </c>
      <c r="AE2" s="21"/>
      <c r="AF2" s="25">
        <v>20</v>
      </c>
      <c r="AG2" s="25">
        <v>19</v>
      </c>
      <c r="AH2" s="25">
        <v>18</v>
      </c>
      <c r="AI2" s="25">
        <v>17</v>
      </c>
      <c r="AJ2" s="25">
        <v>16</v>
      </c>
      <c r="AK2" s="25">
        <v>15</v>
      </c>
      <c r="AL2" s="25">
        <v>14</v>
      </c>
      <c r="AM2" s="25">
        <v>13</v>
      </c>
      <c r="AN2" s="25">
        <v>12</v>
      </c>
      <c r="AO2" s="25">
        <v>11</v>
      </c>
      <c r="AP2" s="25">
        <v>10</v>
      </c>
      <c r="AQ2" s="25">
        <v>9</v>
      </c>
      <c r="AR2" s="25">
        <v>8</v>
      </c>
      <c r="AS2" s="25">
        <v>6</v>
      </c>
      <c r="AT2" s="25">
        <v>5</v>
      </c>
      <c r="AU2" s="25">
        <v>4</v>
      </c>
      <c r="AV2" s="25">
        <v>3</v>
      </c>
      <c r="AW2" s="25">
        <v>2</v>
      </c>
      <c r="AX2" s="25">
        <v>1</v>
      </c>
      <c r="AZ2">
        <v>1.9390154811579352E-3</v>
      </c>
      <c r="BB2">
        <f t="array" ref="BB2">MAX(IF(SCD[Level]="G",SCD[BlockSessionNum]))</f>
        <v>2</v>
      </c>
      <c r="BC2">
        <f>MIN(BB2,ROUNDUP(COUNTIF(C:C,"G")/8,0))</f>
        <v>2</v>
      </c>
    </row>
    <row r="3" spans="1:55" x14ac:dyDescent="0.25">
      <c r="A3" t="s">
        <v>61</v>
      </c>
      <c r="B3">
        <v>100</v>
      </c>
      <c r="C3" t="s">
        <v>3</v>
      </c>
      <c r="D3" t="s">
        <v>232</v>
      </c>
      <c r="E3" t="s">
        <v>296</v>
      </c>
      <c r="F3" s="21">
        <f>COUNTIF(SCD[Course],SCD[[#This Row],[Course]])</f>
        <v>1</v>
      </c>
      <c r="G3">
        <v>14</v>
      </c>
      <c r="H3" s="21">
        <f>COUNTIF(SCD[Block],SCD[[#This Row],[Block]])</f>
        <v>5</v>
      </c>
      <c r="I3" s="21">
        <f>COUNTIFS(SCD[Course],SCD[[#This Row],[Course]],SCD[Block],"&lt;=7",SCD[Block],"&gt;=1") + COUNTIFS(SCD[Course],SCD[[#This Row],[Course]],SCD[Block],10)</f>
        <v>0</v>
      </c>
      <c r="J3" s="21">
        <f>COUNTIFS(SCD[Course],SCD[[#This Row],[Course]],SCD[Block],"&gt;7")</f>
        <v>1</v>
      </c>
      <c r="K3">
        <v>100</v>
      </c>
      <c r="AA3" s="21">
        <v>4</v>
      </c>
      <c r="AB3" s="21">
        <v>3</v>
      </c>
      <c r="AC3" s="21">
        <v>2</v>
      </c>
      <c r="AD3" s="21">
        <v>1</v>
      </c>
      <c r="AE3" s="21"/>
      <c r="AF3" s="25">
        <v>20</v>
      </c>
      <c r="AG3" s="25">
        <v>19</v>
      </c>
      <c r="AH3" s="25">
        <v>18</v>
      </c>
      <c r="AI3" s="25">
        <v>17</v>
      </c>
      <c r="AJ3" s="25">
        <v>16</v>
      </c>
      <c r="AK3" s="25">
        <v>15</v>
      </c>
      <c r="AL3" s="25">
        <v>14</v>
      </c>
      <c r="AM3" s="25">
        <v>13</v>
      </c>
      <c r="AN3" s="25">
        <v>11</v>
      </c>
      <c r="AO3" s="25">
        <v>10</v>
      </c>
      <c r="AP3" s="25">
        <v>9</v>
      </c>
      <c r="AQ3" s="25">
        <v>8</v>
      </c>
      <c r="AR3" s="25">
        <v>7</v>
      </c>
      <c r="AS3" s="25">
        <v>6</v>
      </c>
      <c r="AT3" s="25">
        <v>5</v>
      </c>
      <c r="AU3" s="25">
        <v>4</v>
      </c>
      <c r="AV3" s="25">
        <v>3</v>
      </c>
      <c r="AW3" s="25">
        <v>2</v>
      </c>
      <c r="AX3" s="25">
        <v>1</v>
      </c>
      <c r="AZ3">
        <v>2.0276916896415642E-2</v>
      </c>
    </row>
    <row r="4" spans="1:55" x14ac:dyDescent="0.25">
      <c r="A4" t="s">
        <v>183</v>
      </c>
      <c r="B4">
        <v>200</v>
      </c>
      <c r="C4" t="s">
        <v>3</v>
      </c>
      <c r="D4" t="s">
        <v>202</v>
      </c>
      <c r="E4" t="s">
        <v>314</v>
      </c>
      <c r="F4" s="21">
        <f>COUNTIF(SCD[Course],SCD[[#This Row],[Course]])</f>
        <v>4</v>
      </c>
      <c r="G4">
        <v>1</v>
      </c>
      <c r="H4" s="21">
        <f>COUNTIF(SCD[Block],SCD[[#This Row],[Block]])</f>
        <v>4</v>
      </c>
      <c r="I4" s="21">
        <f>COUNTIFS(SCD[Course],SCD[[#This Row],[Course]],SCD[Block],"&lt;=7",SCD[Block],"&gt;=1") + COUNTIFS(SCD[Course],SCD[[#This Row],[Course]],SCD[Block],10)</f>
        <v>1</v>
      </c>
      <c r="J4" s="21">
        <f>COUNTIFS(SCD[Course],SCD[[#This Row],[Course]],SCD[Block],"&gt;7")</f>
        <v>3</v>
      </c>
      <c r="K4">
        <v>100</v>
      </c>
      <c r="AB4" s="21">
        <v>4</v>
      </c>
      <c r="AE4" s="21"/>
      <c r="AF4" s="25">
        <v>15</v>
      </c>
      <c r="AG4" s="25">
        <v>11</v>
      </c>
      <c r="AH4" s="25">
        <v>20</v>
      </c>
      <c r="AI4" s="25">
        <v>19</v>
      </c>
      <c r="AJ4" s="25">
        <v>18</v>
      </c>
      <c r="AK4" s="25">
        <v>17</v>
      </c>
      <c r="AL4" s="25">
        <v>16</v>
      </c>
      <c r="AM4" s="25">
        <v>14</v>
      </c>
      <c r="AN4" s="25">
        <v>13</v>
      </c>
      <c r="AO4" s="25">
        <v>12</v>
      </c>
      <c r="AP4" s="25">
        <v>10</v>
      </c>
      <c r="AQ4" s="25">
        <v>9</v>
      </c>
      <c r="AR4" s="25">
        <v>8</v>
      </c>
      <c r="AS4" s="25">
        <v>7</v>
      </c>
      <c r="AT4" s="25">
        <v>6</v>
      </c>
      <c r="AU4" s="25">
        <v>5</v>
      </c>
      <c r="AV4" s="25">
        <v>4</v>
      </c>
      <c r="AW4" s="25">
        <v>3</v>
      </c>
      <c r="AX4" s="25">
        <v>1</v>
      </c>
      <c r="AZ4">
        <v>2.3436179011197877E-2</v>
      </c>
    </row>
    <row r="5" spans="1:55" x14ac:dyDescent="0.25">
      <c r="A5" t="s">
        <v>68</v>
      </c>
      <c r="B5">
        <v>100</v>
      </c>
      <c r="C5" t="s">
        <v>3</v>
      </c>
      <c r="D5" t="s">
        <v>239</v>
      </c>
      <c r="E5" t="s">
        <v>333</v>
      </c>
      <c r="F5" s="21">
        <f>COUNTIF(SCD[Course],SCD[[#This Row],[Course]])</f>
        <v>1</v>
      </c>
      <c r="G5">
        <v>14</v>
      </c>
      <c r="H5" s="21">
        <f>COUNTIF(SCD[Block],SCD[[#This Row],[Block]])</f>
        <v>5</v>
      </c>
      <c r="I5" s="21">
        <f>COUNTIFS(SCD[Course],SCD[[#This Row],[Course]],SCD[Block],"&lt;=7",SCD[Block],"&gt;=1") + COUNTIFS(SCD[Course],SCD[[#This Row],[Course]],SCD[Block],10)</f>
        <v>0</v>
      </c>
      <c r="J5" s="21">
        <f>COUNTIFS(SCD[Course],SCD[[#This Row],[Course]],SCD[Block],"&gt;7")</f>
        <v>1</v>
      </c>
      <c r="K5">
        <v>100</v>
      </c>
      <c r="AA5" s="21">
        <v>4</v>
      </c>
      <c r="AB5" s="21">
        <v>3</v>
      </c>
      <c r="AC5" s="21">
        <v>2</v>
      </c>
      <c r="AD5" s="21">
        <v>1</v>
      </c>
      <c r="AE5" s="21"/>
      <c r="AF5" s="25">
        <v>14</v>
      </c>
      <c r="AG5" s="25">
        <v>10</v>
      </c>
      <c r="AH5" s="25">
        <v>6</v>
      </c>
      <c r="AI5" s="25">
        <v>20</v>
      </c>
      <c r="AJ5" s="25">
        <v>18</v>
      </c>
      <c r="AK5" s="25">
        <v>17</v>
      </c>
      <c r="AL5" s="25">
        <v>16</v>
      </c>
      <c r="AM5" s="25">
        <v>15</v>
      </c>
      <c r="AN5" s="25">
        <v>13</v>
      </c>
      <c r="AO5" s="25">
        <v>12</v>
      </c>
      <c r="AP5" s="25">
        <v>11</v>
      </c>
      <c r="AQ5" s="25">
        <v>9</v>
      </c>
      <c r="AR5" s="25">
        <v>8</v>
      </c>
      <c r="AS5" s="25">
        <v>7</v>
      </c>
      <c r="AT5" s="25">
        <v>5</v>
      </c>
      <c r="AU5" s="25">
        <v>4</v>
      </c>
      <c r="AV5" s="25">
        <v>3</v>
      </c>
      <c r="AW5" s="25">
        <v>2</v>
      </c>
      <c r="AX5" s="25">
        <v>1</v>
      </c>
      <c r="AZ5">
        <v>4.1428294794447762E-2</v>
      </c>
    </row>
    <row r="6" spans="1:55" x14ac:dyDescent="0.25">
      <c r="A6" t="s">
        <v>43</v>
      </c>
      <c r="B6">
        <v>100</v>
      </c>
      <c r="C6" t="s">
        <v>3</v>
      </c>
      <c r="D6" t="s">
        <v>214</v>
      </c>
      <c r="E6" t="s">
        <v>321</v>
      </c>
      <c r="F6" s="21">
        <f>COUNTIF(SCD[Course],SCD[[#This Row],[Course]])</f>
        <v>3</v>
      </c>
      <c r="G6">
        <v>2</v>
      </c>
      <c r="H6" s="21">
        <f>COUNTIF(SCD[Block],SCD[[#This Row],[Block]])</f>
        <v>4</v>
      </c>
      <c r="I6" s="21">
        <f>COUNTIFS(SCD[Course],SCD[[#This Row],[Course]],SCD[Block],"&lt;=7",SCD[Block],"&gt;=1") + COUNTIFS(SCD[Course],SCD[[#This Row],[Course]],SCD[Block],10)</f>
        <v>1</v>
      </c>
      <c r="J6" s="21">
        <f>COUNTIFS(SCD[Course],SCD[[#This Row],[Course]],SCD[Block],"&gt;7")</f>
        <v>2</v>
      </c>
      <c r="K6">
        <v>100</v>
      </c>
      <c r="AA6" s="21">
        <v>4</v>
      </c>
      <c r="AD6" s="21">
        <v>1</v>
      </c>
      <c r="AE6" s="21"/>
      <c r="AF6" s="25">
        <v>20</v>
      </c>
      <c r="AG6" s="25">
        <v>19</v>
      </c>
      <c r="AH6" s="25">
        <v>18</v>
      </c>
      <c r="AI6" s="25">
        <v>17</v>
      </c>
      <c r="AJ6" s="25">
        <v>16</v>
      </c>
      <c r="AK6" s="25">
        <v>14</v>
      </c>
      <c r="AL6" s="25">
        <v>13</v>
      </c>
      <c r="AM6" s="25">
        <v>12</v>
      </c>
      <c r="AN6" s="25">
        <v>11</v>
      </c>
      <c r="AO6" s="25">
        <v>10</v>
      </c>
      <c r="AP6" s="25">
        <v>9</v>
      </c>
      <c r="AQ6" s="25">
        <v>8</v>
      </c>
      <c r="AR6" s="25">
        <v>7</v>
      </c>
      <c r="AS6" s="25">
        <v>6</v>
      </c>
      <c r="AT6" s="25">
        <v>5</v>
      </c>
      <c r="AU6" s="25">
        <v>4</v>
      </c>
      <c r="AV6" s="25">
        <v>3</v>
      </c>
      <c r="AW6" s="25">
        <v>2</v>
      </c>
      <c r="AX6" s="25">
        <v>1</v>
      </c>
      <c r="AZ6">
        <v>5.8521436030255281E-2</v>
      </c>
    </row>
    <row r="7" spans="1:55" x14ac:dyDescent="0.25">
      <c r="A7" t="s">
        <v>62</v>
      </c>
      <c r="B7">
        <v>100</v>
      </c>
      <c r="C7" t="s">
        <v>3</v>
      </c>
      <c r="D7" t="s">
        <v>233</v>
      </c>
      <c r="E7" t="s">
        <v>304</v>
      </c>
      <c r="F7" s="21">
        <f>COUNTIF(SCD[Course],SCD[[#This Row],[Course]])</f>
        <v>1</v>
      </c>
      <c r="G7">
        <v>17</v>
      </c>
      <c r="H7" s="21">
        <f>COUNTIF(SCD[Block],SCD[[#This Row],[Block]])</f>
        <v>4</v>
      </c>
      <c r="I7" s="21">
        <f>COUNTIFS(SCD[Course],SCD[[#This Row],[Course]],SCD[Block],"&lt;=7",SCD[Block],"&gt;=1") + COUNTIFS(SCD[Course],SCD[[#This Row],[Course]],SCD[Block],10)</f>
        <v>0</v>
      </c>
      <c r="J7" s="21">
        <f>COUNTIFS(SCD[Course],SCD[[#This Row],[Course]],SCD[Block],"&gt;7")</f>
        <v>1</v>
      </c>
      <c r="K7">
        <v>100</v>
      </c>
      <c r="AB7" s="21">
        <v>4</v>
      </c>
      <c r="AC7" s="21">
        <v>3</v>
      </c>
      <c r="AD7" s="21">
        <v>2</v>
      </c>
      <c r="AE7" s="21">
        <v>1</v>
      </c>
      <c r="AF7" s="25">
        <v>20</v>
      </c>
      <c r="AG7" s="25">
        <v>19</v>
      </c>
      <c r="AH7" s="25">
        <v>18</v>
      </c>
      <c r="AI7" s="25">
        <v>17</v>
      </c>
      <c r="AJ7" s="25">
        <v>16</v>
      </c>
      <c r="AK7" s="25">
        <v>15</v>
      </c>
      <c r="AL7" s="25">
        <v>14</v>
      </c>
      <c r="AM7" s="25">
        <v>13</v>
      </c>
      <c r="AN7" s="25">
        <v>12</v>
      </c>
      <c r="AO7" s="25">
        <v>11</v>
      </c>
      <c r="AP7" s="25">
        <v>10</v>
      </c>
      <c r="AQ7" s="25">
        <v>9</v>
      </c>
      <c r="AR7" s="25">
        <v>8</v>
      </c>
      <c r="AS7" s="25">
        <v>7</v>
      </c>
      <c r="AT7" s="25">
        <v>6</v>
      </c>
      <c r="AU7" s="25">
        <v>5</v>
      </c>
      <c r="AV7" s="25">
        <v>4</v>
      </c>
      <c r="AW7" s="25">
        <v>3</v>
      </c>
      <c r="AX7" s="25">
        <v>2</v>
      </c>
      <c r="AY7" s="25">
        <v>1</v>
      </c>
      <c r="AZ7">
        <v>6.4841303826562724E-2</v>
      </c>
    </row>
    <row r="8" spans="1:55" x14ac:dyDescent="0.25">
      <c r="A8" t="s">
        <v>183</v>
      </c>
      <c r="B8">
        <v>300</v>
      </c>
      <c r="C8" t="s">
        <v>3</v>
      </c>
      <c r="D8" t="s">
        <v>203</v>
      </c>
      <c r="E8" t="s">
        <v>314</v>
      </c>
      <c r="F8" s="21">
        <f>COUNTIF(SCD[Course],SCD[[#This Row],[Course]])</f>
        <v>4</v>
      </c>
      <c r="G8">
        <v>18</v>
      </c>
      <c r="H8" s="21">
        <f>COUNTIF(SCD[Block],SCD[[#This Row],[Block]])</f>
        <v>5</v>
      </c>
      <c r="I8" s="21">
        <f>COUNTIFS(SCD[Course],SCD[[#This Row],[Course]],SCD[Block],"&lt;=7",SCD[Block],"&gt;=1") + COUNTIFS(SCD[Course],SCD[[#This Row],[Course]],SCD[Block],10)</f>
        <v>1</v>
      </c>
      <c r="J8" s="21">
        <f>COUNTIFS(SCD[Course],SCD[[#This Row],[Course]],SCD[Block],"&gt;7")</f>
        <v>3</v>
      </c>
      <c r="K8">
        <v>100</v>
      </c>
      <c r="AB8" s="21">
        <v>4</v>
      </c>
      <c r="AE8" s="21"/>
      <c r="AF8" s="25">
        <v>15</v>
      </c>
      <c r="AG8" s="25">
        <v>11</v>
      </c>
      <c r="AH8" s="25">
        <v>20</v>
      </c>
      <c r="AI8" s="25">
        <v>19</v>
      </c>
      <c r="AJ8" s="25">
        <v>18</v>
      </c>
      <c r="AK8" s="25">
        <v>17</v>
      </c>
      <c r="AL8" s="25">
        <v>16</v>
      </c>
      <c r="AM8" s="25">
        <v>14</v>
      </c>
      <c r="AN8" s="25">
        <v>13</v>
      </c>
      <c r="AO8" s="25">
        <v>12</v>
      </c>
      <c r="AP8" s="25">
        <v>10</v>
      </c>
      <c r="AQ8" s="25">
        <v>9</v>
      </c>
      <c r="AR8" s="25">
        <v>8</v>
      </c>
      <c r="AS8" s="25">
        <v>7</v>
      </c>
      <c r="AT8" s="25">
        <v>6</v>
      </c>
      <c r="AU8" s="25">
        <v>5</v>
      </c>
      <c r="AV8" s="25">
        <v>4</v>
      </c>
      <c r="AW8" s="25">
        <v>3</v>
      </c>
      <c r="AX8" s="25">
        <v>1</v>
      </c>
      <c r="AZ8">
        <v>7.0341085939854331E-2</v>
      </c>
    </row>
    <row r="9" spans="1:55" x14ac:dyDescent="0.25">
      <c r="A9" t="s">
        <v>101</v>
      </c>
      <c r="B9">
        <v>100</v>
      </c>
      <c r="C9" t="s">
        <v>3</v>
      </c>
      <c r="D9" t="s">
        <v>272</v>
      </c>
      <c r="E9" t="s">
        <v>319</v>
      </c>
      <c r="F9" s="21">
        <f>COUNTIF(SCD[Course],SCD[[#This Row],[Course]])</f>
        <v>1</v>
      </c>
      <c r="G9">
        <v>13</v>
      </c>
      <c r="H9" s="21">
        <f>COUNTIF(SCD[Block],SCD[[#This Row],[Block]])</f>
        <v>5</v>
      </c>
      <c r="I9" s="21">
        <f>COUNTIFS(SCD[Course],SCD[[#This Row],[Course]],SCD[Block],"&lt;=7",SCD[Block],"&gt;=1") + COUNTIFS(SCD[Course],SCD[[#This Row],[Course]],SCD[Block],10)</f>
        <v>0</v>
      </c>
      <c r="J9" s="21">
        <f>COUNTIFS(SCD[Course],SCD[[#This Row],[Course]],SCD[Block],"&gt;7")</f>
        <v>1</v>
      </c>
      <c r="K9">
        <v>100</v>
      </c>
      <c r="AA9" s="21">
        <v>4</v>
      </c>
      <c r="AB9" s="21">
        <v>3</v>
      </c>
      <c r="AC9" s="21">
        <v>2</v>
      </c>
      <c r="AD9" s="21">
        <v>1</v>
      </c>
      <c r="AE9" s="21"/>
      <c r="AF9" s="25">
        <v>20</v>
      </c>
      <c r="AG9" s="25">
        <v>19</v>
      </c>
      <c r="AH9" s="25">
        <v>18</v>
      </c>
      <c r="AI9" s="25">
        <v>17</v>
      </c>
      <c r="AJ9" s="25">
        <v>16</v>
      </c>
      <c r="AK9" s="25">
        <v>15</v>
      </c>
      <c r="AL9" s="25">
        <v>14</v>
      </c>
      <c r="AM9" s="25">
        <v>13</v>
      </c>
      <c r="AN9" s="25">
        <v>12</v>
      </c>
      <c r="AO9" s="25">
        <v>11</v>
      </c>
      <c r="AP9" s="25">
        <v>10</v>
      </c>
      <c r="AQ9" s="25">
        <v>9</v>
      </c>
      <c r="AR9" s="25">
        <v>7</v>
      </c>
      <c r="AS9" s="25">
        <v>6</v>
      </c>
      <c r="AT9" s="25">
        <v>5</v>
      </c>
      <c r="AU9" s="25">
        <v>4</v>
      </c>
      <c r="AV9" s="25">
        <v>3</v>
      </c>
      <c r="AW9" s="25">
        <v>2</v>
      </c>
      <c r="AX9" s="25">
        <v>1</v>
      </c>
      <c r="AZ9">
        <v>7.7485386081161733E-2</v>
      </c>
    </row>
    <row r="10" spans="1:55" x14ac:dyDescent="0.25">
      <c r="A10" t="s">
        <v>83</v>
      </c>
      <c r="B10">
        <v>100</v>
      </c>
      <c r="C10" t="s">
        <v>3</v>
      </c>
      <c r="D10" t="s">
        <v>254</v>
      </c>
      <c r="E10" t="s">
        <v>318</v>
      </c>
      <c r="F10" s="21">
        <f>COUNTIF(SCD[Course],SCD[[#This Row],[Course]])</f>
        <v>1</v>
      </c>
      <c r="G10">
        <v>16</v>
      </c>
      <c r="H10" s="21">
        <f>COUNTIF(SCD[Block],SCD[[#This Row],[Block]])</f>
        <v>5</v>
      </c>
      <c r="I10" s="21">
        <f>COUNTIFS(SCD[Course],SCD[[#This Row],[Course]],SCD[Block],"&lt;=7",SCD[Block],"&gt;=1") + COUNTIFS(SCD[Course],SCD[[#This Row],[Course]],SCD[Block],10)</f>
        <v>0</v>
      </c>
      <c r="J10" s="21">
        <f>COUNTIFS(SCD[Course],SCD[[#This Row],[Course]],SCD[Block],"&gt;7")</f>
        <v>1</v>
      </c>
      <c r="K10">
        <v>100</v>
      </c>
      <c r="AB10" s="21">
        <v>4</v>
      </c>
      <c r="AC10" s="21">
        <v>3</v>
      </c>
      <c r="AD10" s="21">
        <v>2</v>
      </c>
      <c r="AE10" s="21">
        <v>1</v>
      </c>
      <c r="AF10" s="25">
        <v>20</v>
      </c>
      <c r="AG10" s="25">
        <v>19</v>
      </c>
      <c r="AH10" s="25">
        <v>18</v>
      </c>
      <c r="AI10" s="25">
        <v>17</v>
      </c>
      <c r="AJ10" s="25">
        <v>16</v>
      </c>
      <c r="AK10" s="25">
        <v>15</v>
      </c>
      <c r="AL10" s="25">
        <v>14</v>
      </c>
      <c r="AM10" s="25">
        <v>13</v>
      </c>
      <c r="AN10" s="25">
        <v>12</v>
      </c>
      <c r="AO10" s="25">
        <v>11</v>
      </c>
      <c r="AP10" s="25">
        <v>10</v>
      </c>
      <c r="AQ10" s="25">
        <v>9</v>
      </c>
      <c r="AR10" s="25">
        <v>8</v>
      </c>
      <c r="AS10" s="25">
        <v>7</v>
      </c>
      <c r="AT10" s="25">
        <v>6</v>
      </c>
      <c r="AU10" s="25">
        <v>5</v>
      </c>
      <c r="AV10" s="25">
        <v>4</v>
      </c>
      <c r="AW10" s="25">
        <v>3</v>
      </c>
      <c r="AX10" s="25">
        <v>2</v>
      </c>
      <c r="AY10" s="25">
        <v>1</v>
      </c>
      <c r="AZ10">
        <v>8.1025573788243821E-2</v>
      </c>
    </row>
    <row r="11" spans="1:55" x14ac:dyDescent="0.25">
      <c r="A11" t="s">
        <v>51</v>
      </c>
      <c r="B11">
        <v>100</v>
      </c>
      <c r="C11" t="s">
        <v>3</v>
      </c>
      <c r="D11" t="s">
        <v>222</v>
      </c>
      <c r="E11" t="s">
        <v>323</v>
      </c>
      <c r="F11" s="21">
        <f>COUNTIF(SCD[Course],SCD[[#This Row],[Course]])</f>
        <v>1</v>
      </c>
      <c r="G11">
        <v>12</v>
      </c>
      <c r="H11" s="21">
        <f>COUNTIF(SCD[Block],SCD[[#This Row],[Block]])</f>
        <v>5</v>
      </c>
      <c r="I11" s="21">
        <f>COUNTIFS(SCD[Course],SCD[[#This Row],[Course]],SCD[Block],"&lt;=7",SCD[Block],"&gt;=1") + COUNTIFS(SCD[Course],SCD[[#This Row],[Course]],SCD[Block],10)</f>
        <v>0</v>
      </c>
      <c r="J11" s="21">
        <f>COUNTIFS(SCD[Course],SCD[[#This Row],[Course]],SCD[Block],"&gt;7")</f>
        <v>1</v>
      </c>
      <c r="K11">
        <v>100</v>
      </c>
      <c r="AA11" s="21">
        <v>4</v>
      </c>
      <c r="AB11" s="21">
        <v>3</v>
      </c>
      <c r="AC11" s="21">
        <v>2</v>
      </c>
      <c r="AD11" s="21">
        <v>1</v>
      </c>
      <c r="AE11" s="21"/>
      <c r="AF11" s="25">
        <v>20</v>
      </c>
      <c r="AG11" s="25">
        <v>18</v>
      </c>
      <c r="AH11" s="25">
        <v>17</v>
      </c>
      <c r="AI11" s="25">
        <v>16</v>
      </c>
      <c r="AJ11" s="25">
        <v>15</v>
      </c>
      <c r="AK11" s="25">
        <v>14</v>
      </c>
      <c r="AL11" s="25">
        <v>13</v>
      </c>
      <c r="AM11" s="25">
        <v>12</v>
      </c>
      <c r="AN11" s="25">
        <v>11</v>
      </c>
      <c r="AO11" s="25">
        <v>10</v>
      </c>
      <c r="AP11" s="25">
        <v>9</v>
      </c>
      <c r="AQ11" s="25">
        <v>8</v>
      </c>
      <c r="AR11" s="25">
        <v>7</v>
      </c>
      <c r="AS11" s="25">
        <v>6</v>
      </c>
      <c r="AT11" s="25">
        <v>5</v>
      </c>
      <c r="AU11" s="25">
        <v>4</v>
      </c>
      <c r="AV11" s="25">
        <v>3</v>
      </c>
      <c r="AW11" s="25">
        <v>2</v>
      </c>
      <c r="AX11" s="25">
        <v>1</v>
      </c>
      <c r="AZ11">
        <v>0.12619211986283319</v>
      </c>
    </row>
    <row r="12" spans="1:55" x14ac:dyDescent="0.25">
      <c r="A12" t="s">
        <v>182</v>
      </c>
      <c r="B12">
        <v>400</v>
      </c>
      <c r="C12" t="s">
        <v>3</v>
      </c>
      <c r="D12" t="s">
        <v>200</v>
      </c>
      <c r="E12" t="s">
        <v>317</v>
      </c>
      <c r="F12" s="21">
        <f>COUNTIF(SCD[Course],SCD[[#This Row],[Course]])</f>
        <v>4</v>
      </c>
      <c r="G12">
        <v>3</v>
      </c>
      <c r="H12" s="21">
        <f>COUNTIF(SCD[Block],SCD[[#This Row],[Block]])</f>
        <v>4</v>
      </c>
      <c r="I12" s="21">
        <f>COUNTIFS(SCD[Course],SCD[[#This Row],[Course]],SCD[Block],"&lt;=7",SCD[Block],"&gt;=1") + COUNTIFS(SCD[Course],SCD[[#This Row],[Course]],SCD[Block],10)</f>
        <v>2</v>
      </c>
      <c r="J12" s="21">
        <f>COUNTIFS(SCD[Course],SCD[[#This Row],[Course]],SCD[Block],"&gt;7")</f>
        <v>3</v>
      </c>
      <c r="K12">
        <v>100</v>
      </c>
      <c r="AA12" s="21">
        <v>4</v>
      </c>
      <c r="AC12" s="21">
        <v>2</v>
      </c>
      <c r="AD12" s="21">
        <v>1</v>
      </c>
      <c r="AE12" s="21"/>
      <c r="AF12" s="25">
        <v>20</v>
      </c>
      <c r="AG12" s="25">
        <v>19</v>
      </c>
      <c r="AH12" s="25">
        <v>17</v>
      </c>
      <c r="AI12" s="25">
        <v>16</v>
      </c>
      <c r="AJ12" s="25">
        <v>15</v>
      </c>
      <c r="AK12" s="25">
        <v>14</v>
      </c>
      <c r="AL12" s="25">
        <v>13</v>
      </c>
      <c r="AM12" s="25">
        <v>12</v>
      </c>
      <c r="AN12" s="25">
        <v>11</v>
      </c>
      <c r="AO12" s="25">
        <v>10</v>
      </c>
      <c r="AP12" s="25">
        <v>9</v>
      </c>
      <c r="AQ12" s="25">
        <v>8</v>
      </c>
      <c r="AR12" s="25">
        <v>7</v>
      </c>
      <c r="AS12" s="25">
        <v>6</v>
      </c>
      <c r="AT12" s="25">
        <v>5</v>
      </c>
      <c r="AU12" s="25">
        <v>4</v>
      </c>
      <c r="AV12" s="25">
        <v>3</v>
      </c>
      <c r="AW12" s="25">
        <v>2</v>
      </c>
      <c r="AX12" s="25">
        <v>1</v>
      </c>
      <c r="AZ12">
        <v>0.13387511165569421</v>
      </c>
    </row>
    <row r="13" spans="1:55" x14ac:dyDescent="0.25">
      <c r="A13" t="s">
        <v>66</v>
      </c>
      <c r="B13">
        <v>100</v>
      </c>
      <c r="C13" t="s">
        <v>3</v>
      </c>
      <c r="D13" t="s">
        <v>237</v>
      </c>
      <c r="E13" t="s">
        <v>311</v>
      </c>
      <c r="F13" s="21">
        <f>COUNTIF(SCD[Course],SCD[[#This Row],[Course]])</f>
        <v>1</v>
      </c>
      <c r="G13">
        <v>11</v>
      </c>
      <c r="H13" s="21">
        <f>COUNTIF(SCD[Block],SCD[[#This Row],[Block]])</f>
        <v>5</v>
      </c>
      <c r="I13" s="21">
        <f>COUNTIFS(SCD[Course],SCD[[#This Row],[Course]],SCD[Block],"&lt;=7",SCD[Block],"&gt;=1") + COUNTIFS(SCD[Course],SCD[[#This Row],[Course]],SCD[Block],10)</f>
        <v>0</v>
      </c>
      <c r="J13" s="21">
        <f>COUNTIFS(SCD[Course],SCD[[#This Row],[Course]],SCD[Block],"&gt;7")</f>
        <v>1</v>
      </c>
      <c r="K13">
        <v>100</v>
      </c>
      <c r="AB13" s="21">
        <v>4</v>
      </c>
      <c r="AC13" s="21">
        <v>2</v>
      </c>
      <c r="AD13" s="21">
        <v>1</v>
      </c>
      <c r="AE13" s="21"/>
      <c r="AF13" s="25">
        <v>20</v>
      </c>
      <c r="AG13" s="25">
        <v>19</v>
      </c>
      <c r="AH13" s="25">
        <v>18</v>
      </c>
      <c r="AI13" s="25">
        <v>17</v>
      </c>
      <c r="AJ13" s="25">
        <v>16</v>
      </c>
      <c r="AK13" s="25">
        <v>15</v>
      </c>
      <c r="AL13" s="25">
        <v>14</v>
      </c>
      <c r="AM13" s="25">
        <v>13</v>
      </c>
      <c r="AN13" s="25">
        <v>12</v>
      </c>
      <c r="AO13" s="25">
        <v>11</v>
      </c>
      <c r="AP13" s="25">
        <v>10</v>
      </c>
      <c r="AQ13" s="25">
        <v>9</v>
      </c>
      <c r="AR13" s="25">
        <v>8</v>
      </c>
      <c r="AS13" s="25">
        <v>7</v>
      </c>
      <c r="AT13" s="25">
        <v>6</v>
      </c>
      <c r="AU13" s="25">
        <v>5</v>
      </c>
      <c r="AV13" s="25">
        <v>4</v>
      </c>
      <c r="AW13" s="25">
        <v>2</v>
      </c>
      <c r="AX13" s="25">
        <v>1</v>
      </c>
      <c r="AZ13">
        <v>0.15259317448719245</v>
      </c>
    </row>
    <row r="14" spans="1:55" x14ac:dyDescent="0.25">
      <c r="A14" t="s">
        <v>144</v>
      </c>
      <c r="B14">
        <v>300</v>
      </c>
      <c r="C14" t="s">
        <v>3</v>
      </c>
      <c r="D14" t="s">
        <v>191</v>
      </c>
      <c r="E14" t="s">
        <v>302</v>
      </c>
      <c r="F14" s="21">
        <f>COUNTIF(SCD[Course],SCD[[#This Row],[Course]])</f>
        <v>4</v>
      </c>
      <c r="G14">
        <v>7</v>
      </c>
      <c r="H14" s="21">
        <f>COUNTIF(SCD[Block],SCD[[#This Row],[Block]])</f>
        <v>4</v>
      </c>
      <c r="I14" s="21">
        <f>COUNTIFS(SCD[Course],SCD[[#This Row],[Course]],SCD[Block],"&lt;=7",SCD[Block],"&gt;=1") + COUNTIFS(SCD[Course],SCD[[#This Row],[Course]],SCD[Block],10)</f>
        <v>1</v>
      </c>
      <c r="J14" s="21">
        <f>COUNTIFS(SCD[Course],SCD[[#This Row],[Course]],SCD[Block],"&gt;7")</f>
        <v>3</v>
      </c>
      <c r="K14">
        <v>100</v>
      </c>
      <c r="AA14" s="21">
        <v>4</v>
      </c>
      <c r="AB14" s="21">
        <v>3</v>
      </c>
      <c r="AC14" s="21">
        <v>2</v>
      </c>
      <c r="AD14" s="21">
        <v>1</v>
      </c>
      <c r="AE14" s="21"/>
      <c r="AF14" s="25">
        <v>20</v>
      </c>
      <c r="AG14" s="25">
        <v>19</v>
      </c>
      <c r="AH14" s="25">
        <v>18</v>
      </c>
      <c r="AI14" s="25">
        <v>17</v>
      </c>
      <c r="AJ14" s="25">
        <v>16</v>
      </c>
      <c r="AK14" s="25">
        <v>15</v>
      </c>
      <c r="AL14" s="25">
        <v>14</v>
      </c>
      <c r="AM14" s="25">
        <v>13</v>
      </c>
      <c r="AN14" s="25">
        <v>12</v>
      </c>
      <c r="AO14" s="25">
        <v>11</v>
      </c>
      <c r="AP14" s="25">
        <v>10</v>
      </c>
      <c r="AQ14" s="25">
        <v>9</v>
      </c>
      <c r="AR14" s="25">
        <v>8</v>
      </c>
      <c r="AS14" s="25">
        <v>7</v>
      </c>
      <c r="AT14" s="25">
        <v>5</v>
      </c>
      <c r="AU14" s="25">
        <v>4</v>
      </c>
      <c r="AV14" s="25">
        <v>3</v>
      </c>
      <c r="AW14" s="25">
        <v>2</v>
      </c>
      <c r="AX14" s="25">
        <v>1</v>
      </c>
      <c r="AZ14">
        <v>0.1572757239159458</v>
      </c>
    </row>
    <row r="15" spans="1:55" x14ac:dyDescent="0.25">
      <c r="A15" t="s">
        <v>95</v>
      </c>
      <c r="B15">
        <v>100</v>
      </c>
      <c r="C15" t="s">
        <v>3</v>
      </c>
      <c r="D15" t="s">
        <v>266</v>
      </c>
      <c r="E15" t="s">
        <v>320</v>
      </c>
      <c r="F15" s="21">
        <f>COUNTIF(SCD[Course],SCD[[#This Row],[Course]])</f>
        <v>1</v>
      </c>
      <c r="G15">
        <v>20</v>
      </c>
      <c r="H15" s="21">
        <f>COUNTIF(SCD[Block],SCD[[#This Row],[Block]])</f>
        <v>5</v>
      </c>
      <c r="I15" s="21">
        <f>COUNTIFS(SCD[Course],SCD[[#This Row],[Course]],SCD[Block],"&lt;=7",SCD[Block],"&gt;=1") + COUNTIFS(SCD[Course],SCD[[#This Row],[Course]],SCD[Block],10)</f>
        <v>0</v>
      </c>
      <c r="J15" s="21">
        <f>COUNTIFS(SCD[Course],SCD[[#This Row],[Course]],SCD[Block],"&gt;7")</f>
        <v>1</v>
      </c>
      <c r="K15">
        <v>100</v>
      </c>
      <c r="AA15" s="21">
        <v>4</v>
      </c>
      <c r="AB15" s="21">
        <v>3</v>
      </c>
      <c r="AC15" s="21">
        <v>2</v>
      </c>
      <c r="AD15" s="21">
        <v>1</v>
      </c>
      <c r="AE15" s="21"/>
      <c r="AF15" s="25">
        <v>20</v>
      </c>
      <c r="AG15" s="25">
        <v>19</v>
      </c>
      <c r="AH15" s="25">
        <v>18</v>
      </c>
      <c r="AI15" s="25">
        <v>16</v>
      </c>
      <c r="AJ15" s="25">
        <v>15</v>
      </c>
      <c r="AK15" s="25">
        <v>14</v>
      </c>
      <c r="AL15" s="25">
        <v>13</v>
      </c>
      <c r="AM15" s="25">
        <v>12</v>
      </c>
      <c r="AN15" s="25">
        <v>11</v>
      </c>
      <c r="AO15" s="25">
        <v>10</v>
      </c>
      <c r="AP15" s="25">
        <v>9</v>
      </c>
      <c r="AQ15" s="25">
        <v>8</v>
      </c>
      <c r="AR15" s="25">
        <v>7</v>
      </c>
      <c r="AS15" s="25">
        <v>6</v>
      </c>
      <c r="AT15" s="25">
        <v>5</v>
      </c>
      <c r="AU15" s="25">
        <v>4</v>
      </c>
      <c r="AV15" s="25">
        <v>3</v>
      </c>
      <c r="AW15" s="25">
        <v>2</v>
      </c>
      <c r="AX15" s="25">
        <v>1</v>
      </c>
      <c r="AZ15">
        <v>0.17674577251099954</v>
      </c>
    </row>
    <row r="16" spans="1:55" x14ac:dyDescent="0.25">
      <c r="A16" t="s">
        <v>59</v>
      </c>
      <c r="B16">
        <v>100</v>
      </c>
      <c r="C16" t="s">
        <v>3</v>
      </c>
      <c r="D16" t="s">
        <v>230</v>
      </c>
      <c r="E16" t="s">
        <v>327</v>
      </c>
      <c r="F16" s="21">
        <f>COUNTIF(SCD[Course],SCD[[#This Row],[Course]])</f>
        <v>1</v>
      </c>
      <c r="G16">
        <v>9</v>
      </c>
      <c r="H16" s="21">
        <f>COUNTIF(SCD[Block],SCD[[#This Row],[Block]])</f>
        <v>5</v>
      </c>
      <c r="I16" s="21">
        <f>COUNTIFS(SCD[Course],SCD[[#This Row],[Course]],SCD[Block],"&lt;=7",SCD[Block],"&gt;=1") + COUNTIFS(SCD[Course],SCD[[#This Row],[Course]],SCD[Block],10)</f>
        <v>0</v>
      </c>
      <c r="J16" s="21">
        <f>COUNTIFS(SCD[Course],SCD[[#This Row],[Course]],SCD[Block],"&gt;7")</f>
        <v>1</v>
      </c>
      <c r="K16">
        <v>100</v>
      </c>
      <c r="AB16" s="21">
        <v>4</v>
      </c>
      <c r="AC16" s="21">
        <v>3</v>
      </c>
      <c r="AD16" s="21">
        <v>2</v>
      </c>
      <c r="AE16" s="21"/>
      <c r="AF16" s="25">
        <v>20</v>
      </c>
      <c r="AG16" s="25">
        <v>19</v>
      </c>
      <c r="AH16" s="25">
        <v>18</v>
      </c>
      <c r="AI16" s="25">
        <v>17</v>
      </c>
      <c r="AJ16" s="25">
        <v>16</v>
      </c>
      <c r="AK16" s="25">
        <v>15</v>
      </c>
      <c r="AL16" s="25">
        <v>14</v>
      </c>
      <c r="AM16" s="25">
        <v>13</v>
      </c>
      <c r="AN16" s="25">
        <v>12</v>
      </c>
      <c r="AO16" s="25">
        <v>11</v>
      </c>
      <c r="AP16" s="25">
        <v>10</v>
      </c>
      <c r="AQ16" s="25">
        <v>9</v>
      </c>
      <c r="AR16" s="25">
        <v>8</v>
      </c>
      <c r="AS16" s="25">
        <v>7</v>
      </c>
      <c r="AT16" s="25">
        <v>6</v>
      </c>
      <c r="AU16" s="25">
        <v>5</v>
      </c>
      <c r="AV16" s="25">
        <v>4</v>
      </c>
      <c r="AW16" s="25">
        <v>3</v>
      </c>
      <c r="AX16" s="25">
        <v>2</v>
      </c>
      <c r="AZ16">
        <v>0.17762037286027554</v>
      </c>
    </row>
    <row r="17" spans="1:52" x14ac:dyDescent="0.25">
      <c r="A17" t="s">
        <v>81</v>
      </c>
      <c r="B17">
        <v>100</v>
      </c>
      <c r="C17" t="s">
        <v>3</v>
      </c>
      <c r="D17" t="s">
        <v>252</v>
      </c>
      <c r="E17" t="s">
        <v>325</v>
      </c>
      <c r="F17" s="21">
        <f>COUNTIF(SCD[Course],SCD[[#This Row],[Course]])</f>
        <v>1</v>
      </c>
      <c r="G17">
        <v>8</v>
      </c>
      <c r="H17" s="21">
        <f>COUNTIF(SCD[Block],SCD[[#This Row],[Block]])</f>
        <v>5</v>
      </c>
      <c r="I17" s="21">
        <f>COUNTIFS(SCD[Course],SCD[[#This Row],[Course]],SCD[Block],"&lt;=7",SCD[Block],"&gt;=1") + COUNTIFS(SCD[Course],SCD[[#This Row],[Course]],SCD[Block],10)</f>
        <v>0</v>
      </c>
      <c r="J17" s="21">
        <f>COUNTIFS(SCD[Course],SCD[[#This Row],[Course]],SCD[Block],"&gt;7")</f>
        <v>1</v>
      </c>
      <c r="K17">
        <v>100</v>
      </c>
      <c r="AA17" s="21">
        <v>4</v>
      </c>
      <c r="AB17" s="21">
        <v>3</v>
      </c>
      <c r="AC17" s="21">
        <v>2</v>
      </c>
      <c r="AD17" s="21">
        <v>1</v>
      </c>
      <c r="AE17" s="21"/>
      <c r="AF17" s="25">
        <v>20</v>
      </c>
      <c r="AG17" s="25">
        <v>19</v>
      </c>
      <c r="AH17" s="25">
        <v>18</v>
      </c>
      <c r="AI17" s="25">
        <v>16</v>
      </c>
      <c r="AJ17" s="25">
        <v>15</v>
      </c>
      <c r="AK17" s="25">
        <v>14</v>
      </c>
      <c r="AL17" s="25">
        <v>13</v>
      </c>
      <c r="AM17" s="25">
        <v>12</v>
      </c>
      <c r="AN17" s="25">
        <v>11</v>
      </c>
      <c r="AO17" s="25">
        <v>10</v>
      </c>
      <c r="AP17" s="25">
        <v>9</v>
      </c>
      <c r="AQ17" s="25">
        <v>8</v>
      </c>
      <c r="AR17" s="25">
        <v>7</v>
      </c>
      <c r="AS17" s="25">
        <v>6</v>
      </c>
      <c r="AT17" s="25">
        <v>5</v>
      </c>
      <c r="AU17" s="25">
        <v>4</v>
      </c>
      <c r="AV17" s="25">
        <v>3</v>
      </c>
      <c r="AW17" s="25">
        <v>2</v>
      </c>
      <c r="AX17" s="25">
        <v>1</v>
      </c>
      <c r="AZ17">
        <v>0.18370956972483166</v>
      </c>
    </row>
    <row r="18" spans="1:52" x14ac:dyDescent="0.25">
      <c r="A18" t="s">
        <v>75</v>
      </c>
      <c r="B18">
        <v>100</v>
      </c>
      <c r="C18" t="s">
        <v>3</v>
      </c>
      <c r="D18" t="s">
        <v>246</v>
      </c>
      <c r="E18" t="s">
        <v>316</v>
      </c>
      <c r="F18" s="21">
        <f>COUNTIF(SCD[Course],SCD[[#This Row],[Course]])</f>
        <v>1</v>
      </c>
      <c r="G18">
        <v>6</v>
      </c>
      <c r="H18" s="21">
        <f>COUNTIF(SCD[Block],SCD[[#This Row],[Block]])</f>
        <v>5</v>
      </c>
      <c r="I18" s="21">
        <f>COUNTIFS(SCD[Course],SCD[[#This Row],[Course]],SCD[Block],"&lt;=7",SCD[Block],"&gt;=1") + COUNTIFS(SCD[Course],SCD[[#This Row],[Course]],SCD[Block],10)</f>
        <v>1</v>
      </c>
      <c r="J18" s="21">
        <f>COUNTIFS(SCD[Course],SCD[[#This Row],[Course]],SCD[Block],"&gt;7")</f>
        <v>0</v>
      </c>
      <c r="K18">
        <v>100</v>
      </c>
      <c r="AB18" s="21">
        <v>3</v>
      </c>
      <c r="AD18" s="21">
        <v>1</v>
      </c>
      <c r="AE18" s="21"/>
      <c r="AF18" s="25">
        <v>20</v>
      </c>
      <c r="AG18" s="25">
        <v>19</v>
      </c>
      <c r="AH18" s="25">
        <v>18</v>
      </c>
      <c r="AI18" s="25">
        <v>17</v>
      </c>
      <c r="AJ18" s="25">
        <v>16</v>
      </c>
      <c r="AK18" s="25">
        <v>15</v>
      </c>
      <c r="AL18" s="25">
        <v>14</v>
      </c>
      <c r="AM18" s="25">
        <v>13</v>
      </c>
      <c r="AN18" s="25">
        <v>12</v>
      </c>
      <c r="AO18" s="25">
        <v>11</v>
      </c>
      <c r="AP18" s="25">
        <v>10</v>
      </c>
      <c r="AQ18" s="25">
        <v>9</v>
      </c>
      <c r="AR18" s="25">
        <v>8</v>
      </c>
      <c r="AS18" s="25">
        <v>7</v>
      </c>
      <c r="AT18" s="25">
        <v>6</v>
      </c>
      <c r="AU18" s="25">
        <v>5</v>
      </c>
      <c r="AV18" s="25">
        <v>3</v>
      </c>
      <c r="AW18" s="25">
        <v>2</v>
      </c>
      <c r="AX18" s="25">
        <v>1</v>
      </c>
      <c r="AZ18">
        <v>0.19748786841340904</v>
      </c>
    </row>
    <row r="19" spans="1:52" x14ac:dyDescent="0.25">
      <c r="A19" t="s">
        <v>84</v>
      </c>
      <c r="B19">
        <v>100</v>
      </c>
      <c r="C19" t="s">
        <v>3</v>
      </c>
      <c r="D19" t="s">
        <v>255</v>
      </c>
      <c r="E19" t="s">
        <v>313</v>
      </c>
      <c r="F19" s="21">
        <f>COUNTIF(SCD[Course],SCD[[#This Row],[Course]])</f>
        <v>1</v>
      </c>
      <c r="G19">
        <v>5</v>
      </c>
      <c r="H19" s="21">
        <f>COUNTIF(SCD[Block],SCD[[#This Row],[Block]])</f>
        <v>5</v>
      </c>
      <c r="I19" s="21">
        <f>COUNTIFS(SCD[Course],SCD[[#This Row],[Course]],SCD[Block],"&lt;=7",SCD[Block],"&gt;=1") + COUNTIFS(SCD[Course],SCD[[#This Row],[Course]],SCD[Block],10)</f>
        <v>1</v>
      </c>
      <c r="J19" s="21">
        <f>COUNTIFS(SCD[Course],SCD[[#This Row],[Course]],SCD[Block],"&gt;7")</f>
        <v>0</v>
      </c>
      <c r="K19">
        <v>100</v>
      </c>
      <c r="AA19" s="21">
        <v>4</v>
      </c>
      <c r="AB19" s="21">
        <v>3</v>
      </c>
      <c r="AC19" s="21">
        <v>2</v>
      </c>
      <c r="AD19" s="21">
        <v>1</v>
      </c>
      <c r="AE19" s="21"/>
      <c r="AF19" s="25">
        <v>20</v>
      </c>
      <c r="AG19" s="25">
        <v>19</v>
      </c>
      <c r="AH19" s="25">
        <v>18</v>
      </c>
      <c r="AI19" s="25">
        <v>17</v>
      </c>
      <c r="AJ19" s="25">
        <v>16</v>
      </c>
      <c r="AK19" s="25">
        <v>15</v>
      </c>
      <c r="AL19" s="25">
        <v>14</v>
      </c>
      <c r="AM19" s="25">
        <v>13</v>
      </c>
      <c r="AN19" s="25">
        <v>12</v>
      </c>
      <c r="AO19" s="25">
        <v>11</v>
      </c>
      <c r="AP19" s="25">
        <v>10</v>
      </c>
      <c r="AQ19" s="25">
        <v>8</v>
      </c>
      <c r="AR19" s="25">
        <v>7</v>
      </c>
      <c r="AS19" s="25">
        <v>6</v>
      </c>
      <c r="AT19" s="25">
        <v>5</v>
      </c>
      <c r="AU19" s="25">
        <v>4</v>
      </c>
      <c r="AV19" s="25">
        <v>3</v>
      </c>
      <c r="AW19" s="25">
        <v>2</v>
      </c>
      <c r="AX19" s="25">
        <v>1</v>
      </c>
      <c r="AZ19">
        <v>0.20134553890035722</v>
      </c>
    </row>
    <row r="20" spans="1:52" x14ac:dyDescent="0.25">
      <c r="A20" t="s">
        <v>145</v>
      </c>
      <c r="B20">
        <v>200</v>
      </c>
      <c r="C20" t="s">
        <v>3</v>
      </c>
      <c r="D20" t="s">
        <v>194</v>
      </c>
      <c r="E20" t="s">
        <v>300</v>
      </c>
      <c r="F20" s="21">
        <f>COUNTIF(SCD[Course],SCD[[#This Row],[Course]])</f>
        <v>4</v>
      </c>
      <c r="G20">
        <v>6</v>
      </c>
      <c r="H20" s="21">
        <f>COUNTIF(SCD[Block],SCD[[#This Row],[Block]])</f>
        <v>5</v>
      </c>
      <c r="I20" s="21">
        <f>COUNTIFS(SCD[Course],SCD[[#This Row],[Course]],SCD[Block],"&lt;=7",SCD[Block],"&gt;=1") + COUNTIFS(SCD[Course],SCD[[#This Row],[Course]],SCD[Block],10)</f>
        <v>3</v>
      </c>
      <c r="J20" s="21">
        <f>COUNTIFS(SCD[Course],SCD[[#This Row],[Course]],SCD[Block],"&gt;7")</f>
        <v>1</v>
      </c>
      <c r="K20">
        <v>100</v>
      </c>
      <c r="AB20" s="21">
        <v>3</v>
      </c>
      <c r="AC20" s="21">
        <v>2</v>
      </c>
      <c r="AD20" s="21">
        <v>1</v>
      </c>
      <c r="AE20" s="21"/>
      <c r="AF20" s="25">
        <v>20</v>
      </c>
      <c r="AG20" s="25">
        <v>19</v>
      </c>
      <c r="AH20" s="25">
        <v>18</v>
      </c>
      <c r="AI20" s="25">
        <v>17</v>
      </c>
      <c r="AJ20" s="25">
        <v>16</v>
      </c>
      <c r="AK20" s="25">
        <v>15</v>
      </c>
      <c r="AL20" s="25">
        <v>14</v>
      </c>
      <c r="AM20" s="25">
        <v>13</v>
      </c>
      <c r="AN20" s="25">
        <v>12</v>
      </c>
      <c r="AO20" s="25">
        <v>11</v>
      </c>
      <c r="AP20" s="25">
        <v>10</v>
      </c>
      <c r="AQ20" s="25">
        <v>9</v>
      </c>
      <c r="AR20" s="25">
        <v>7</v>
      </c>
      <c r="AS20" s="25">
        <v>6</v>
      </c>
      <c r="AT20" s="25">
        <v>5</v>
      </c>
      <c r="AU20" s="25">
        <v>4</v>
      </c>
      <c r="AV20" s="25">
        <v>3</v>
      </c>
      <c r="AW20" s="25">
        <v>2</v>
      </c>
      <c r="AX20" s="25">
        <v>1</v>
      </c>
      <c r="AZ20">
        <v>0.20487944222070797</v>
      </c>
    </row>
    <row r="21" spans="1:52" x14ac:dyDescent="0.25">
      <c r="A21" t="s">
        <v>93</v>
      </c>
      <c r="B21">
        <v>100</v>
      </c>
      <c r="C21" t="s">
        <v>3</v>
      </c>
      <c r="D21" t="s">
        <v>264</v>
      </c>
      <c r="E21" t="s">
        <v>331</v>
      </c>
      <c r="F21" s="21">
        <f>COUNTIF(SCD[Course],SCD[[#This Row],[Course]])</f>
        <v>1</v>
      </c>
      <c r="G21">
        <v>4</v>
      </c>
      <c r="H21" s="21">
        <f>COUNTIF(SCD[Block],SCD[[#This Row],[Block]])</f>
        <v>4</v>
      </c>
      <c r="I21" s="21">
        <f>COUNTIFS(SCD[Course],SCD[[#This Row],[Course]],SCD[Block],"&lt;=7",SCD[Block],"&gt;=1") + COUNTIFS(SCD[Course],SCD[[#This Row],[Course]],SCD[Block],10)</f>
        <v>1</v>
      </c>
      <c r="J21" s="21">
        <f>COUNTIFS(SCD[Course],SCD[[#This Row],[Course]],SCD[Block],"&gt;7")</f>
        <v>0</v>
      </c>
      <c r="K21">
        <v>100</v>
      </c>
      <c r="AC21" s="21">
        <v>2</v>
      </c>
      <c r="AD21" s="21">
        <v>1</v>
      </c>
      <c r="AE21" s="21"/>
      <c r="AF21" s="25">
        <v>20</v>
      </c>
      <c r="AG21" s="25">
        <v>19</v>
      </c>
      <c r="AH21" s="25">
        <v>18</v>
      </c>
      <c r="AI21" s="25">
        <v>17</v>
      </c>
      <c r="AJ21" s="25">
        <v>16</v>
      </c>
      <c r="AK21" s="25">
        <v>15</v>
      </c>
      <c r="AL21" s="25">
        <v>14</v>
      </c>
      <c r="AM21" s="25">
        <v>13</v>
      </c>
      <c r="AN21" s="25">
        <v>12</v>
      </c>
      <c r="AO21" s="25">
        <v>11</v>
      </c>
      <c r="AP21" s="25">
        <v>10</v>
      </c>
      <c r="AQ21" s="25">
        <v>9</v>
      </c>
      <c r="AR21" s="25">
        <v>8</v>
      </c>
      <c r="AS21" s="25">
        <v>7</v>
      </c>
      <c r="AT21" s="25">
        <v>5</v>
      </c>
      <c r="AU21" s="25">
        <v>4</v>
      </c>
      <c r="AV21" s="25">
        <v>3</v>
      </c>
      <c r="AW21" s="25">
        <v>2</v>
      </c>
      <c r="AX21" s="25">
        <v>1</v>
      </c>
      <c r="AZ21">
        <v>0.21932276904931047</v>
      </c>
    </row>
    <row r="22" spans="1:52" x14ac:dyDescent="0.25">
      <c r="A22" t="s">
        <v>46</v>
      </c>
      <c r="B22">
        <v>100</v>
      </c>
      <c r="C22" t="s">
        <v>3</v>
      </c>
      <c r="D22" t="s">
        <v>217</v>
      </c>
      <c r="E22" t="s">
        <v>331</v>
      </c>
      <c r="F22" s="21">
        <f>COUNTIF(SCD[Course],SCD[[#This Row],[Course]])</f>
        <v>1</v>
      </c>
      <c r="G22">
        <v>3</v>
      </c>
      <c r="H22" s="21">
        <f>COUNTIF(SCD[Block],SCD[[#This Row],[Block]])</f>
        <v>4</v>
      </c>
      <c r="I22" s="21">
        <f>COUNTIFS(SCD[Course],SCD[[#This Row],[Course]],SCD[Block],"&lt;=7",SCD[Block],"&gt;=1") + COUNTIFS(SCD[Course],SCD[[#This Row],[Course]],SCD[Block],10)</f>
        <v>1</v>
      </c>
      <c r="J22" s="21">
        <f>COUNTIFS(SCD[Course],SCD[[#This Row],[Course]],SCD[Block],"&gt;7")</f>
        <v>0</v>
      </c>
      <c r="K22">
        <v>100</v>
      </c>
      <c r="AA22" s="21">
        <v>4</v>
      </c>
      <c r="AC22" s="21">
        <v>2</v>
      </c>
      <c r="AD22" s="21">
        <v>1</v>
      </c>
      <c r="AE22" s="21"/>
      <c r="AF22" s="25">
        <v>20</v>
      </c>
      <c r="AG22" s="25">
        <v>19</v>
      </c>
      <c r="AH22" s="25">
        <v>18</v>
      </c>
      <c r="AI22" s="25">
        <v>17</v>
      </c>
      <c r="AJ22" s="25">
        <v>16</v>
      </c>
      <c r="AK22" s="25">
        <v>15</v>
      </c>
      <c r="AL22" s="25">
        <v>14</v>
      </c>
      <c r="AM22" s="25">
        <v>13</v>
      </c>
      <c r="AN22" s="25">
        <v>12</v>
      </c>
      <c r="AO22" s="25">
        <v>11</v>
      </c>
      <c r="AP22" s="25">
        <v>10</v>
      </c>
      <c r="AQ22" s="25">
        <v>9</v>
      </c>
      <c r="AR22" s="25">
        <v>8</v>
      </c>
      <c r="AS22" s="25">
        <v>7</v>
      </c>
      <c r="AT22" s="25">
        <v>5</v>
      </c>
      <c r="AU22" s="25">
        <v>4</v>
      </c>
      <c r="AV22" s="25">
        <v>3</v>
      </c>
      <c r="AW22" s="25">
        <v>2</v>
      </c>
      <c r="AX22" s="25">
        <v>1</v>
      </c>
      <c r="AZ22">
        <v>0.22726267708846393</v>
      </c>
    </row>
    <row r="23" spans="1:52" x14ac:dyDescent="0.25">
      <c r="A23" t="s">
        <v>13</v>
      </c>
      <c r="B23">
        <v>100</v>
      </c>
      <c r="C23" t="s">
        <v>5</v>
      </c>
      <c r="D23" t="s">
        <v>207</v>
      </c>
      <c r="E23" t="s">
        <v>294</v>
      </c>
      <c r="F23" s="21">
        <f>COUNTIF(SCD[Course],SCD[[#This Row],[Course]])</f>
        <v>1</v>
      </c>
      <c r="G23">
        <v>26</v>
      </c>
      <c r="H23" s="21">
        <f>COUNTIF(SCD[Block],SCD[[#This Row],[Block]])</f>
        <v>2</v>
      </c>
      <c r="I23" s="21">
        <f>COUNTIFS(SCD[Course],SCD[[#This Row],[Course]],SCD[Block],"&lt;=7",SCD[Block],"&gt;=1") + COUNTIFS(SCD[Course],SCD[[#This Row],[Course]],SCD[Block],10)</f>
        <v>0</v>
      </c>
      <c r="J23" s="21">
        <f>COUNTIFS(SCD[Course],SCD[[#This Row],[Course]],SCD[Block],"&gt;7")</f>
        <v>1</v>
      </c>
      <c r="K23">
        <v>100</v>
      </c>
      <c r="P23" s="21">
        <v>24</v>
      </c>
      <c r="Q23" s="21">
        <v>23</v>
      </c>
      <c r="R23" s="21">
        <v>22</v>
      </c>
      <c r="S23" s="21">
        <v>21</v>
      </c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5">
        <v>28</v>
      </c>
      <c r="AG23" s="25">
        <v>27</v>
      </c>
      <c r="AH23" s="25">
        <v>26</v>
      </c>
      <c r="AI23" s="25">
        <v>25</v>
      </c>
      <c r="AJ23" s="25">
        <v>24</v>
      </c>
      <c r="AK23" s="25">
        <v>23</v>
      </c>
      <c r="AL23" s="25">
        <v>22</v>
      </c>
      <c r="AM23" s="25">
        <v>21</v>
      </c>
      <c r="AZ23">
        <v>0.23192826597584049</v>
      </c>
    </row>
    <row r="24" spans="1:52" x14ac:dyDescent="0.25">
      <c r="A24" t="s">
        <v>7</v>
      </c>
      <c r="B24">
        <v>100</v>
      </c>
      <c r="C24" t="s">
        <v>5</v>
      </c>
      <c r="D24" t="s">
        <v>26</v>
      </c>
      <c r="E24" t="s">
        <v>333</v>
      </c>
      <c r="F24" s="21">
        <f>COUNTIF(SCD[Course],SCD[[#This Row],[Course]])</f>
        <v>1</v>
      </c>
      <c r="G24">
        <v>25</v>
      </c>
      <c r="H24" s="21">
        <f>COUNTIF(SCD[Block],SCD[[#This Row],[Block]])</f>
        <v>2</v>
      </c>
      <c r="I24" s="21">
        <f>COUNTIFS(SCD[Course],SCD[[#This Row],[Course]],SCD[Block],"&lt;=7",SCD[Block],"&gt;=1") + COUNTIFS(SCD[Course],SCD[[#This Row],[Course]],SCD[Block],10)</f>
        <v>0</v>
      </c>
      <c r="J24" s="21">
        <f>COUNTIFS(SCD[Course],SCD[[#This Row],[Course]],SCD[Block],"&gt;7")</f>
        <v>1</v>
      </c>
      <c r="K24">
        <v>100</v>
      </c>
      <c r="P24" s="21">
        <v>24</v>
      </c>
      <c r="Q24" s="21">
        <v>23</v>
      </c>
      <c r="R24" s="21">
        <v>22</v>
      </c>
      <c r="S24" s="21">
        <v>21</v>
      </c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5">
        <v>28</v>
      </c>
      <c r="AG24" s="25">
        <v>27</v>
      </c>
      <c r="AH24" s="25">
        <v>26</v>
      </c>
      <c r="AI24" s="25">
        <v>25</v>
      </c>
      <c r="AJ24" s="25">
        <v>24</v>
      </c>
      <c r="AK24" s="25">
        <v>23</v>
      </c>
      <c r="AL24" s="25">
        <v>22</v>
      </c>
      <c r="AM24" s="25">
        <v>21</v>
      </c>
      <c r="AZ24">
        <v>0.2327032588658744</v>
      </c>
    </row>
    <row r="25" spans="1:52" x14ac:dyDescent="0.25">
      <c r="A25" t="s">
        <v>102</v>
      </c>
      <c r="B25">
        <v>100</v>
      </c>
      <c r="C25" t="s">
        <v>3</v>
      </c>
      <c r="D25" t="s">
        <v>273</v>
      </c>
      <c r="E25" t="s">
        <v>329</v>
      </c>
      <c r="F25" s="21">
        <f>COUNTIF(SCD[Course],SCD[[#This Row],[Course]])</f>
        <v>1</v>
      </c>
      <c r="G25">
        <v>2</v>
      </c>
      <c r="H25" s="21">
        <f>COUNTIF(SCD[Block],SCD[[#This Row],[Block]])</f>
        <v>4</v>
      </c>
      <c r="I25" s="21">
        <f>COUNTIFS(SCD[Course],SCD[[#This Row],[Course]],SCD[Block],"&lt;=7",SCD[Block],"&gt;=1") + COUNTIFS(SCD[Course],SCD[[#This Row],[Course]],SCD[Block],10)</f>
        <v>1</v>
      </c>
      <c r="J25" s="21">
        <f>COUNTIFS(SCD[Course],SCD[[#This Row],[Course]],SCD[Block],"&gt;7")</f>
        <v>0</v>
      </c>
      <c r="K25">
        <v>100</v>
      </c>
      <c r="AA25" s="21">
        <v>4</v>
      </c>
      <c r="AB25" s="21">
        <v>3</v>
      </c>
      <c r="AE25" s="21"/>
      <c r="AF25" s="25">
        <v>20</v>
      </c>
      <c r="AG25" s="25">
        <v>19</v>
      </c>
      <c r="AH25" s="25">
        <v>18</v>
      </c>
      <c r="AI25" s="25">
        <v>17</v>
      </c>
      <c r="AJ25" s="25">
        <v>15</v>
      </c>
      <c r="AK25" s="25">
        <v>14</v>
      </c>
      <c r="AL25" s="25">
        <v>13</v>
      </c>
      <c r="AM25" s="25">
        <v>12</v>
      </c>
      <c r="AN25" s="25">
        <v>11</v>
      </c>
      <c r="AO25" s="25">
        <v>10</v>
      </c>
      <c r="AP25" s="25">
        <v>9</v>
      </c>
      <c r="AQ25" s="25">
        <v>8</v>
      </c>
      <c r="AR25" s="25">
        <v>7</v>
      </c>
      <c r="AS25" s="25">
        <v>6</v>
      </c>
      <c r="AT25" s="25">
        <v>5</v>
      </c>
      <c r="AU25" s="25">
        <v>4</v>
      </c>
      <c r="AV25" s="25">
        <v>3</v>
      </c>
      <c r="AW25" s="25">
        <v>2</v>
      </c>
      <c r="AX25" s="25">
        <v>1</v>
      </c>
      <c r="AZ25">
        <v>0.23455992429349759</v>
      </c>
    </row>
    <row r="26" spans="1:52" x14ac:dyDescent="0.25">
      <c r="A26" t="s">
        <v>50</v>
      </c>
      <c r="B26">
        <v>100</v>
      </c>
      <c r="C26" t="s">
        <v>3</v>
      </c>
      <c r="D26" t="s">
        <v>221</v>
      </c>
      <c r="E26" t="s">
        <v>323</v>
      </c>
      <c r="F26" s="21">
        <f>COUNTIF(SCD[Course],SCD[[#This Row],[Course]])</f>
        <v>1</v>
      </c>
      <c r="G26">
        <v>20</v>
      </c>
      <c r="H26" s="21">
        <f>COUNTIF(SCD[Block],SCD[[#This Row],[Block]])</f>
        <v>5</v>
      </c>
      <c r="I26" s="21">
        <f>COUNTIFS(SCD[Course],SCD[[#This Row],[Course]],SCD[Block],"&lt;=7",SCD[Block],"&gt;=1") + COUNTIFS(SCD[Course],SCD[[#This Row],[Course]],SCD[Block],10)</f>
        <v>0</v>
      </c>
      <c r="J26" s="21">
        <f>COUNTIFS(SCD[Course],SCD[[#This Row],[Course]],SCD[Block],"&gt;7")</f>
        <v>1</v>
      </c>
      <c r="K26">
        <v>100</v>
      </c>
      <c r="AA26" s="21">
        <v>4</v>
      </c>
      <c r="AB26" s="21">
        <v>3</v>
      </c>
      <c r="AC26" s="21">
        <v>2</v>
      </c>
      <c r="AD26" s="21">
        <v>1</v>
      </c>
      <c r="AE26" s="21"/>
      <c r="AF26" s="25">
        <v>20</v>
      </c>
      <c r="AG26" s="25">
        <v>18</v>
      </c>
      <c r="AH26" s="25">
        <v>17</v>
      </c>
      <c r="AI26" s="25">
        <v>16</v>
      </c>
      <c r="AJ26" s="25">
        <v>15</v>
      </c>
      <c r="AK26" s="25">
        <v>14</v>
      </c>
      <c r="AL26" s="25">
        <v>13</v>
      </c>
      <c r="AM26" s="25">
        <v>12</v>
      </c>
      <c r="AN26" s="25">
        <v>11</v>
      </c>
      <c r="AO26" s="25">
        <v>10</v>
      </c>
      <c r="AP26" s="25">
        <v>9</v>
      </c>
      <c r="AQ26" s="25">
        <v>8</v>
      </c>
      <c r="AR26" s="25">
        <v>7</v>
      </c>
      <c r="AS26" s="25">
        <v>6</v>
      </c>
      <c r="AT26" s="25">
        <v>5</v>
      </c>
      <c r="AU26" s="25">
        <v>4</v>
      </c>
      <c r="AV26" s="25">
        <v>3</v>
      </c>
      <c r="AW26" s="25">
        <v>2</v>
      </c>
      <c r="AX26" s="25">
        <v>1</v>
      </c>
      <c r="AZ26">
        <v>0.24641366768573902</v>
      </c>
    </row>
    <row r="27" spans="1:52" x14ac:dyDescent="0.25">
      <c r="A27" t="s">
        <v>55</v>
      </c>
      <c r="B27">
        <v>100</v>
      </c>
      <c r="C27" t="s">
        <v>3</v>
      </c>
      <c r="D27" t="s">
        <v>226</v>
      </c>
      <c r="E27" t="s">
        <v>322</v>
      </c>
      <c r="F27" s="21">
        <f>COUNTIF(SCD[Course],SCD[[#This Row],[Course]])</f>
        <v>1</v>
      </c>
      <c r="G27">
        <v>19</v>
      </c>
      <c r="H27" s="21">
        <f>COUNTIF(SCD[Block],SCD[[#This Row],[Block]])</f>
        <v>5</v>
      </c>
      <c r="I27" s="21">
        <f>COUNTIFS(SCD[Course],SCD[[#This Row],[Course]],SCD[Block],"&lt;=7",SCD[Block],"&gt;=1") + COUNTIFS(SCD[Course],SCD[[#This Row],[Course]],SCD[Block],10)</f>
        <v>0</v>
      </c>
      <c r="J27" s="21">
        <f>COUNTIFS(SCD[Course],SCD[[#This Row],[Course]],SCD[Block],"&gt;7")</f>
        <v>1</v>
      </c>
      <c r="K27">
        <v>100</v>
      </c>
      <c r="AA27" s="21">
        <v>4</v>
      </c>
      <c r="AB27" s="21">
        <v>3</v>
      </c>
      <c r="AC27" s="21">
        <v>2</v>
      </c>
      <c r="AD27" s="21">
        <v>1</v>
      </c>
      <c r="AE27" s="21"/>
      <c r="AF27" s="25">
        <v>20</v>
      </c>
      <c r="AG27" s="25">
        <v>19</v>
      </c>
      <c r="AH27" s="25">
        <v>18</v>
      </c>
      <c r="AI27" s="25">
        <v>17</v>
      </c>
      <c r="AJ27" s="25">
        <v>16</v>
      </c>
      <c r="AK27" s="25">
        <v>15</v>
      </c>
      <c r="AL27" s="25">
        <v>14</v>
      </c>
      <c r="AM27" s="25">
        <v>13</v>
      </c>
      <c r="AN27" s="25">
        <v>12</v>
      </c>
      <c r="AO27" s="25">
        <v>11</v>
      </c>
      <c r="AP27" s="25">
        <v>9</v>
      </c>
      <c r="AQ27" s="25">
        <v>8</v>
      </c>
      <c r="AR27" s="25">
        <v>7</v>
      </c>
      <c r="AS27" s="25">
        <v>6</v>
      </c>
      <c r="AT27" s="25">
        <v>5</v>
      </c>
      <c r="AU27" s="25">
        <v>4</v>
      </c>
      <c r="AV27" s="25">
        <v>3</v>
      </c>
      <c r="AW27" s="25">
        <v>2</v>
      </c>
      <c r="AX27" s="25">
        <v>1</v>
      </c>
      <c r="AZ27">
        <v>0.24861863277132268</v>
      </c>
    </row>
    <row r="28" spans="1:52" x14ac:dyDescent="0.25">
      <c r="A28" t="s">
        <v>69</v>
      </c>
      <c r="B28">
        <v>100</v>
      </c>
      <c r="C28" t="s">
        <v>3</v>
      </c>
      <c r="D28" t="s">
        <v>240</v>
      </c>
      <c r="E28" t="s">
        <v>301</v>
      </c>
      <c r="F28" s="21">
        <f>COUNTIF(SCD[Course],SCD[[#This Row],[Course]])</f>
        <v>1</v>
      </c>
      <c r="G28">
        <v>17</v>
      </c>
      <c r="H28" s="21">
        <f>COUNTIF(SCD[Block],SCD[[#This Row],[Block]])</f>
        <v>4</v>
      </c>
      <c r="I28" s="21">
        <f>COUNTIFS(SCD[Course],SCD[[#This Row],[Course]],SCD[Block],"&lt;=7",SCD[Block],"&gt;=1") + COUNTIFS(SCD[Course],SCD[[#This Row],[Course]],SCD[Block],10)</f>
        <v>0</v>
      </c>
      <c r="J28" s="21">
        <f>COUNTIFS(SCD[Course],SCD[[#This Row],[Course]],SCD[Block],"&gt;7")</f>
        <v>1</v>
      </c>
      <c r="K28">
        <v>100</v>
      </c>
      <c r="AA28" s="21">
        <v>4</v>
      </c>
      <c r="AB28" s="21">
        <v>3</v>
      </c>
      <c r="AC28" s="21">
        <v>2</v>
      </c>
      <c r="AD28" s="21">
        <v>1</v>
      </c>
      <c r="AE28" s="21"/>
      <c r="AF28" s="25">
        <v>20</v>
      </c>
      <c r="AG28" s="25">
        <v>19</v>
      </c>
      <c r="AH28" s="25">
        <v>18</v>
      </c>
      <c r="AI28" s="25">
        <v>17</v>
      </c>
      <c r="AJ28" s="25">
        <v>16</v>
      </c>
      <c r="AK28" s="25">
        <v>15</v>
      </c>
      <c r="AL28" s="25">
        <v>13</v>
      </c>
      <c r="AM28" s="25">
        <v>12</v>
      </c>
      <c r="AN28" s="25">
        <v>11</v>
      </c>
      <c r="AO28" s="25">
        <v>10</v>
      </c>
      <c r="AP28" s="25">
        <v>9</v>
      </c>
      <c r="AQ28" s="25">
        <v>8</v>
      </c>
      <c r="AR28" s="25">
        <v>7</v>
      </c>
      <c r="AS28" s="25">
        <v>6</v>
      </c>
      <c r="AT28" s="25">
        <v>5</v>
      </c>
      <c r="AU28" s="25">
        <v>4</v>
      </c>
      <c r="AV28" s="25">
        <v>3</v>
      </c>
      <c r="AW28" s="25">
        <v>2</v>
      </c>
      <c r="AX28" s="25">
        <v>1</v>
      </c>
      <c r="AZ28">
        <v>0.26252351458522027</v>
      </c>
    </row>
    <row r="29" spans="1:52" x14ac:dyDescent="0.25">
      <c r="A29" t="s">
        <v>73</v>
      </c>
      <c r="B29">
        <v>100</v>
      </c>
      <c r="C29" t="s">
        <v>3</v>
      </c>
      <c r="D29" t="s">
        <v>244</v>
      </c>
      <c r="E29" t="s">
        <v>334</v>
      </c>
      <c r="F29" s="21">
        <f>COUNTIF(SCD[Course],SCD[[#This Row],[Course]])</f>
        <v>1</v>
      </c>
      <c r="G29">
        <v>8</v>
      </c>
      <c r="H29" s="21">
        <f>COUNTIF(SCD[Block],SCD[[#This Row],[Block]])</f>
        <v>5</v>
      </c>
      <c r="I29" s="21">
        <f>COUNTIFS(SCD[Course],SCD[[#This Row],[Course]],SCD[Block],"&lt;=7",SCD[Block],"&gt;=1") + COUNTIFS(SCD[Course],SCD[[#This Row],[Course]],SCD[Block],10)</f>
        <v>0</v>
      </c>
      <c r="J29" s="21">
        <f>COUNTIFS(SCD[Course],SCD[[#This Row],[Course]],SCD[Block],"&gt;7")</f>
        <v>1</v>
      </c>
      <c r="K29">
        <v>100</v>
      </c>
      <c r="AB29" s="21">
        <v>4</v>
      </c>
      <c r="AC29" s="21">
        <v>3</v>
      </c>
      <c r="AD29" s="21">
        <v>2</v>
      </c>
      <c r="AE29" s="21">
        <v>1</v>
      </c>
      <c r="AF29" s="25">
        <v>20</v>
      </c>
      <c r="AG29" s="25">
        <v>19</v>
      </c>
      <c r="AH29" s="25">
        <v>18</v>
      </c>
      <c r="AI29" s="25">
        <v>17</v>
      </c>
      <c r="AJ29" s="25">
        <v>16</v>
      </c>
      <c r="AK29" s="25">
        <v>15</v>
      </c>
      <c r="AL29" s="25">
        <v>14</v>
      </c>
      <c r="AM29" s="25">
        <v>13</v>
      </c>
      <c r="AN29" s="25">
        <v>12</v>
      </c>
      <c r="AO29" s="25">
        <v>11</v>
      </c>
      <c r="AP29" s="25">
        <v>10</v>
      </c>
      <c r="AQ29" s="25">
        <v>9</v>
      </c>
      <c r="AR29" s="25">
        <v>8</v>
      </c>
      <c r="AS29" s="25">
        <v>7</v>
      </c>
      <c r="AT29" s="25">
        <v>6</v>
      </c>
      <c r="AU29" s="25">
        <v>5</v>
      </c>
      <c r="AV29" s="25">
        <v>4</v>
      </c>
      <c r="AW29" s="25">
        <v>3</v>
      </c>
      <c r="AX29" s="25">
        <v>2</v>
      </c>
      <c r="AY29" s="25">
        <v>1</v>
      </c>
      <c r="AZ29">
        <v>0.27597772511399188</v>
      </c>
    </row>
    <row r="30" spans="1:52" x14ac:dyDescent="0.25">
      <c r="A30" t="s">
        <v>53</v>
      </c>
      <c r="B30">
        <v>100</v>
      </c>
      <c r="C30" t="s">
        <v>3</v>
      </c>
      <c r="D30" t="s">
        <v>224</v>
      </c>
      <c r="E30" t="s">
        <v>328</v>
      </c>
      <c r="F30" s="21">
        <f>COUNTIF(SCD[Course],SCD[[#This Row],[Course]])</f>
        <v>1</v>
      </c>
      <c r="G30">
        <v>16</v>
      </c>
      <c r="H30" s="21">
        <f>COUNTIF(SCD[Block],SCD[[#This Row],[Block]])</f>
        <v>5</v>
      </c>
      <c r="I30" s="21">
        <f>COUNTIFS(SCD[Course],SCD[[#This Row],[Course]],SCD[Block],"&lt;=7",SCD[Block],"&gt;=1") + COUNTIFS(SCD[Course],SCD[[#This Row],[Course]],SCD[Block],10)</f>
        <v>0</v>
      </c>
      <c r="J30" s="21">
        <f>COUNTIFS(SCD[Course],SCD[[#This Row],[Course]],SCD[Block],"&gt;7")</f>
        <v>1</v>
      </c>
      <c r="K30">
        <v>100</v>
      </c>
      <c r="AA30" s="21">
        <v>4</v>
      </c>
      <c r="AB30" s="21">
        <v>3</v>
      </c>
      <c r="AC30" s="21">
        <v>2</v>
      </c>
      <c r="AD30" s="21">
        <v>1</v>
      </c>
      <c r="AE30" s="21"/>
      <c r="AF30" s="25">
        <v>20</v>
      </c>
      <c r="AG30" s="25">
        <v>19</v>
      </c>
      <c r="AH30" s="25">
        <v>18</v>
      </c>
      <c r="AI30" s="25">
        <v>17</v>
      </c>
      <c r="AJ30" s="25">
        <v>16</v>
      </c>
      <c r="AK30" s="25">
        <v>15</v>
      </c>
      <c r="AL30" s="25">
        <v>14</v>
      </c>
      <c r="AM30" s="25">
        <v>13</v>
      </c>
      <c r="AN30" s="25">
        <v>11</v>
      </c>
      <c r="AO30" s="25">
        <v>10</v>
      </c>
      <c r="AP30" s="25">
        <v>9</v>
      </c>
      <c r="AQ30" s="25">
        <v>8</v>
      </c>
      <c r="AR30" s="25">
        <v>7</v>
      </c>
      <c r="AS30" s="25">
        <v>6</v>
      </c>
      <c r="AT30" s="25">
        <v>5</v>
      </c>
      <c r="AU30" s="25">
        <v>4</v>
      </c>
      <c r="AV30" s="25">
        <v>3</v>
      </c>
      <c r="AW30" s="25">
        <v>2</v>
      </c>
      <c r="AX30" s="25">
        <v>1</v>
      </c>
      <c r="AZ30">
        <v>0.28123766113571125</v>
      </c>
    </row>
    <row r="31" spans="1:52" x14ac:dyDescent="0.25">
      <c r="A31" t="s">
        <v>57</v>
      </c>
      <c r="B31">
        <v>100</v>
      </c>
      <c r="C31" t="s">
        <v>3</v>
      </c>
      <c r="D31" t="s">
        <v>228</v>
      </c>
      <c r="E31" t="s">
        <v>312</v>
      </c>
      <c r="F31" s="21">
        <f>COUNTIF(SCD[Course],SCD[[#This Row],[Course]])</f>
        <v>1</v>
      </c>
      <c r="G31">
        <v>15</v>
      </c>
      <c r="H31" s="21">
        <f>COUNTIF(SCD[Block],SCD[[#This Row],[Block]])</f>
        <v>5</v>
      </c>
      <c r="I31" s="21">
        <f>COUNTIFS(SCD[Course],SCD[[#This Row],[Course]],SCD[Block],"&lt;=7",SCD[Block],"&gt;=1") + COUNTIFS(SCD[Course],SCD[[#This Row],[Course]],SCD[Block],10)</f>
        <v>0</v>
      </c>
      <c r="J31" s="21">
        <f>COUNTIFS(SCD[Course],SCD[[#This Row],[Course]],SCD[Block],"&gt;7")</f>
        <v>1</v>
      </c>
      <c r="K31">
        <v>100</v>
      </c>
      <c r="AA31" s="21">
        <v>4</v>
      </c>
      <c r="AB31" s="21">
        <v>3</v>
      </c>
      <c r="AC31" s="21">
        <v>2</v>
      </c>
      <c r="AD31" s="21">
        <v>1</v>
      </c>
      <c r="AE31" s="21"/>
      <c r="AF31" s="25">
        <v>20</v>
      </c>
      <c r="AG31" s="25">
        <v>19</v>
      </c>
      <c r="AH31" s="25">
        <v>17</v>
      </c>
      <c r="AI31" s="25">
        <v>16</v>
      </c>
      <c r="AJ31" s="25">
        <v>15</v>
      </c>
      <c r="AK31" s="25">
        <v>14</v>
      </c>
      <c r="AL31" s="25">
        <v>13</v>
      </c>
      <c r="AM31" s="25">
        <v>12</v>
      </c>
      <c r="AN31" s="25">
        <v>11</v>
      </c>
      <c r="AO31" s="25">
        <v>10</v>
      </c>
      <c r="AP31" s="25">
        <v>9</v>
      </c>
      <c r="AQ31" s="25">
        <v>8</v>
      </c>
      <c r="AR31" s="25">
        <v>7</v>
      </c>
      <c r="AS31" s="25">
        <v>6</v>
      </c>
      <c r="AT31" s="25">
        <v>5</v>
      </c>
      <c r="AU31" s="25">
        <v>4</v>
      </c>
      <c r="AV31" s="25">
        <v>3</v>
      </c>
      <c r="AW31" s="25">
        <v>2</v>
      </c>
      <c r="AX31" s="25">
        <v>1</v>
      </c>
      <c r="AZ31">
        <v>0.28779080357758613</v>
      </c>
    </row>
    <row r="32" spans="1:52" x14ac:dyDescent="0.25">
      <c r="A32" t="s">
        <v>41</v>
      </c>
      <c r="B32">
        <v>300</v>
      </c>
      <c r="C32" t="s">
        <v>3</v>
      </c>
      <c r="D32" t="s">
        <v>289</v>
      </c>
      <c r="E32" t="s">
        <v>340</v>
      </c>
      <c r="F32" s="21">
        <f>COUNTIF(SCD[Course],SCD[[#This Row],[Course]])</f>
        <v>3</v>
      </c>
      <c r="G32">
        <v>20</v>
      </c>
      <c r="H32" s="21">
        <f>COUNTIF(SCD[Block],SCD[[#This Row],[Block]])</f>
        <v>5</v>
      </c>
      <c r="I32" s="21">
        <f>COUNTIFS(SCD[Course],SCD[[#This Row],[Course]],SCD[Block],"&lt;=7",SCD[Block],"&gt;=1") + COUNTIFS(SCD[Course],SCD[[#This Row],[Course]],SCD[Block],10)</f>
        <v>1</v>
      </c>
      <c r="J32" s="21">
        <f>COUNTIFS(SCD[Course],SCD[[#This Row],[Course]],SCD[Block],"&gt;7")</f>
        <v>2</v>
      </c>
      <c r="K32">
        <v>100</v>
      </c>
      <c r="AF32" s="25">
        <v>20</v>
      </c>
      <c r="AG32" s="25">
        <v>19</v>
      </c>
      <c r="AH32" s="25">
        <v>18</v>
      </c>
      <c r="AI32" s="25">
        <v>17</v>
      </c>
      <c r="AJ32" s="25">
        <v>16</v>
      </c>
      <c r="AK32" s="25">
        <v>15</v>
      </c>
      <c r="AL32" s="25">
        <v>14</v>
      </c>
      <c r="AM32" s="25">
        <v>13</v>
      </c>
      <c r="AN32" s="25">
        <v>12</v>
      </c>
      <c r="AO32" s="25">
        <v>11</v>
      </c>
      <c r="AP32" s="25">
        <v>10</v>
      </c>
      <c r="AQ32" s="25">
        <v>9</v>
      </c>
      <c r="AR32" s="25">
        <v>8</v>
      </c>
      <c r="AS32" s="25">
        <v>7</v>
      </c>
      <c r="AT32" s="25">
        <v>6</v>
      </c>
      <c r="AU32" s="25">
        <v>5</v>
      </c>
      <c r="AV32" s="25">
        <v>4</v>
      </c>
      <c r="AW32" s="25">
        <v>3</v>
      </c>
      <c r="AX32" s="25">
        <v>2</v>
      </c>
      <c r="AY32" s="25">
        <v>1</v>
      </c>
      <c r="AZ32">
        <v>0.31665971706074891</v>
      </c>
    </row>
    <row r="33" spans="1:52" x14ac:dyDescent="0.25">
      <c r="A33" t="s">
        <v>41</v>
      </c>
      <c r="B33">
        <v>200</v>
      </c>
      <c r="C33" t="s">
        <v>3</v>
      </c>
      <c r="D33" t="s">
        <v>280</v>
      </c>
      <c r="E33" t="s">
        <v>340</v>
      </c>
      <c r="F33" s="21">
        <f>COUNTIF(SCD[Course],SCD[[#This Row],[Course]])</f>
        <v>3</v>
      </c>
      <c r="G33">
        <v>19</v>
      </c>
      <c r="H33" s="21">
        <f>COUNTIF(SCD[Block],SCD[[#This Row],[Block]])</f>
        <v>5</v>
      </c>
      <c r="I33" s="21">
        <f>COUNTIFS(SCD[Course],SCD[[#This Row],[Course]],SCD[Block],"&lt;=7",SCD[Block],"&gt;=1") + COUNTIFS(SCD[Course],SCD[[#This Row],[Course]],SCD[Block],10)</f>
        <v>1</v>
      </c>
      <c r="J33" s="21">
        <f>COUNTIFS(SCD[Course],SCD[[#This Row],[Course]],SCD[Block],"&gt;7")</f>
        <v>2</v>
      </c>
      <c r="K33">
        <v>100</v>
      </c>
      <c r="AB33" s="21">
        <v>4</v>
      </c>
      <c r="AC33" s="21">
        <v>3</v>
      </c>
      <c r="AD33" s="21">
        <v>2</v>
      </c>
      <c r="AE33" s="21">
        <v>1</v>
      </c>
      <c r="AF33" s="25">
        <v>20</v>
      </c>
      <c r="AG33" s="25">
        <v>19</v>
      </c>
      <c r="AH33" s="25">
        <v>18</v>
      </c>
      <c r="AI33" s="25">
        <v>17</v>
      </c>
      <c r="AJ33" s="25">
        <v>16</v>
      </c>
      <c r="AK33" s="25">
        <v>15</v>
      </c>
      <c r="AL33" s="25">
        <v>14</v>
      </c>
      <c r="AM33" s="25">
        <v>13</v>
      </c>
      <c r="AN33" s="25">
        <v>12</v>
      </c>
      <c r="AO33" s="25">
        <v>11</v>
      </c>
      <c r="AP33" s="25">
        <v>10</v>
      </c>
      <c r="AQ33" s="25">
        <v>9</v>
      </c>
      <c r="AR33" s="25">
        <v>8</v>
      </c>
      <c r="AS33" s="25">
        <v>7</v>
      </c>
      <c r="AT33" s="25">
        <v>6</v>
      </c>
      <c r="AU33" s="25">
        <v>5</v>
      </c>
      <c r="AV33" s="25">
        <v>4</v>
      </c>
      <c r="AW33" s="25">
        <v>3</v>
      </c>
      <c r="AX33" s="25">
        <v>2</v>
      </c>
      <c r="AY33" s="25">
        <v>1</v>
      </c>
      <c r="AZ33">
        <v>0.32060877680314093</v>
      </c>
    </row>
    <row r="34" spans="1:52" x14ac:dyDescent="0.25">
      <c r="A34" t="s">
        <v>16</v>
      </c>
      <c r="B34">
        <v>100</v>
      </c>
      <c r="C34" t="s">
        <v>5</v>
      </c>
      <c r="D34" t="s">
        <v>210</v>
      </c>
      <c r="E34" t="s">
        <v>335</v>
      </c>
      <c r="F34" s="21">
        <f>COUNTIF(SCD[Course],SCD[[#This Row],[Course]])</f>
        <v>1</v>
      </c>
      <c r="G34">
        <v>24</v>
      </c>
      <c r="H34" s="21">
        <f>COUNTIF(SCD[Block],SCD[[#This Row],[Block]])</f>
        <v>1</v>
      </c>
      <c r="I34" s="21">
        <f>COUNTIFS(SCD[Course],SCD[[#This Row],[Course]],SCD[Block],"&lt;=7",SCD[Block],"&gt;=1") + COUNTIFS(SCD[Course],SCD[[#This Row],[Course]],SCD[Block],10)</f>
        <v>0</v>
      </c>
      <c r="J34" s="21">
        <f>COUNTIFS(SCD[Course],SCD[[#This Row],[Course]],SCD[Block],"&gt;7")</f>
        <v>1</v>
      </c>
      <c r="K34">
        <v>100</v>
      </c>
      <c r="Q34" s="21">
        <v>23</v>
      </c>
      <c r="R34" s="21">
        <v>22</v>
      </c>
      <c r="S34" s="21">
        <v>21</v>
      </c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5">
        <v>28</v>
      </c>
      <c r="AG34" s="25">
        <v>27</v>
      </c>
      <c r="AH34" s="25">
        <v>26</v>
      </c>
      <c r="AI34" s="25">
        <v>25</v>
      </c>
      <c r="AJ34" s="25">
        <v>24</v>
      </c>
      <c r="AK34" s="25">
        <v>23</v>
      </c>
      <c r="AL34" s="25">
        <v>22</v>
      </c>
      <c r="AM34" s="25">
        <v>21</v>
      </c>
      <c r="AZ34">
        <v>0.32790457193498879</v>
      </c>
    </row>
    <row r="35" spans="1:52" x14ac:dyDescent="0.25">
      <c r="A35" t="s">
        <v>182</v>
      </c>
      <c r="B35">
        <v>100</v>
      </c>
      <c r="C35" t="s">
        <v>3</v>
      </c>
      <c r="D35" t="s">
        <v>197</v>
      </c>
      <c r="E35" t="s">
        <v>317</v>
      </c>
      <c r="F35" s="21">
        <f>COUNTIF(SCD[Course],SCD[[#This Row],[Course]])</f>
        <v>4</v>
      </c>
      <c r="G35">
        <v>19</v>
      </c>
      <c r="H35" s="21">
        <f>COUNTIF(SCD[Block],SCD[[#This Row],[Block]])</f>
        <v>5</v>
      </c>
      <c r="I35" s="21">
        <f>COUNTIFS(SCD[Course],SCD[[#This Row],[Course]],SCD[Block],"&lt;=7",SCD[Block],"&gt;=1") + COUNTIFS(SCD[Course],SCD[[#This Row],[Course]],SCD[Block],10)</f>
        <v>2</v>
      </c>
      <c r="J35" s="21">
        <f>COUNTIFS(SCD[Course],SCD[[#This Row],[Course]],SCD[Block],"&gt;7")</f>
        <v>3</v>
      </c>
      <c r="K35">
        <v>100</v>
      </c>
      <c r="AA35" s="21">
        <v>4</v>
      </c>
      <c r="AC35" s="21">
        <v>2</v>
      </c>
      <c r="AD35" s="21">
        <v>1</v>
      </c>
      <c r="AE35" s="21"/>
      <c r="AF35" s="25">
        <v>20</v>
      </c>
      <c r="AG35" s="25">
        <v>19</v>
      </c>
      <c r="AH35" s="25">
        <v>17</v>
      </c>
      <c r="AI35" s="25">
        <v>16</v>
      </c>
      <c r="AJ35" s="25">
        <v>15</v>
      </c>
      <c r="AK35" s="25">
        <v>14</v>
      </c>
      <c r="AL35" s="25">
        <v>13</v>
      </c>
      <c r="AM35" s="25">
        <v>12</v>
      </c>
      <c r="AN35" s="25">
        <v>11</v>
      </c>
      <c r="AO35" s="25">
        <v>10</v>
      </c>
      <c r="AP35" s="25">
        <v>9</v>
      </c>
      <c r="AQ35" s="25">
        <v>8</v>
      </c>
      <c r="AR35" s="25">
        <v>7</v>
      </c>
      <c r="AS35" s="25">
        <v>6</v>
      </c>
      <c r="AT35" s="25">
        <v>5</v>
      </c>
      <c r="AU35" s="25">
        <v>4</v>
      </c>
      <c r="AV35" s="25">
        <v>3</v>
      </c>
      <c r="AW35" s="25">
        <v>2</v>
      </c>
      <c r="AX35" s="25">
        <v>1</v>
      </c>
      <c r="AZ35">
        <v>0.33538833628288167</v>
      </c>
    </row>
    <row r="36" spans="1:52" x14ac:dyDescent="0.25">
      <c r="A36" t="s">
        <v>65</v>
      </c>
      <c r="B36">
        <v>100</v>
      </c>
      <c r="C36" t="s">
        <v>3</v>
      </c>
      <c r="D36" t="s">
        <v>236</v>
      </c>
      <c r="E36" t="s">
        <v>332</v>
      </c>
      <c r="F36" s="21">
        <f>COUNTIF(SCD[Course],SCD[[#This Row],[Course]])</f>
        <v>1</v>
      </c>
      <c r="G36">
        <v>14</v>
      </c>
      <c r="H36" s="21">
        <f>COUNTIF(SCD[Block],SCD[[#This Row],[Block]])</f>
        <v>5</v>
      </c>
      <c r="I36" s="21">
        <f>COUNTIFS(SCD[Course],SCD[[#This Row],[Course]],SCD[Block],"&lt;=7",SCD[Block],"&gt;=1") + COUNTIFS(SCD[Course],SCD[[#This Row],[Course]],SCD[Block],10)</f>
        <v>0</v>
      </c>
      <c r="J36" s="21">
        <f>COUNTIFS(SCD[Course],SCD[[#This Row],[Course]],SCD[Block],"&gt;7")</f>
        <v>1</v>
      </c>
      <c r="K36">
        <v>100</v>
      </c>
      <c r="AB36" s="21">
        <v>4</v>
      </c>
      <c r="AC36" s="21">
        <v>3</v>
      </c>
      <c r="AD36" s="21">
        <v>2</v>
      </c>
      <c r="AE36" s="21">
        <v>1</v>
      </c>
      <c r="AF36" s="25">
        <v>20</v>
      </c>
      <c r="AG36" s="25">
        <v>19</v>
      </c>
      <c r="AH36" s="25">
        <v>18</v>
      </c>
      <c r="AI36" s="25">
        <v>17</v>
      </c>
      <c r="AJ36" s="25">
        <v>16</v>
      </c>
      <c r="AK36" s="25">
        <v>15</v>
      </c>
      <c r="AL36" s="25">
        <v>14</v>
      </c>
      <c r="AM36" s="25">
        <v>13</v>
      </c>
      <c r="AN36" s="25">
        <v>12</v>
      </c>
      <c r="AO36" s="25">
        <v>11</v>
      </c>
      <c r="AP36" s="25">
        <v>10</v>
      </c>
      <c r="AQ36" s="25">
        <v>9</v>
      </c>
      <c r="AR36" s="25">
        <v>8</v>
      </c>
      <c r="AS36" s="25">
        <v>7</v>
      </c>
      <c r="AT36" s="25">
        <v>6</v>
      </c>
      <c r="AU36" s="25">
        <v>5</v>
      </c>
      <c r="AV36" s="25">
        <v>4</v>
      </c>
      <c r="AW36" s="25">
        <v>3</v>
      </c>
      <c r="AX36" s="25">
        <v>2</v>
      </c>
      <c r="AY36" s="25">
        <v>1</v>
      </c>
      <c r="AZ36">
        <v>0.33825228860757384</v>
      </c>
    </row>
    <row r="37" spans="1:52" x14ac:dyDescent="0.25">
      <c r="A37" t="s">
        <v>103</v>
      </c>
      <c r="B37">
        <v>100</v>
      </c>
      <c r="C37" t="s">
        <v>3</v>
      </c>
      <c r="D37" t="s">
        <v>274</v>
      </c>
      <c r="E37" t="s">
        <v>337</v>
      </c>
      <c r="F37" s="21">
        <f>COUNTIF(SCD[Course],SCD[[#This Row],[Course]])</f>
        <v>1</v>
      </c>
      <c r="G37">
        <v>15</v>
      </c>
      <c r="H37" s="21">
        <f>COUNTIF(SCD[Block],SCD[[#This Row],[Block]])</f>
        <v>5</v>
      </c>
      <c r="I37" s="21">
        <f>COUNTIFS(SCD[Course],SCD[[#This Row],[Course]],SCD[Block],"&lt;=7",SCD[Block],"&gt;=1") + COUNTIFS(SCD[Course],SCD[[#This Row],[Course]],SCD[Block],10)</f>
        <v>0</v>
      </c>
      <c r="J37" s="21">
        <f>COUNTIFS(SCD[Course],SCD[[#This Row],[Course]],SCD[Block],"&gt;7")</f>
        <v>1</v>
      </c>
      <c r="K37">
        <v>100</v>
      </c>
      <c r="AB37" s="21">
        <v>4</v>
      </c>
      <c r="AC37" s="21">
        <v>3</v>
      </c>
      <c r="AD37" s="21">
        <v>2</v>
      </c>
      <c r="AE37" s="21">
        <v>1</v>
      </c>
      <c r="AF37" s="25">
        <v>20</v>
      </c>
      <c r="AG37" s="25">
        <v>19</v>
      </c>
      <c r="AH37" s="25">
        <v>18</v>
      </c>
      <c r="AI37" s="25">
        <v>17</v>
      </c>
      <c r="AJ37" s="25">
        <v>16</v>
      </c>
      <c r="AK37" s="25">
        <v>15</v>
      </c>
      <c r="AL37" s="25">
        <v>14</v>
      </c>
      <c r="AM37" s="25">
        <v>13</v>
      </c>
      <c r="AN37" s="25">
        <v>12</v>
      </c>
      <c r="AO37" s="25">
        <v>11</v>
      </c>
      <c r="AP37" s="25">
        <v>10</v>
      </c>
      <c r="AQ37" s="25">
        <v>9</v>
      </c>
      <c r="AR37" s="25">
        <v>8</v>
      </c>
      <c r="AS37" s="25">
        <v>7</v>
      </c>
      <c r="AT37" s="25">
        <v>6</v>
      </c>
      <c r="AU37" s="25">
        <v>5</v>
      </c>
      <c r="AV37" s="25">
        <v>4</v>
      </c>
      <c r="AW37" s="25">
        <v>3</v>
      </c>
      <c r="AX37" s="25">
        <v>2</v>
      </c>
      <c r="AY37" s="25">
        <v>1</v>
      </c>
      <c r="AZ37">
        <v>0.34209739217185753</v>
      </c>
    </row>
    <row r="38" spans="1:52" x14ac:dyDescent="0.25">
      <c r="A38" t="s">
        <v>87</v>
      </c>
      <c r="B38">
        <v>100</v>
      </c>
      <c r="C38" t="s">
        <v>3</v>
      </c>
      <c r="D38" t="s">
        <v>258</v>
      </c>
      <c r="E38" t="s">
        <v>340</v>
      </c>
      <c r="F38" s="21">
        <f>COUNTIF(SCD[Course],SCD[[#This Row],[Course]])</f>
        <v>1</v>
      </c>
      <c r="G38">
        <v>18</v>
      </c>
      <c r="H38" s="21">
        <f>COUNTIF(SCD[Block],SCD[[#This Row],[Block]])</f>
        <v>5</v>
      </c>
      <c r="I38" s="21">
        <f>COUNTIFS(SCD[Course],SCD[[#This Row],[Course]],SCD[Block],"&lt;=7",SCD[Block],"&gt;=1") + COUNTIFS(SCD[Course],SCD[[#This Row],[Course]],SCD[Block],10)</f>
        <v>0</v>
      </c>
      <c r="J38" s="21">
        <f>COUNTIFS(SCD[Course],SCD[[#This Row],[Course]],SCD[Block],"&gt;7")</f>
        <v>1</v>
      </c>
      <c r="K38">
        <v>100</v>
      </c>
      <c r="AB38" s="21">
        <v>4</v>
      </c>
      <c r="AC38" s="21">
        <v>3</v>
      </c>
      <c r="AD38" s="21">
        <v>2</v>
      </c>
      <c r="AE38" s="21">
        <v>1</v>
      </c>
      <c r="AF38" s="25">
        <v>20</v>
      </c>
      <c r="AG38" s="25">
        <v>19</v>
      </c>
      <c r="AH38" s="25">
        <v>18</v>
      </c>
      <c r="AI38" s="25">
        <v>17</v>
      </c>
      <c r="AJ38" s="25">
        <v>16</v>
      </c>
      <c r="AK38" s="25">
        <v>15</v>
      </c>
      <c r="AL38" s="25">
        <v>14</v>
      </c>
      <c r="AM38" s="25">
        <v>13</v>
      </c>
      <c r="AN38" s="25">
        <v>12</v>
      </c>
      <c r="AO38" s="25">
        <v>11</v>
      </c>
      <c r="AP38" s="25">
        <v>10</v>
      </c>
      <c r="AQ38" s="25">
        <v>9</v>
      </c>
      <c r="AR38" s="25">
        <v>8</v>
      </c>
      <c r="AS38" s="25">
        <v>7</v>
      </c>
      <c r="AT38" s="25">
        <v>6</v>
      </c>
      <c r="AU38" s="25">
        <v>5</v>
      </c>
      <c r="AV38" s="25">
        <v>4</v>
      </c>
      <c r="AW38" s="25">
        <v>3</v>
      </c>
      <c r="AX38" s="25">
        <v>2</v>
      </c>
      <c r="AY38" s="25">
        <v>1</v>
      </c>
      <c r="AZ38">
        <v>0.34358323544515512</v>
      </c>
    </row>
    <row r="39" spans="1:52" x14ac:dyDescent="0.25">
      <c r="A39" t="s">
        <v>43</v>
      </c>
      <c r="B39">
        <v>200</v>
      </c>
      <c r="C39" t="s">
        <v>3</v>
      </c>
      <c r="D39" t="s">
        <v>282</v>
      </c>
      <c r="E39" t="s">
        <v>306</v>
      </c>
      <c r="F39" s="21">
        <f>COUNTIF(SCD[Course],SCD[[#This Row],[Course]])</f>
        <v>3</v>
      </c>
      <c r="G39">
        <v>16</v>
      </c>
      <c r="H39" s="21">
        <f>COUNTIF(SCD[Block],SCD[[#This Row],[Block]])</f>
        <v>5</v>
      </c>
      <c r="I39" s="21">
        <f>COUNTIFS(SCD[Course],SCD[[#This Row],[Course]],SCD[Block],"&lt;=7",SCD[Block],"&gt;=1") + COUNTIFS(SCD[Course],SCD[[#This Row],[Course]],SCD[Block],10)</f>
        <v>1</v>
      </c>
      <c r="J39" s="21">
        <f>COUNTIFS(SCD[Course],SCD[[#This Row],[Course]],SCD[Block],"&gt;7")</f>
        <v>2</v>
      </c>
      <c r="K39">
        <v>100</v>
      </c>
      <c r="AA39" s="21">
        <v>4</v>
      </c>
      <c r="AC39" s="21">
        <v>2</v>
      </c>
      <c r="AD39" s="21">
        <v>1</v>
      </c>
      <c r="AE39" s="21"/>
      <c r="AF39" s="25">
        <v>20</v>
      </c>
      <c r="AG39" s="25">
        <v>19</v>
      </c>
      <c r="AH39" s="25">
        <v>18</v>
      </c>
      <c r="AI39" s="25">
        <v>17</v>
      </c>
      <c r="AJ39" s="25">
        <v>16</v>
      </c>
      <c r="AK39" s="25">
        <v>15</v>
      </c>
      <c r="AL39" s="25">
        <v>14</v>
      </c>
      <c r="AM39" s="25">
        <v>12</v>
      </c>
      <c r="AN39" s="25">
        <v>11</v>
      </c>
      <c r="AO39" s="25">
        <v>10</v>
      </c>
      <c r="AP39" s="25">
        <v>9</v>
      </c>
      <c r="AQ39" s="25">
        <v>8</v>
      </c>
      <c r="AR39" s="25">
        <v>7</v>
      </c>
      <c r="AS39" s="25">
        <v>6</v>
      </c>
      <c r="AT39" s="25">
        <v>5</v>
      </c>
      <c r="AU39" s="25">
        <v>4</v>
      </c>
      <c r="AV39" s="25">
        <v>3</v>
      </c>
      <c r="AW39" s="25">
        <v>2</v>
      </c>
      <c r="AX39" s="25">
        <v>1</v>
      </c>
      <c r="AZ39">
        <v>0.3491943980551746</v>
      </c>
    </row>
    <row r="40" spans="1:52" x14ac:dyDescent="0.25">
      <c r="A40" t="s">
        <v>78</v>
      </c>
      <c r="B40">
        <v>100</v>
      </c>
      <c r="C40" t="s">
        <v>3</v>
      </c>
      <c r="D40" t="s">
        <v>249</v>
      </c>
      <c r="E40" t="s">
        <v>322</v>
      </c>
      <c r="F40" s="21">
        <f>COUNTIF(SCD[Course],SCD[[#This Row],[Course]])</f>
        <v>1</v>
      </c>
      <c r="G40">
        <v>18</v>
      </c>
      <c r="H40" s="21">
        <f>COUNTIF(SCD[Block],SCD[[#This Row],[Block]])</f>
        <v>5</v>
      </c>
      <c r="I40" s="21">
        <f>COUNTIFS(SCD[Course],SCD[[#This Row],[Course]],SCD[Block],"&lt;=7",SCD[Block],"&gt;=1") + COUNTIFS(SCD[Course],SCD[[#This Row],[Course]],SCD[Block],10)</f>
        <v>0</v>
      </c>
      <c r="J40" s="21">
        <f>COUNTIFS(SCD[Course],SCD[[#This Row],[Course]],SCD[Block],"&gt;7")</f>
        <v>1</v>
      </c>
      <c r="K40">
        <v>100</v>
      </c>
      <c r="AA40" s="21">
        <v>4</v>
      </c>
      <c r="AB40" s="21">
        <v>3</v>
      </c>
      <c r="AC40" s="21">
        <v>2</v>
      </c>
      <c r="AD40" s="21">
        <v>1</v>
      </c>
      <c r="AE40" s="21"/>
      <c r="AF40" s="25">
        <v>20</v>
      </c>
      <c r="AG40" s="25">
        <v>19</v>
      </c>
      <c r="AH40" s="25">
        <v>18</v>
      </c>
      <c r="AI40" s="25">
        <v>17</v>
      </c>
      <c r="AJ40" s="25">
        <v>16</v>
      </c>
      <c r="AK40" s="25">
        <v>15</v>
      </c>
      <c r="AL40" s="25">
        <v>14</v>
      </c>
      <c r="AM40" s="25">
        <v>13</v>
      </c>
      <c r="AN40" s="25">
        <v>12</v>
      </c>
      <c r="AO40" s="25">
        <v>11</v>
      </c>
      <c r="AP40" s="25">
        <v>9</v>
      </c>
      <c r="AQ40" s="25">
        <v>8</v>
      </c>
      <c r="AR40" s="25">
        <v>7</v>
      </c>
      <c r="AS40" s="25">
        <v>6</v>
      </c>
      <c r="AT40" s="25">
        <v>5</v>
      </c>
      <c r="AU40" s="25">
        <v>4</v>
      </c>
      <c r="AV40" s="25">
        <v>3</v>
      </c>
      <c r="AW40" s="25">
        <v>2</v>
      </c>
      <c r="AX40" s="25">
        <v>1</v>
      </c>
      <c r="AZ40">
        <v>0.35721180582199563</v>
      </c>
    </row>
    <row r="41" spans="1:52" x14ac:dyDescent="0.25">
      <c r="A41" t="s">
        <v>41</v>
      </c>
      <c r="B41">
        <v>100</v>
      </c>
      <c r="C41" t="s">
        <v>3</v>
      </c>
      <c r="D41" t="s">
        <v>212</v>
      </c>
      <c r="E41" t="s">
        <v>340</v>
      </c>
      <c r="F41" s="21">
        <f>COUNTIF(SCD[Course],SCD[[#This Row],[Course]])</f>
        <v>3</v>
      </c>
      <c r="G41">
        <v>6</v>
      </c>
      <c r="H41" s="21">
        <f>COUNTIF(SCD[Block],SCD[[#This Row],[Block]])</f>
        <v>5</v>
      </c>
      <c r="I41" s="21">
        <f>COUNTIFS(SCD[Course],SCD[[#This Row],[Course]],SCD[Block],"&lt;=7",SCD[Block],"&gt;=1") + COUNTIFS(SCD[Course],SCD[[#This Row],[Course]],SCD[Block],10)</f>
        <v>1</v>
      </c>
      <c r="J41" s="21">
        <f>COUNTIFS(SCD[Course],SCD[[#This Row],[Course]],SCD[Block],"&gt;7")</f>
        <v>2</v>
      </c>
      <c r="K41">
        <v>100</v>
      </c>
      <c r="AB41" s="21">
        <v>4</v>
      </c>
      <c r="AC41" s="21">
        <v>3</v>
      </c>
      <c r="AD41" s="21">
        <v>2</v>
      </c>
      <c r="AE41" s="21">
        <v>1</v>
      </c>
      <c r="AF41" s="25">
        <v>20</v>
      </c>
      <c r="AG41" s="25">
        <v>19</v>
      </c>
      <c r="AH41" s="25">
        <v>18</v>
      </c>
      <c r="AI41" s="25">
        <v>17</v>
      </c>
      <c r="AJ41" s="25">
        <v>16</v>
      </c>
      <c r="AK41" s="25">
        <v>15</v>
      </c>
      <c r="AL41" s="25">
        <v>14</v>
      </c>
      <c r="AM41" s="25">
        <v>13</v>
      </c>
      <c r="AN41" s="25">
        <v>12</v>
      </c>
      <c r="AO41" s="25">
        <v>11</v>
      </c>
      <c r="AP41" s="25">
        <v>10</v>
      </c>
      <c r="AQ41" s="25">
        <v>9</v>
      </c>
      <c r="AR41" s="25">
        <v>8</v>
      </c>
      <c r="AS41" s="25">
        <v>7</v>
      </c>
      <c r="AT41" s="25">
        <v>6</v>
      </c>
      <c r="AU41" s="25">
        <v>5</v>
      </c>
      <c r="AV41" s="25">
        <v>4</v>
      </c>
      <c r="AW41" s="25">
        <v>3</v>
      </c>
      <c r="AX41" s="25">
        <v>2</v>
      </c>
      <c r="AY41" s="25">
        <v>1</v>
      </c>
      <c r="AZ41">
        <v>0.3606170559901869</v>
      </c>
    </row>
    <row r="42" spans="1:52" x14ac:dyDescent="0.25">
      <c r="A42" t="s">
        <v>54</v>
      </c>
      <c r="B42">
        <v>100</v>
      </c>
      <c r="C42" t="s">
        <v>3</v>
      </c>
      <c r="D42" t="s">
        <v>225</v>
      </c>
      <c r="E42" t="s">
        <v>337</v>
      </c>
      <c r="F42" s="21">
        <f>COUNTIF(SCD[Course],SCD[[#This Row],[Course]])</f>
        <v>1</v>
      </c>
      <c r="G42">
        <v>14</v>
      </c>
      <c r="H42" s="21">
        <f>COUNTIF(SCD[Block],SCD[[#This Row],[Block]])</f>
        <v>5</v>
      </c>
      <c r="I42" s="21">
        <f>COUNTIFS(SCD[Course],SCD[[#This Row],[Course]],SCD[Block],"&lt;=7",SCD[Block],"&gt;=1") + COUNTIFS(SCD[Course],SCD[[#This Row],[Course]],SCD[Block],10)</f>
        <v>0</v>
      </c>
      <c r="J42" s="21">
        <f>COUNTIFS(SCD[Course],SCD[[#This Row],[Course]],SCD[Block],"&gt;7")</f>
        <v>1</v>
      </c>
      <c r="K42">
        <v>100</v>
      </c>
      <c r="AB42" s="21">
        <v>4</v>
      </c>
      <c r="AC42" s="21">
        <v>3</v>
      </c>
      <c r="AD42" s="21">
        <v>2</v>
      </c>
      <c r="AE42" s="21">
        <v>1</v>
      </c>
      <c r="AF42" s="25">
        <v>20</v>
      </c>
      <c r="AG42" s="25">
        <v>19</v>
      </c>
      <c r="AH42" s="25">
        <v>18</v>
      </c>
      <c r="AI42" s="25">
        <v>17</v>
      </c>
      <c r="AJ42" s="25">
        <v>16</v>
      </c>
      <c r="AK42" s="25">
        <v>15</v>
      </c>
      <c r="AL42" s="25">
        <v>14</v>
      </c>
      <c r="AM42" s="25">
        <v>13</v>
      </c>
      <c r="AN42" s="25">
        <v>12</v>
      </c>
      <c r="AO42" s="25">
        <v>11</v>
      </c>
      <c r="AP42" s="25">
        <v>10</v>
      </c>
      <c r="AQ42" s="25">
        <v>9</v>
      </c>
      <c r="AR42" s="25">
        <v>8</v>
      </c>
      <c r="AS42" s="25">
        <v>7</v>
      </c>
      <c r="AT42" s="25">
        <v>6</v>
      </c>
      <c r="AU42" s="25">
        <v>5</v>
      </c>
      <c r="AV42" s="25">
        <v>4</v>
      </c>
      <c r="AW42" s="25">
        <v>3</v>
      </c>
      <c r="AX42" s="25">
        <v>2</v>
      </c>
      <c r="AY42" s="25">
        <v>1</v>
      </c>
      <c r="AZ42">
        <v>0.36829334010433101</v>
      </c>
    </row>
    <row r="43" spans="1:52" x14ac:dyDescent="0.25">
      <c r="A43" t="s">
        <v>64</v>
      </c>
      <c r="B43">
        <v>100</v>
      </c>
      <c r="C43" t="s">
        <v>3</v>
      </c>
      <c r="D43" t="s">
        <v>235</v>
      </c>
      <c r="E43" t="s">
        <v>326</v>
      </c>
      <c r="F43" s="21">
        <f>COUNTIF(SCD[Course],SCD[[#This Row],[Course]])</f>
        <v>1</v>
      </c>
      <c r="G43">
        <v>13</v>
      </c>
      <c r="H43" s="21">
        <f>COUNTIF(SCD[Block],SCD[[#This Row],[Block]])</f>
        <v>5</v>
      </c>
      <c r="I43" s="21">
        <f>COUNTIFS(SCD[Course],SCD[[#This Row],[Course]],SCD[Block],"&lt;=7",SCD[Block],"&gt;=1") + COUNTIFS(SCD[Course],SCD[[#This Row],[Course]],SCD[Block],10)</f>
        <v>0</v>
      </c>
      <c r="J43" s="21">
        <f>COUNTIFS(SCD[Course],SCD[[#This Row],[Course]],SCD[Block],"&gt;7")</f>
        <v>1</v>
      </c>
      <c r="K43">
        <v>100</v>
      </c>
      <c r="AB43" s="21">
        <v>4</v>
      </c>
      <c r="AC43" s="21">
        <v>2</v>
      </c>
      <c r="AD43" s="21">
        <v>1</v>
      </c>
      <c r="AE43" s="21"/>
      <c r="AF43" s="25">
        <v>20</v>
      </c>
      <c r="AG43" s="25">
        <v>19</v>
      </c>
      <c r="AH43" s="25">
        <v>18</v>
      </c>
      <c r="AI43" s="25">
        <v>17</v>
      </c>
      <c r="AJ43" s="25">
        <v>16</v>
      </c>
      <c r="AK43" s="25">
        <v>15</v>
      </c>
      <c r="AL43" s="25">
        <v>14</v>
      </c>
      <c r="AM43" s="25">
        <v>13</v>
      </c>
      <c r="AN43" s="25">
        <v>12</v>
      </c>
      <c r="AO43" s="25">
        <v>11</v>
      </c>
      <c r="AP43" s="25">
        <v>10</v>
      </c>
      <c r="AQ43" s="25">
        <v>9</v>
      </c>
      <c r="AR43" s="25">
        <v>8</v>
      </c>
      <c r="AS43" s="25">
        <v>7</v>
      </c>
      <c r="AT43" s="25">
        <v>6</v>
      </c>
      <c r="AU43" s="25">
        <v>5</v>
      </c>
      <c r="AV43" s="25">
        <v>4</v>
      </c>
      <c r="AW43" s="25">
        <v>2</v>
      </c>
      <c r="AX43" s="25">
        <v>1</v>
      </c>
      <c r="AZ43">
        <v>0.39592740866290144</v>
      </c>
    </row>
    <row r="44" spans="1:52" x14ac:dyDescent="0.25">
      <c r="A44" t="s">
        <v>71</v>
      </c>
      <c r="B44">
        <v>100</v>
      </c>
      <c r="C44" t="s">
        <v>3</v>
      </c>
      <c r="D44" t="s">
        <v>242</v>
      </c>
      <c r="E44" t="s">
        <v>297</v>
      </c>
      <c r="F44" s="21">
        <f>COUNTIF(SCD[Course],SCD[[#This Row],[Course]])</f>
        <v>1</v>
      </c>
      <c r="G44">
        <v>13</v>
      </c>
      <c r="H44" s="21">
        <f>COUNTIF(SCD[Block],SCD[[#This Row],[Block]])</f>
        <v>5</v>
      </c>
      <c r="I44" s="21">
        <f>COUNTIFS(SCD[Course],SCD[[#This Row],[Course]],SCD[Block],"&lt;=7",SCD[Block],"&gt;=1") + COUNTIFS(SCD[Course],SCD[[#This Row],[Course]],SCD[Block],10)</f>
        <v>0</v>
      </c>
      <c r="J44" s="21">
        <f>COUNTIFS(SCD[Course],SCD[[#This Row],[Course]],SCD[Block],"&gt;7")</f>
        <v>1</v>
      </c>
      <c r="K44">
        <v>100</v>
      </c>
      <c r="AB44" s="21">
        <v>4</v>
      </c>
      <c r="AC44" s="21">
        <v>3</v>
      </c>
      <c r="AD44" s="21">
        <v>2</v>
      </c>
      <c r="AE44" s="21">
        <v>1</v>
      </c>
      <c r="AF44" s="25">
        <v>20</v>
      </c>
      <c r="AG44" s="25">
        <v>19</v>
      </c>
      <c r="AH44" s="25">
        <v>18</v>
      </c>
      <c r="AI44" s="25">
        <v>17</v>
      </c>
      <c r="AJ44" s="25">
        <v>16</v>
      </c>
      <c r="AK44" s="25">
        <v>15</v>
      </c>
      <c r="AL44" s="25">
        <v>14</v>
      </c>
      <c r="AM44" s="25">
        <v>13</v>
      </c>
      <c r="AN44" s="25">
        <v>12</v>
      </c>
      <c r="AO44" s="25">
        <v>11</v>
      </c>
      <c r="AP44" s="25">
        <v>10</v>
      </c>
      <c r="AQ44" s="25">
        <v>9</v>
      </c>
      <c r="AR44" s="25">
        <v>8</v>
      </c>
      <c r="AS44" s="25">
        <v>7</v>
      </c>
      <c r="AT44" s="25">
        <v>6</v>
      </c>
      <c r="AU44" s="25">
        <v>5</v>
      </c>
      <c r="AV44" s="25">
        <v>4</v>
      </c>
      <c r="AW44" s="25">
        <v>3</v>
      </c>
      <c r="AX44" s="25">
        <v>2</v>
      </c>
      <c r="AY44" s="25">
        <v>1</v>
      </c>
      <c r="AZ44">
        <v>0.40357780699778001</v>
      </c>
    </row>
    <row r="45" spans="1:52" x14ac:dyDescent="0.25">
      <c r="A45" t="s">
        <v>86</v>
      </c>
      <c r="B45">
        <v>100</v>
      </c>
      <c r="C45" t="s">
        <v>3</v>
      </c>
      <c r="D45" t="s">
        <v>257</v>
      </c>
      <c r="E45" t="s">
        <v>309</v>
      </c>
      <c r="F45" s="21">
        <f>COUNTIF(SCD[Course],SCD[[#This Row],[Course]])</f>
        <v>1</v>
      </c>
      <c r="G45">
        <v>11</v>
      </c>
      <c r="H45" s="21">
        <f>COUNTIF(SCD[Block],SCD[[#This Row],[Block]])</f>
        <v>5</v>
      </c>
      <c r="I45" s="21">
        <f>COUNTIFS(SCD[Course],SCD[[#This Row],[Course]],SCD[Block],"&lt;=7",SCD[Block],"&gt;=1") + COUNTIFS(SCD[Course],SCD[[#This Row],[Course]],SCD[Block],10)</f>
        <v>0</v>
      </c>
      <c r="J45" s="21">
        <f>COUNTIFS(SCD[Course],SCD[[#This Row],[Course]],SCD[Block],"&gt;7")</f>
        <v>1</v>
      </c>
      <c r="K45">
        <v>100</v>
      </c>
      <c r="AA45" s="21">
        <v>4</v>
      </c>
      <c r="AB45" s="21">
        <v>3</v>
      </c>
      <c r="AC45" s="21">
        <v>2</v>
      </c>
      <c r="AD45" s="21">
        <v>1</v>
      </c>
      <c r="AE45" s="21"/>
      <c r="AF45" s="25">
        <v>19</v>
      </c>
      <c r="AG45" s="25">
        <v>18</v>
      </c>
      <c r="AH45" s="25">
        <v>17</v>
      </c>
      <c r="AI45" s="25">
        <v>16</v>
      </c>
      <c r="AJ45" s="25">
        <v>15</v>
      </c>
      <c r="AK45" s="25">
        <v>14</v>
      </c>
      <c r="AL45" s="25">
        <v>13</v>
      </c>
      <c r="AM45" s="25">
        <v>12</v>
      </c>
      <c r="AN45" s="25">
        <v>11</v>
      </c>
      <c r="AO45" s="25">
        <v>10</v>
      </c>
      <c r="AP45" s="25">
        <v>9</v>
      </c>
      <c r="AQ45" s="25">
        <v>8</v>
      </c>
      <c r="AR45" s="25">
        <v>7</v>
      </c>
      <c r="AS45" s="25">
        <v>6</v>
      </c>
      <c r="AT45" s="25">
        <v>5</v>
      </c>
      <c r="AU45" s="25">
        <v>4</v>
      </c>
      <c r="AV45" s="25">
        <v>3</v>
      </c>
      <c r="AW45" s="25">
        <v>2</v>
      </c>
      <c r="AX45" s="25">
        <v>1</v>
      </c>
      <c r="AZ45">
        <v>0.40665341961323542</v>
      </c>
    </row>
    <row r="46" spans="1:52" x14ac:dyDescent="0.25">
      <c r="A46" t="s">
        <v>143</v>
      </c>
      <c r="B46">
        <v>300</v>
      </c>
      <c r="C46" t="s">
        <v>3</v>
      </c>
      <c r="D46" t="s">
        <v>187</v>
      </c>
      <c r="E46" t="s">
        <v>293</v>
      </c>
      <c r="F46" s="21">
        <f>COUNTIF(SCD[Course],SCD[[#This Row],[Course]])</f>
        <v>4</v>
      </c>
      <c r="G46">
        <v>1</v>
      </c>
      <c r="H46" s="21">
        <f>COUNTIF(SCD[Block],SCD[[#This Row],[Block]])</f>
        <v>4</v>
      </c>
      <c r="I46" s="21">
        <f>COUNTIFS(SCD[Course],SCD[[#This Row],[Course]],SCD[Block],"&lt;=7",SCD[Block],"&gt;=1") + COUNTIFS(SCD[Course],SCD[[#This Row],[Course]],SCD[Block],10)</f>
        <v>3</v>
      </c>
      <c r="J46" s="21">
        <f>COUNTIFS(SCD[Course],SCD[[#This Row],[Course]],SCD[Block],"&gt;7")</f>
        <v>1</v>
      </c>
      <c r="K46">
        <v>100</v>
      </c>
      <c r="AA46" s="21">
        <v>4</v>
      </c>
      <c r="AE46" s="21"/>
      <c r="AF46" s="25">
        <v>20</v>
      </c>
      <c r="AG46" s="25">
        <v>19</v>
      </c>
      <c r="AH46" s="25">
        <v>18</v>
      </c>
      <c r="AI46" s="25">
        <v>17</v>
      </c>
      <c r="AJ46" s="25">
        <v>16</v>
      </c>
      <c r="AK46" s="25">
        <v>15</v>
      </c>
      <c r="AL46" s="25">
        <v>14</v>
      </c>
      <c r="AM46" s="25">
        <v>13</v>
      </c>
      <c r="AN46" s="25">
        <v>12</v>
      </c>
      <c r="AO46" s="25">
        <v>11</v>
      </c>
      <c r="AP46" s="25">
        <v>10</v>
      </c>
      <c r="AQ46" s="25">
        <v>9</v>
      </c>
      <c r="AR46" s="25">
        <v>8</v>
      </c>
      <c r="AS46" s="25">
        <v>6</v>
      </c>
      <c r="AT46" s="25">
        <v>5</v>
      </c>
      <c r="AU46" s="25">
        <v>4</v>
      </c>
      <c r="AV46" s="25">
        <v>3</v>
      </c>
      <c r="AW46" s="25">
        <v>2</v>
      </c>
      <c r="AX46" s="25">
        <v>1</v>
      </c>
      <c r="AZ46">
        <v>0.4086703784622685</v>
      </c>
    </row>
    <row r="47" spans="1:52" x14ac:dyDescent="0.25">
      <c r="A47" t="s">
        <v>11</v>
      </c>
      <c r="B47">
        <v>100</v>
      </c>
      <c r="C47" t="s">
        <v>5</v>
      </c>
      <c r="D47" t="s">
        <v>205</v>
      </c>
      <c r="E47" t="s">
        <v>341</v>
      </c>
      <c r="F47" s="21">
        <f>COUNTIF(SCD[Course],SCD[[#This Row],[Course]])</f>
        <v>1</v>
      </c>
      <c r="G47">
        <v>23</v>
      </c>
      <c r="H47" s="21">
        <f>COUNTIF(SCD[Block],SCD[[#This Row],[Block]])</f>
        <v>1</v>
      </c>
      <c r="I47" s="21">
        <f>COUNTIFS(SCD[Course],SCD[[#This Row],[Course]],SCD[Block],"&lt;=7",SCD[Block],"&gt;=1") + COUNTIFS(SCD[Course],SCD[[#This Row],[Course]],SCD[Block],10)</f>
        <v>0</v>
      </c>
      <c r="J47" s="21">
        <f>COUNTIFS(SCD[Course],SCD[[#This Row],[Course]],SCD[Block],"&gt;7")</f>
        <v>1</v>
      </c>
      <c r="K47">
        <v>100</v>
      </c>
      <c r="P47" s="21">
        <v>24</v>
      </c>
      <c r="R47" s="21">
        <v>22</v>
      </c>
      <c r="S47" s="21">
        <v>21</v>
      </c>
      <c r="T47" s="21"/>
      <c r="U47" s="21"/>
      <c r="V47" s="21"/>
      <c r="W47" s="21"/>
      <c r="X47" s="21"/>
      <c r="Y47" s="21"/>
      <c r="Z47" s="21"/>
      <c r="AA47" s="21"/>
      <c r="AB47" s="21"/>
      <c r="AC47" s="21"/>
      <c r="AE47" s="21"/>
      <c r="AF47" s="25">
        <v>28</v>
      </c>
      <c r="AG47" s="25">
        <v>27</v>
      </c>
      <c r="AH47" s="25">
        <v>26</v>
      </c>
      <c r="AI47" s="25">
        <v>25</v>
      </c>
      <c r="AJ47" s="25">
        <v>24</v>
      </c>
      <c r="AK47" s="25">
        <v>23</v>
      </c>
      <c r="AL47" s="25">
        <v>22</v>
      </c>
      <c r="AM47" s="25">
        <v>21</v>
      </c>
      <c r="AZ47">
        <v>0.42206475594614434</v>
      </c>
    </row>
    <row r="48" spans="1:52" x14ac:dyDescent="0.25">
      <c r="A48" t="s">
        <v>182</v>
      </c>
      <c r="B48">
        <v>300</v>
      </c>
      <c r="C48" t="s">
        <v>3</v>
      </c>
      <c r="D48" t="s">
        <v>199</v>
      </c>
      <c r="E48" t="s">
        <v>317</v>
      </c>
      <c r="F48" s="21">
        <f>COUNTIF(SCD[Course],SCD[[#This Row],[Course]])</f>
        <v>4</v>
      </c>
      <c r="G48">
        <v>20</v>
      </c>
      <c r="H48" s="21">
        <f>COUNTIF(SCD[Block],SCD[[#This Row],[Block]])</f>
        <v>5</v>
      </c>
      <c r="I48" s="21">
        <f>COUNTIFS(SCD[Course],SCD[[#This Row],[Course]],SCD[Block],"&lt;=7",SCD[Block],"&gt;=1") + COUNTIFS(SCD[Course],SCD[[#This Row],[Course]],SCD[Block],10)</f>
        <v>2</v>
      </c>
      <c r="J48" s="21">
        <f>COUNTIFS(SCD[Course],SCD[[#This Row],[Course]],SCD[Block],"&gt;7")</f>
        <v>3</v>
      </c>
      <c r="K48">
        <v>100</v>
      </c>
      <c r="AA48" s="21">
        <v>4</v>
      </c>
      <c r="AC48" s="21">
        <v>2</v>
      </c>
      <c r="AD48" s="21">
        <v>1</v>
      </c>
      <c r="AE48" s="21"/>
      <c r="AF48" s="25">
        <v>20</v>
      </c>
      <c r="AG48" s="25">
        <v>19</v>
      </c>
      <c r="AH48" s="25">
        <v>17</v>
      </c>
      <c r="AI48" s="25">
        <v>16</v>
      </c>
      <c r="AJ48" s="25">
        <v>15</v>
      </c>
      <c r="AK48" s="25">
        <v>14</v>
      </c>
      <c r="AL48" s="25">
        <v>13</v>
      </c>
      <c r="AM48" s="25">
        <v>12</v>
      </c>
      <c r="AN48" s="25">
        <v>11</v>
      </c>
      <c r="AO48" s="25">
        <v>10</v>
      </c>
      <c r="AP48" s="25">
        <v>9</v>
      </c>
      <c r="AQ48" s="25">
        <v>8</v>
      </c>
      <c r="AR48" s="25">
        <v>7</v>
      </c>
      <c r="AS48" s="25">
        <v>6</v>
      </c>
      <c r="AT48" s="25">
        <v>5</v>
      </c>
      <c r="AU48" s="25">
        <v>4</v>
      </c>
      <c r="AV48" s="25">
        <v>3</v>
      </c>
      <c r="AW48" s="25">
        <v>2</v>
      </c>
      <c r="AX48" s="25">
        <v>1</v>
      </c>
      <c r="AZ48">
        <v>0.43110821876747385</v>
      </c>
    </row>
    <row r="49" spans="1:52" x14ac:dyDescent="0.25">
      <c r="A49" t="s">
        <v>143</v>
      </c>
      <c r="B49">
        <v>200</v>
      </c>
      <c r="C49" t="s">
        <v>3</v>
      </c>
      <c r="D49" t="s">
        <v>186</v>
      </c>
      <c r="E49" t="s">
        <v>293</v>
      </c>
      <c r="F49" s="21">
        <f>COUNTIF(SCD[Course],SCD[[#This Row],[Course]])</f>
        <v>4</v>
      </c>
      <c r="G49">
        <v>2</v>
      </c>
      <c r="H49" s="21">
        <f>COUNTIF(SCD[Block],SCD[[#This Row],[Block]])</f>
        <v>4</v>
      </c>
      <c r="I49" s="21">
        <f>COUNTIFS(SCD[Course],SCD[[#This Row],[Course]],SCD[Block],"&lt;=7",SCD[Block],"&gt;=1") + COUNTIFS(SCD[Course],SCD[[#This Row],[Course]],SCD[Block],10)</f>
        <v>3</v>
      </c>
      <c r="J49" s="21">
        <f>COUNTIFS(SCD[Course],SCD[[#This Row],[Course]],SCD[Block],"&gt;7")</f>
        <v>1</v>
      </c>
      <c r="K49">
        <v>100</v>
      </c>
      <c r="AA49" s="21">
        <v>4</v>
      </c>
      <c r="AE49" s="21"/>
      <c r="AF49" s="25">
        <v>20</v>
      </c>
      <c r="AG49" s="25">
        <v>19</v>
      </c>
      <c r="AH49" s="25">
        <v>18</v>
      </c>
      <c r="AI49" s="25">
        <v>17</v>
      </c>
      <c r="AJ49" s="25">
        <v>16</v>
      </c>
      <c r="AK49" s="25">
        <v>15</v>
      </c>
      <c r="AL49" s="25">
        <v>14</v>
      </c>
      <c r="AM49" s="25">
        <v>13</v>
      </c>
      <c r="AN49" s="25">
        <v>12</v>
      </c>
      <c r="AO49" s="25">
        <v>11</v>
      </c>
      <c r="AP49" s="25">
        <v>10</v>
      </c>
      <c r="AQ49" s="25">
        <v>9</v>
      </c>
      <c r="AR49" s="25">
        <v>8</v>
      </c>
      <c r="AS49" s="25">
        <v>6</v>
      </c>
      <c r="AT49" s="25">
        <v>5</v>
      </c>
      <c r="AU49" s="25">
        <v>4</v>
      </c>
      <c r="AV49" s="25">
        <v>3</v>
      </c>
      <c r="AW49" s="25">
        <v>2</v>
      </c>
      <c r="AX49" s="25">
        <v>1</v>
      </c>
      <c r="AZ49">
        <v>0.43226232894692129</v>
      </c>
    </row>
    <row r="50" spans="1:52" x14ac:dyDescent="0.25">
      <c r="A50" t="s">
        <v>97</v>
      </c>
      <c r="B50">
        <v>100</v>
      </c>
      <c r="C50" t="s">
        <v>3</v>
      </c>
      <c r="D50" t="s">
        <v>268</v>
      </c>
      <c r="E50" t="s">
        <v>322</v>
      </c>
      <c r="F50" s="21">
        <f>COUNTIF(SCD[Course],SCD[[#This Row],[Course]])</f>
        <v>1</v>
      </c>
      <c r="G50">
        <v>9</v>
      </c>
      <c r="H50" s="21">
        <f>COUNTIF(SCD[Block],SCD[[#This Row],[Block]])</f>
        <v>5</v>
      </c>
      <c r="I50" s="21">
        <f>COUNTIFS(SCD[Course],SCD[[#This Row],[Course]],SCD[Block],"&lt;=7",SCD[Block],"&gt;=1") + COUNTIFS(SCD[Course],SCD[[#This Row],[Course]],SCD[Block],10)</f>
        <v>0</v>
      </c>
      <c r="J50" s="21">
        <f>COUNTIFS(SCD[Course],SCD[[#This Row],[Course]],SCD[Block],"&gt;7")</f>
        <v>1</v>
      </c>
      <c r="K50">
        <v>100</v>
      </c>
      <c r="AA50" s="21">
        <v>4</v>
      </c>
      <c r="AB50" s="21">
        <v>3</v>
      </c>
      <c r="AC50" s="21">
        <v>2</v>
      </c>
      <c r="AD50" s="21">
        <v>1</v>
      </c>
      <c r="AE50" s="21"/>
      <c r="AF50" s="25">
        <v>20</v>
      </c>
      <c r="AG50" s="25">
        <v>19</v>
      </c>
      <c r="AH50" s="25">
        <v>18</v>
      </c>
      <c r="AI50" s="25">
        <v>17</v>
      </c>
      <c r="AJ50" s="25">
        <v>16</v>
      </c>
      <c r="AK50" s="25">
        <v>15</v>
      </c>
      <c r="AL50" s="25">
        <v>14</v>
      </c>
      <c r="AM50" s="25">
        <v>13</v>
      </c>
      <c r="AN50" s="25">
        <v>12</v>
      </c>
      <c r="AO50" s="25">
        <v>11</v>
      </c>
      <c r="AP50" s="25">
        <v>9</v>
      </c>
      <c r="AQ50" s="25">
        <v>8</v>
      </c>
      <c r="AR50" s="25">
        <v>7</v>
      </c>
      <c r="AS50" s="25">
        <v>6</v>
      </c>
      <c r="AT50" s="25">
        <v>5</v>
      </c>
      <c r="AU50" s="25">
        <v>4</v>
      </c>
      <c r="AV50" s="25">
        <v>3</v>
      </c>
      <c r="AW50" s="25">
        <v>2</v>
      </c>
      <c r="AX50" s="25">
        <v>1</v>
      </c>
      <c r="AZ50">
        <v>0.43359595477069712</v>
      </c>
    </row>
    <row r="51" spans="1:52" x14ac:dyDescent="0.25">
      <c r="A51" t="s">
        <v>77</v>
      </c>
      <c r="B51">
        <v>100</v>
      </c>
      <c r="C51" t="s">
        <v>3</v>
      </c>
      <c r="D51" t="s">
        <v>248</v>
      </c>
      <c r="E51" t="s">
        <v>298</v>
      </c>
      <c r="F51" s="21">
        <f>COUNTIF(SCD[Course],SCD[[#This Row],[Course]])</f>
        <v>1</v>
      </c>
      <c r="G51">
        <v>10</v>
      </c>
      <c r="H51" s="21">
        <f>COUNTIF(SCD[Block],SCD[[#This Row],[Block]])</f>
        <v>4</v>
      </c>
      <c r="I51" s="21">
        <f>COUNTIFS(SCD[Course],SCD[[#This Row],[Course]],SCD[Block],"&lt;=7",SCD[Block],"&gt;=1") + COUNTIFS(SCD[Course],SCD[[#This Row],[Course]],SCD[Block],10)</f>
        <v>1</v>
      </c>
      <c r="J51" s="21">
        <f>COUNTIFS(SCD[Course],SCD[[#This Row],[Course]],SCD[Block],"&gt;7")</f>
        <v>1</v>
      </c>
      <c r="K51">
        <v>100</v>
      </c>
      <c r="AA51" s="21">
        <v>4</v>
      </c>
      <c r="AB51" s="21">
        <v>3</v>
      </c>
      <c r="AC51" s="21">
        <v>2</v>
      </c>
      <c r="AD51" s="21">
        <v>1</v>
      </c>
      <c r="AE51" s="21"/>
      <c r="AF51" s="25">
        <v>20</v>
      </c>
      <c r="AG51" s="25">
        <v>19</v>
      </c>
      <c r="AH51" s="25">
        <v>18</v>
      </c>
      <c r="AI51" s="25">
        <v>17</v>
      </c>
      <c r="AJ51" s="25">
        <v>15</v>
      </c>
      <c r="AK51" s="25">
        <v>14</v>
      </c>
      <c r="AL51" s="25">
        <v>13</v>
      </c>
      <c r="AM51" s="25">
        <v>12</v>
      </c>
      <c r="AN51" s="25">
        <v>11</v>
      </c>
      <c r="AO51" s="25">
        <v>10</v>
      </c>
      <c r="AP51" s="25">
        <v>9</v>
      </c>
      <c r="AQ51" s="25">
        <v>8</v>
      </c>
      <c r="AR51" s="25">
        <v>7</v>
      </c>
      <c r="AS51" s="25">
        <v>6</v>
      </c>
      <c r="AT51" s="25">
        <v>5</v>
      </c>
      <c r="AU51" s="25">
        <v>4</v>
      </c>
      <c r="AV51" s="25">
        <v>3</v>
      </c>
      <c r="AW51" s="25">
        <v>2</v>
      </c>
      <c r="AX51" s="25">
        <v>1</v>
      </c>
      <c r="AZ51">
        <v>0.44701426832416613</v>
      </c>
    </row>
    <row r="52" spans="1:52" x14ac:dyDescent="0.25">
      <c r="A52" t="s">
        <v>70</v>
      </c>
      <c r="B52">
        <v>100</v>
      </c>
      <c r="C52" t="s">
        <v>3</v>
      </c>
      <c r="D52" t="s">
        <v>241</v>
      </c>
      <c r="E52" t="s">
        <v>309</v>
      </c>
      <c r="F52" s="21">
        <f>COUNTIF(SCD[Course],SCD[[#This Row],[Course]])</f>
        <v>1</v>
      </c>
      <c r="G52">
        <v>8</v>
      </c>
      <c r="H52" s="21">
        <f>COUNTIF(SCD[Block],SCD[[#This Row],[Block]])</f>
        <v>5</v>
      </c>
      <c r="I52" s="21">
        <f>COUNTIFS(SCD[Course],SCD[[#This Row],[Course]],SCD[Block],"&lt;=7",SCD[Block],"&gt;=1") + COUNTIFS(SCD[Course],SCD[[#This Row],[Course]],SCD[Block],10)</f>
        <v>0</v>
      </c>
      <c r="J52" s="21">
        <f>COUNTIFS(SCD[Course],SCD[[#This Row],[Course]],SCD[Block],"&gt;7")</f>
        <v>1</v>
      </c>
      <c r="K52">
        <v>100</v>
      </c>
      <c r="AA52" s="21">
        <v>4</v>
      </c>
      <c r="AB52" s="21">
        <v>3</v>
      </c>
      <c r="AC52" s="21">
        <v>2</v>
      </c>
      <c r="AD52" s="21">
        <v>1</v>
      </c>
      <c r="AE52" s="21"/>
      <c r="AF52" s="25">
        <v>19</v>
      </c>
      <c r="AG52" s="25">
        <v>18</v>
      </c>
      <c r="AH52" s="25">
        <v>17</v>
      </c>
      <c r="AI52" s="25">
        <v>16</v>
      </c>
      <c r="AJ52" s="25">
        <v>15</v>
      </c>
      <c r="AK52" s="25">
        <v>14</v>
      </c>
      <c r="AL52" s="25">
        <v>13</v>
      </c>
      <c r="AM52" s="25">
        <v>12</v>
      </c>
      <c r="AN52" s="25">
        <v>11</v>
      </c>
      <c r="AO52" s="25">
        <v>10</v>
      </c>
      <c r="AP52" s="25">
        <v>9</v>
      </c>
      <c r="AQ52" s="25">
        <v>8</v>
      </c>
      <c r="AR52" s="25">
        <v>7</v>
      </c>
      <c r="AS52" s="25">
        <v>6</v>
      </c>
      <c r="AT52" s="25">
        <v>5</v>
      </c>
      <c r="AU52" s="25">
        <v>4</v>
      </c>
      <c r="AV52" s="25">
        <v>3</v>
      </c>
      <c r="AW52" s="25">
        <v>2</v>
      </c>
      <c r="AX52" s="25">
        <v>1</v>
      </c>
      <c r="AZ52">
        <v>0.44757597346363165</v>
      </c>
    </row>
    <row r="53" spans="1:52" x14ac:dyDescent="0.25">
      <c r="A53" t="s">
        <v>58</v>
      </c>
      <c r="B53">
        <v>100</v>
      </c>
      <c r="C53" t="s">
        <v>3</v>
      </c>
      <c r="D53" t="s">
        <v>229</v>
      </c>
      <c r="E53" t="s">
        <v>313</v>
      </c>
      <c r="F53" s="21">
        <f>COUNTIF(SCD[Course],SCD[[#This Row],[Course]])</f>
        <v>1</v>
      </c>
      <c r="G53">
        <v>7</v>
      </c>
      <c r="H53" s="21">
        <f>COUNTIF(SCD[Block],SCD[[#This Row],[Block]])</f>
        <v>4</v>
      </c>
      <c r="I53" s="21">
        <f>COUNTIFS(SCD[Course],SCD[[#This Row],[Course]],SCD[Block],"&lt;=7",SCD[Block],"&gt;=1") + COUNTIFS(SCD[Course],SCD[[#This Row],[Course]],SCD[Block],10)</f>
        <v>1</v>
      </c>
      <c r="J53" s="21">
        <f>COUNTIFS(SCD[Course],SCD[[#This Row],[Course]],SCD[Block],"&gt;7")</f>
        <v>0</v>
      </c>
      <c r="K53">
        <v>100</v>
      </c>
      <c r="AA53" s="21">
        <v>4</v>
      </c>
      <c r="AB53" s="21">
        <v>3</v>
      </c>
      <c r="AC53" s="21">
        <v>2</v>
      </c>
      <c r="AD53" s="21">
        <v>1</v>
      </c>
      <c r="AE53" s="21"/>
      <c r="AF53" s="25">
        <v>20</v>
      </c>
      <c r="AG53" s="25">
        <v>19</v>
      </c>
      <c r="AH53" s="25">
        <v>18</v>
      </c>
      <c r="AI53" s="25">
        <v>17</v>
      </c>
      <c r="AJ53" s="25">
        <v>16</v>
      </c>
      <c r="AK53" s="25">
        <v>15</v>
      </c>
      <c r="AL53" s="25">
        <v>14</v>
      </c>
      <c r="AM53" s="25">
        <v>13</v>
      </c>
      <c r="AN53" s="25">
        <v>12</v>
      </c>
      <c r="AO53" s="25">
        <v>11</v>
      </c>
      <c r="AP53" s="25">
        <v>10</v>
      </c>
      <c r="AQ53" s="25">
        <v>8</v>
      </c>
      <c r="AR53" s="25">
        <v>7</v>
      </c>
      <c r="AS53" s="25">
        <v>6</v>
      </c>
      <c r="AT53" s="25">
        <v>5</v>
      </c>
      <c r="AU53" s="25">
        <v>4</v>
      </c>
      <c r="AV53" s="25">
        <v>3</v>
      </c>
      <c r="AW53" s="25">
        <v>2</v>
      </c>
      <c r="AX53" s="25">
        <v>1</v>
      </c>
      <c r="AZ53">
        <v>0.44845690152176465</v>
      </c>
    </row>
    <row r="54" spans="1:52" x14ac:dyDescent="0.25">
      <c r="A54" t="s">
        <v>85</v>
      </c>
      <c r="B54">
        <v>100</v>
      </c>
      <c r="C54" t="s">
        <v>3</v>
      </c>
      <c r="D54" t="s">
        <v>256</v>
      </c>
      <c r="E54" t="s">
        <v>306</v>
      </c>
      <c r="F54" s="21">
        <f>COUNTIF(SCD[Course],SCD[[#This Row],[Course]])</f>
        <v>1</v>
      </c>
      <c r="G54">
        <v>15</v>
      </c>
      <c r="H54" s="21">
        <f>COUNTIF(SCD[Block],SCD[[#This Row],[Block]])</f>
        <v>5</v>
      </c>
      <c r="I54" s="21">
        <f>COUNTIFS(SCD[Course],SCD[[#This Row],[Course]],SCD[Block],"&lt;=7",SCD[Block],"&gt;=1") + COUNTIFS(SCD[Course],SCD[[#This Row],[Course]],SCD[Block],10)</f>
        <v>0</v>
      </c>
      <c r="J54" s="21">
        <f>COUNTIFS(SCD[Course],SCD[[#This Row],[Course]],SCD[Block],"&gt;7")</f>
        <v>1</v>
      </c>
      <c r="K54">
        <v>100</v>
      </c>
      <c r="AA54" s="21">
        <v>4</v>
      </c>
      <c r="AC54" s="21">
        <v>2</v>
      </c>
      <c r="AD54" s="21">
        <v>1</v>
      </c>
      <c r="AE54" s="21"/>
      <c r="AF54" s="25">
        <v>20</v>
      </c>
      <c r="AG54" s="25">
        <v>19</v>
      </c>
      <c r="AH54" s="25">
        <v>18</v>
      </c>
      <c r="AI54" s="25">
        <v>17</v>
      </c>
      <c r="AJ54" s="25">
        <v>16</v>
      </c>
      <c r="AK54" s="25">
        <v>15</v>
      </c>
      <c r="AL54" s="25">
        <v>14</v>
      </c>
      <c r="AM54" s="25">
        <v>12</v>
      </c>
      <c r="AN54" s="25">
        <v>11</v>
      </c>
      <c r="AO54" s="25">
        <v>10</v>
      </c>
      <c r="AP54" s="25">
        <v>9</v>
      </c>
      <c r="AQ54" s="25">
        <v>8</v>
      </c>
      <c r="AR54" s="25">
        <v>7</v>
      </c>
      <c r="AS54" s="25">
        <v>6</v>
      </c>
      <c r="AT54" s="25">
        <v>5</v>
      </c>
      <c r="AU54" s="25">
        <v>4</v>
      </c>
      <c r="AV54" s="25">
        <v>3</v>
      </c>
      <c r="AW54" s="25">
        <v>2</v>
      </c>
      <c r="AX54" s="25">
        <v>1</v>
      </c>
      <c r="AZ54">
        <v>0.4747698132271938</v>
      </c>
    </row>
    <row r="55" spans="1:52" x14ac:dyDescent="0.25">
      <c r="A55" t="s">
        <v>6</v>
      </c>
      <c r="B55">
        <v>100</v>
      </c>
      <c r="C55" t="s">
        <v>5</v>
      </c>
      <c r="D55" t="s">
        <v>25</v>
      </c>
      <c r="E55" t="s">
        <v>336</v>
      </c>
      <c r="F55" s="21">
        <f>COUNTIF(SCD[Course],SCD[[#This Row],[Course]])</f>
        <v>1</v>
      </c>
      <c r="G55">
        <v>22</v>
      </c>
      <c r="H55" s="21">
        <f>COUNTIF(SCD[Block],SCD[[#This Row],[Block]])</f>
        <v>1</v>
      </c>
      <c r="I55" s="21">
        <f>COUNTIFS(SCD[Course],SCD[[#This Row],[Course]],SCD[Block],"&lt;=7",SCD[Block],"&gt;=1") + COUNTIFS(SCD[Course],SCD[[#This Row],[Course]],SCD[Block],10)</f>
        <v>0</v>
      </c>
      <c r="J55" s="21">
        <f>COUNTIFS(SCD[Course],SCD[[#This Row],[Course]],SCD[Block],"&gt;7")</f>
        <v>1</v>
      </c>
      <c r="K55">
        <v>100</v>
      </c>
      <c r="P55" s="21">
        <v>24</v>
      </c>
      <c r="Q55" s="21">
        <v>23</v>
      </c>
      <c r="S55" s="21">
        <v>21</v>
      </c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5">
        <v>28</v>
      </c>
      <c r="AG55" s="25">
        <v>27</v>
      </c>
      <c r="AH55" s="25">
        <v>26</v>
      </c>
      <c r="AI55" s="25">
        <v>25</v>
      </c>
      <c r="AJ55" s="25">
        <v>24</v>
      </c>
      <c r="AK55" s="25">
        <v>23</v>
      </c>
      <c r="AL55" s="25">
        <v>22</v>
      </c>
      <c r="AM55" s="25">
        <v>21</v>
      </c>
      <c r="AZ55">
        <v>0.48189414434875233</v>
      </c>
    </row>
    <row r="56" spans="1:52" x14ac:dyDescent="0.25">
      <c r="A56" t="s">
        <v>48</v>
      </c>
      <c r="B56">
        <v>100</v>
      </c>
      <c r="C56" t="s">
        <v>3</v>
      </c>
      <c r="D56" t="s">
        <v>219</v>
      </c>
      <c r="E56" t="s">
        <v>325</v>
      </c>
      <c r="F56" s="21">
        <f>COUNTIF(SCD[Course],SCD[[#This Row],[Course]])</f>
        <v>1</v>
      </c>
      <c r="G56">
        <v>6</v>
      </c>
      <c r="H56" s="21">
        <f>COUNTIF(SCD[Block],SCD[[#This Row],[Block]])</f>
        <v>5</v>
      </c>
      <c r="I56" s="21">
        <f>COUNTIFS(SCD[Course],SCD[[#This Row],[Course]],SCD[Block],"&lt;=7",SCD[Block],"&gt;=1") + COUNTIFS(SCD[Course],SCD[[#This Row],[Course]],SCD[Block],10)</f>
        <v>1</v>
      </c>
      <c r="J56" s="21">
        <f>COUNTIFS(SCD[Course],SCD[[#This Row],[Course]],SCD[Block],"&gt;7")</f>
        <v>0</v>
      </c>
      <c r="K56">
        <v>100</v>
      </c>
      <c r="AA56" s="21">
        <v>4</v>
      </c>
      <c r="AB56" s="21">
        <v>3</v>
      </c>
      <c r="AC56" s="21">
        <v>2</v>
      </c>
      <c r="AD56" s="21">
        <v>1</v>
      </c>
      <c r="AE56" s="21"/>
      <c r="AF56" s="25">
        <v>20</v>
      </c>
      <c r="AG56" s="25">
        <v>19</v>
      </c>
      <c r="AH56" s="25">
        <v>18</v>
      </c>
      <c r="AI56" s="25">
        <v>16</v>
      </c>
      <c r="AJ56" s="25">
        <v>15</v>
      </c>
      <c r="AK56" s="25">
        <v>14</v>
      </c>
      <c r="AL56" s="25">
        <v>13</v>
      </c>
      <c r="AM56" s="25">
        <v>12</v>
      </c>
      <c r="AN56" s="25">
        <v>11</v>
      </c>
      <c r="AO56" s="25">
        <v>10</v>
      </c>
      <c r="AP56" s="25">
        <v>9</v>
      </c>
      <c r="AQ56" s="25">
        <v>8</v>
      </c>
      <c r="AR56" s="25">
        <v>7</v>
      </c>
      <c r="AS56" s="25">
        <v>6</v>
      </c>
      <c r="AT56" s="25">
        <v>5</v>
      </c>
      <c r="AU56" s="25">
        <v>4</v>
      </c>
      <c r="AV56" s="25">
        <v>3</v>
      </c>
      <c r="AW56" s="25">
        <v>2</v>
      </c>
      <c r="AX56" s="25">
        <v>1</v>
      </c>
      <c r="AZ56">
        <v>0.48336451251916268</v>
      </c>
    </row>
    <row r="57" spans="1:52" x14ac:dyDescent="0.25">
      <c r="A57" t="s">
        <v>88</v>
      </c>
      <c r="B57">
        <v>100</v>
      </c>
      <c r="C57" t="s">
        <v>3</v>
      </c>
      <c r="D57" t="s">
        <v>259</v>
      </c>
      <c r="E57" t="s">
        <v>329</v>
      </c>
      <c r="F57" s="21">
        <f>COUNTIF(SCD[Course],SCD[[#This Row],[Course]])</f>
        <v>1</v>
      </c>
      <c r="G57">
        <v>1</v>
      </c>
      <c r="H57" s="21">
        <f>COUNTIF(SCD[Block],SCD[[#This Row],[Block]])</f>
        <v>4</v>
      </c>
      <c r="I57" s="21">
        <f>COUNTIFS(SCD[Course],SCD[[#This Row],[Course]],SCD[Block],"&lt;=7",SCD[Block],"&gt;=1") + COUNTIFS(SCD[Course],SCD[[#This Row],[Course]],SCD[Block],10)</f>
        <v>1</v>
      </c>
      <c r="J57" s="21">
        <f>COUNTIFS(SCD[Course],SCD[[#This Row],[Course]],SCD[Block],"&gt;7")</f>
        <v>0</v>
      </c>
      <c r="K57">
        <v>100</v>
      </c>
      <c r="AA57" s="21">
        <v>4</v>
      </c>
      <c r="AB57" s="21">
        <v>3</v>
      </c>
      <c r="AE57" s="21"/>
      <c r="AF57" s="25">
        <v>20</v>
      </c>
      <c r="AG57" s="25">
        <v>19</v>
      </c>
      <c r="AH57" s="25">
        <v>18</v>
      </c>
      <c r="AI57" s="25">
        <v>17</v>
      </c>
      <c r="AJ57" s="25">
        <v>15</v>
      </c>
      <c r="AK57" s="25">
        <v>14</v>
      </c>
      <c r="AL57" s="25">
        <v>13</v>
      </c>
      <c r="AM57" s="25">
        <v>12</v>
      </c>
      <c r="AN57" s="25">
        <v>11</v>
      </c>
      <c r="AO57" s="25">
        <v>10</v>
      </c>
      <c r="AP57" s="25">
        <v>9</v>
      </c>
      <c r="AQ57" s="25">
        <v>8</v>
      </c>
      <c r="AR57" s="25">
        <v>7</v>
      </c>
      <c r="AS57" s="25">
        <v>6</v>
      </c>
      <c r="AT57" s="25">
        <v>5</v>
      </c>
      <c r="AU57" s="25">
        <v>4</v>
      </c>
      <c r="AV57" s="25">
        <v>3</v>
      </c>
      <c r="AW57" s="25">
        <v>2</v>
      </c>
      <c r="AX57" s="25">
        <v>1</v>
      </c>
      <c r="AZ57">
        <v>0.50774652832579259</v>
      </c>
    </row>
    <row r="58" spans="1:52" x14ac:dyDescent="0.25">
      <c r="A58" t="s">
        <v>80</v>
      </c>
      <c r="B58">
        <v>100</v>
      </c>
      <c r="C58" t="s">
        <v>3</v>
      </c>
      <c r="D58" t="s">
        <v>251</v>
      </c>
      <c r="E58" t="s">
        <v>319</v>
      </c>
      <c r="F58" s="21">
        <f>COUNTIF(SCD[Course],SCD[[#This Row],[Course]])</f>
        <v>1</v>
      </c>
      <c r="G58">
        <v>5</v>
      </c>
      <c r="H58" s="21">
        <f>COUNTIF(SCD[Block],SCD[[#This Row],[Block]])</f>
        <v>5</v>
      </c>
      <c r="I58" s="21">
        <f>COUNTIFS(SCD[Course],SCD[[#This Row],[Course]],SCD[Block],"&lt;=7",SCD[Block],"&gt;=1") + COUNTIFS(SCD[Course],SCD[[#This Row],[Course]],SCD[Block],10)</f>
        <v>1</v>
      </c>
      <c r="J58" s="21">
        <f>COUNTIFS(SCD[Course],SCD[[#This Row],[Course]],SCD[Block],"&gt;7")</f>
        <v>0</v>
      </c>
      <c r="K58">
        <v>100</v>
      </c>
      <c r="AA58" s="21">
        <v>4</v>
      </c>
      <c r="AB58" s="21">
        <v>3</v>
      </c>
      <c r="AC58" s="21">
        <v>2</v>
      </c>
      <c r="AD58" s="21">
        <v>1</v>
      </c>
      <c r="AE58" s="21"/>
      <c r="AF58" s="25">
        <v>20</v>
      </c>
      <c r="AG58" s="25">
        <v>19</v>
      </c>
      <c r="AH58" s="25">
        <v>18</v>
      </c>
      <c r="AI58" s="25">
        <v>17</v>
      </c>
      <c r="AJ58" s="25">
        <v>16</v>
      </c>
      <c r="AK58" s="25">
        <v>15</v>
      </c>
      <c r="AL58" s="25">
        <v>14</v>
      </c>
      <c r="AM58" s="25">
        <v>13</v>
      </c>
      <c r="AN58" s="25">
        <v>12</v>
      </c>
      <c r="AO58" s="25">
        <v>11</v>
      </c>
      <c r="AP58" s="25">
        <v>10</v>
      </c>
      <c r="AQ58" s="25">
        <v>9</v>
      </c>
      <c r="AR58" s="25">
        <v>7</v>
      </c>
      <c r="AS58" s="25">
        <v>6</v>
      </c>
      <c r="AT58" s="25">
        <v>5</v>
      </c>
      <c r="AU58" s="25">
        <v>4</v>
      </c>
      <c r="AV58" s="25">
        <v>3</v>
      </c>
      <c r="AW58" s="25">
        <v>2</v>
      </c>
      <c r="AX58" s="25">
        <v>1</v>
      </c>
      <c r="AZ58">
        <v>0.52034382135822965</v>
      </c>
    </row>
    <row r="59" spans="1:52" x14ac:dyDescent="0.25">
      <c r="A59" t="s">
        <v>67</v>
      </c>
      <c r="B59">
        <v>100</v>
      </c>
      <c r="C59" t="s">
        <v>3</v>
      </c>
      <c r="D59" t="s">
        <v>238</v>
      </c>
      <c r="E59" t="s">
        <v>303</v>
      </c>
      <c r="F59" s="21">
        <f>COUNTIF(SCD[Course],SCD[[#This Row],[Course]])</f>
        <v>1</v>
      </c>
      <c r="G59">
        <v>19</v>
      </c>
      <c r="H59" s="21">
        <f>COUNTIF(SCD[Block],SCD[[#This Row],[Block]])</f>
        <v>5</v>
      </c>
      <c r="I59" s="21">
        <f>COUNTIFS(SCD[Course],SCD[[#This Row],[Course]],SCD[Block],"&lt;=7",SCD[Block],"&gt;=1") + COUNTIFS(SCD[Course],SCD[[#This Row],[Course]],SCD[Block],10)</f>
        <v>0</v>
      </c>
      <c r="J59" s="21">
        <f>COUNTIFS(SCD[Course],SCD[[#This Row],[Course]],SCD[Block],"&gt;7")</f>
        <v>1</v>
      </c>
      <c r="K59">
        <v>100</v>
      </c>
      <c r="AA59" s="21">
        <v>4</v>
      </c>
      <c r="AB59" s="21">
        <v>3</v>
      </c>
      <c r="AC59" s="21">
        <v>2</v>
      </c>
      <c r="AD59" s="21">
        <v>1</v>
      </c>
      <c r="AE59" s="21"/>
      <c r="AF59" s="25">
        <v>19</v>
      </c>
      <c r="AG59" s="25">
        <v>18</v>
      </c>
      <c r="AH59" s="25">
        <v>17</v>
      </c>
      <c r="AI59" s="25">
        <v>16</v>
      </c>
      <c r="AJ59" s="25">
        <v>15</v>
      </c>
      <c r="AK59" s="25">
        <v>14</v>
      </c>
      <c r="AL59" s="25">
        <v>13</v>
      </c>
      <c r="AM59" s="25">
        <v>12</v>
      </c>
      <c r="AN59" s="25">
        <v>11</v>
      </c>
      <c r="AO59" s="25">
        <v>10</v>
      </c>
      <c r="AP59" s="25">
        <v>9</v>
      </c>
      <c r="AQ59" s="25">
        <v>8</v>
      </c>
      <c r="AR59" s="25">
        <v>7</v>
      </c>
      <c r="AS59" s="25">
        <v>6</v>
      </c>
      <c r="AT59" s="25">
        <v>5</v>
      </c>
      <c r="AU59" s="25">
        <v>4</v>
      </c>
      <c r="AV59" s="25">
        <v>3</v>
      </c>
      <c r="AW59" s="25">
        <v>2</v>
      </c>
      <c r="AX59" s="25">
        <v>1</v>
      </c>
      <c r="AZ59">
        <v>0.52549882343372845</v>
      </c>
    </row>
    <row r="60" spans="1:52" x14ac:dyDescent="0.25">
      <c r="A60" t="s">
        <v>45</v>
      </c>
      <c r="B60">
        <v>100</v>
      </c>
      <c r="C60" t="s">
        <v>3</v>
      </c>
      <c r="D60" t="s">
        <v>216</v>
      </c>
      <c r="E60" t="s">
        <v>326</v>
      </c>
      <c r="F60" s="21">
        <f>COUNTIF(SCD[Course],SCD[[#This Row],[Course]])</f>
        <v>1</v>
      </c>
      <c r="G60">
        <v>12</v>
      </c>
      <c r="H60" s="21">
        <f>COUNTIF(SCD[Block],SCD[[#This Row],[Block]])</f>
        <v>5</v>
      </c>
      <c r="I60" s="21">
        <f>COUNTIFS(SCD[Course],SCD[[#This Row],[Course]],SCD[Block],"&lt;=7",SCD[Block],"&gt;=1") + COUNTIFS(SCD[Course],SCD[[#This Row],[Course]],SCD[Block],10)</f>
        <v>0</v>
      </c>
      <c r="J60" s="21">
        <f>COUNTIFS(SCD[Course],SCD[[#This Row],[Course]],SCD[Block],"&gt;7")</f>
        <v>1</v>
      </c>
      <c r="K60">
        <v>100</v>
      </c>
      <c r="AB60" s="21">
        <v>4</v>
      </c>
      <c r="AC60" s="21">
        <v>2</v>
      </c>
      <c r="AD60" s="21">
        <v>1</v>
      </c>
      <c r="AE60" s="21"/>
      <c r="AF60" s="25">
        <v>20</v>
      </c>
      <c r="AG60" s="25">
        <v>19</v>
      </c>
      <c r="AH60" s="25">
        <v>18</v>
      </c>
      <c r="AI60" s="25">
        <v>17</v>
      </c>
      <c r="AJ60" s="25">
        <v>16</v>
      </c>
      <c r="AK60" s="25">
        <v>15</v>
      </c>
      <c r="AL60" s="25">
        <v>14</v>
      </c>
      <c r="AM60" s="25">
        <v>13</v>
      </c>
      <c r="AN60" s="25">
        <v>12</v>
      </c>
      <c r="AO60" s="25">
        <v>11</v>
      </c>
      <c r="AP60" s="25">
        <v>10</v>
      </c>
      <c r="AQ60" s="25">
        <v>9</v>
      </c>
      <c r="AR60" s="25">
        <v>8</v>
      </c>
      <c r="AS60" s="25">
        <v>7</v>
      </c>
      <c r="AT60" s="25">
        <v>6</v>
      </c>
      <c r="AU60" s="25">
        <v>5</v>
      </c>
      <c r="AV60" s="25">
        <v>4</v>
      </c>
      <c r="AW60" s="25">
        <v>2</v>
      </c>
      <c r="AX60" s="25">
        <v>1</v>
      </c>
      <c r="AZ60">
        <v>0.53362688109889389</v>
      </c>
    </row>
    <row r="61" spans="1:52" x14ac:dyDescent="0.25">
      <c r="A61" t="s">
        <v>94</v>
      </c>
      <c r="B61">
        <v>100</v>
      </c>
      <c r="C61" t="s">
        <v>3</v>
      </c>
      <c r="D61" t="s">
        <v>265</v>
      </c>
      <c r="E61" t="s">
        <v>330</v>
      </c>
      <c r="F61" s="21">
        <f>COUNTIF(SCD[Course],SCD[[#This Row],[Course]])</f>
        <v>1</v>
      </c>
      <c r="G61">
        <v>4</v>
      </c>
      <c r="H61" s="21">
        <f>COUNTIF(SCD[Block],SCD[[#This Row],[Block]])</f>
        <v>4</v>
      </c>
      <c r="I61" s="21">
        <f>COUNTIFS(SCD[Course],SCD[[#This Row],[Course]],SCD[Block],"&lt;=7",SCD[Block],"&gt;=1") + COUNTIFS(SCD[Course],SCD[[#This Row],[Course]],SCD[Block],10)</f>
        <v>1</v>
      </c>
      <c r="J61" s="21">
        <f>COUNTIFS(SCD[Course],SCD[[#This Row],[Course]],SCD[Block],"&gt;7")</f>
        <v>0</v>
      </c>
      <c r="K61">
        <v>100</v>
      </c>
      <c r="AB61" s="21">
        <v>3</v>
      </c>
      <c r="AC61" s="21">
        <v>2</v>
      </c>
      <c r="AD61" s="21">
        <v>1</v>
      </c>
      <c r="AE61" s="21"/>
      <c r="AF61" s="25">
        <v>19</v>
      </c>
      <c r="AG61" s="25">
        <v>13</v>
      </c>
      <c r="AH61" s="25">
        <v>8</v>
      </c>
      <c r="AI61" s="25">
        <v>20</v>
      </c>
      <c r="AJ61" s="25">
        <v>18</v>
      </c>
      <c r="AK61" s="25">
        <v>17</v>
      </c>
      <c r="AL61" s="25">
        <v>16</v>
      </c>
      <c r="AM61" s="25">
        <v>15</v>
      </c>
      <c r="AN61" s="25">
        <v>14</v>
      </c>
      <c r="AO61" s="25">
        <v>12</v>
      </c>
      <c r="AP61" s="25">
        <v>11</v>
      </c>
      <c r="AQ61" s="25">
        <v>10</v>
      </c>
      <c r="AR61" s="25">
        <v>9</v>
      </c>
      <c r="AS61" s="25">
        <v>7</v>
      </c>
      <c r="AT61" s="25">
        <v>6</v>
      </c>
      <c r="AU61" s="25">
        <v>4</v>
      </c>
      <c r="AV61" s="25">
        <v>3</v>
      </c>
      <c r="AW61" s="25">
        <v>2</v>
      </c>
      <c r="AX61" s="25">
        <v>1</v>
      </c>
      <c r="AZ61">
        <v>0.53796572319877278</v>
      </c>
    </row>
    <row r="62" spans="1:52" x14ac:dyDescent="0.25">
      <c r="A62" t="s">
        <v>42</v>
      </c>
      <c r="B62">
        <v>100</v>
      </c>
      <c r="C62" t="s">
        <v>3</v>
      </c>
      <c r="D62" t="s">
        <v>213</v>
      </c>
      <c r="E62" t="s">
        <v>334</v>
      </c>
      <c r="F62" s="21">
        <f>COUNTIF(SCD[Course],SCD[[#This Row],[Course]])</f>
        <v>3</v>
      </c>
      <c r="G62">
        <v>7</v>
      </c>
      <c r="H62" s="21">
        <f>COUNTIF(SCD[Block],SCD[[#This Row],[Block]])</f>
        <v>4</v>
      </c>
      <c r="I62" s="21">
        <f>COUNTIFS(SCD[Course],SCD[[#This Row],[Course]],SCD[Block],"&lt;=7",SCD[Block],"&gt;=1") + COUNTIFS(SCD[Course],SCD[[#This Row],[Course]],SCD[Block],10)</f>
        <v>1</v>
      </c>
      <c r="J62" s="21">
        <f>COUNTIFS(SCD[Course],SCD[[#This Row],[Course]],SCD[Block],"&gt;7")</f>
        <v>2</v>
      </c>
      <c r="K62">
        <v>100</v>
      </c>
      <c r="AB62" s="21">
        <v>4</v>
      </c>
      <c r="AC62" s="21">
        <v>3</v>
      </c>
      <c r="AD62" s="21">
        <v>2</v>
      </c>
      <c r="AE62" s="21">
        <v>1</v>
      </c>
      <c r="AF62" s="25">
        <v>20</v>
      </c>
      <c r="AG62" s="25">
        <v>19</v>
      </c>
      <c r="AH62" s="25">
        <v>18</v>
      </c>
      <c r="AI62" s="25">
        <v>17</v>
      </c>
      <c r="AJ62" s="25">
        <v>16</v>
      </c>
      <c r="AK62" s="25">
        <v>15</v>
      </c>
      <c r="AL62" s="25">
        <v>14</v>
      </c>
      <c r="AM62" s="25">
        <v>13</v>
      </c>
      <c r="AN62" s="25">
        <v>12</v>
      </c>
      <c r="AO62" s="25">
        <v>11</v>
      </c>
      <c r="AP62" s="25">
        <v>10</v>
      </c>
      <c r="AQ62" s="25">
        <v>9</v>
      </c>
      <c r="AR62" s="25">
        <v>8</v>
      </c>
      <c r="AS62" s="25">
        <v>7</v>
      </c>
      <c r="AT62" s="25">
        <v>6</v>
      </c>
      <c r="AU62" s="25">
        <v>5</v>
      </c>
      <c r="AV62" s="25">
        <v>4</v>
      </c>
      <c r="AW62" s="25">
        <v>3</v>
      </c>
      <c r="AX62" s="25">
        <v>2</v>
      </c>
      <c r="AY62" s="25">
        <v>1</v>
      </c>
      <c r="AZ62">
        <v>0.53932584689431229</v>
      </c>
    </row>
    <row r="63" spans="1:52" x14ac:dyDescent="0.25">
      <c r="A63" t="s">
        <v>144</v>
      </c>
      <c r="B63">
        <v>100</v>
      </c>
      <c r="C63" t="s">
        <v>3</v>
      </c>
      <c r="D63" t="s">
        <v>189</v>
      </c>
      <c r="E63" t="s">
        <v>302</v>
      </c>
      <c r="F63" s="21">
        <f>COUNTIF(SCD[Course],SCD[[#This Row],[Course]])</f>
        <v>4</v>
      </c>
      <c r="G63">
        <v>12</v>
      </c>
      <c r="H63" s="21">
        <f>COUNTIF(SCD[Block],SCD[[#This Row],[Block]])</f>
        <v>5</v>
      </c>
      <c r="I63" s="21">
        <f>COUNTIFS(SCD[Course],SCD[[#This Row],[Course]],SCD[Block],"&lt;=7",SCD[Block],"&gt;=1") + COUNTIFS(SCD[Course],SCD[[#This Row],[Course]],SCD[Block],10)</f>
        <v>1</v>
      </c>
      <c r="J63" s="21">
        <f>COUNTIFS(SCD[Course],SCD[[#This Row],[Course]],SCD[Block],"&gt;7")</f>
        <v>3</v>
      </c>
      <c r="K63">
        <v>100</v>
      </c>
      <c r="AA63" s="21">
        <v>4</v>
      </c>
      <c r="AB63" s="21">
        <v>3</v>
      </c>
      <c r="AC63" s="21">
        <v>2</v>
      </c>
      <c r="AD63" s="21">
        <v>1</v>
      </c>
      <c r="AE63" s="21"/>
      <c r="AF63" s="25">
        <v>20</v>
      </c>
      <c r="AG63" s="25">
        <v>19</v>
      </c>
      <c r="AH63" s="25">
        <v>18</v>
      </c>
      <c r="AI63" s="25">
        <v>17</v>
      </c>
      <c r="AJ63" s="25">
        <v>16</v>
      </c>
      <c r="AK63" s="25">
        <v>15</v>
      </c>
      <c r="AL63" s="25">
        <v>14</v>
      </c>
      <c r="AM63" s="25">
        <v>13</v>
      </c>
      <c r="AN63" s="25">
        <v>12</v>
      </c>
      <c r="AO63" s="25">
        <v>11</v>
      </c>
      <c r="AP63" s="25">
        <v>10</v>
      </c>
      <c r="AQ63" s="25">
        <v>9</v>
      </c>
      <c r="AR63" s="25">
        <v>8</v>
      </c>
      <c r="AS63" s="25">
        <v>7</v>
      </c>
      <c r="AT63" s="25">
        <v>5</v>
      </c>
      <c r="AU63" s="25">
        <v>4</v>
      </c>
      <c r="AV63" s="25">
        <v>3</v>
      </c>
      <c r="AW63" s="25">
        <v>2</v>
      </c>
      <c r="AX63" s="25">
        <v>1</v>
      </c>
      <c r="AZ63">
        <v>0.5454334659769986</v>
      </c>
    </row>
    <row r="64" spans="1:52" x14ac:dyDescent="0.25">
      <c r="A64" t="s">
        <v>105</v>
      </c>
      <c r="B64">
        <v>100</v>
      </c>
      <c r="C64" t="s">
        <v>3</v>
      </c>
      <c r="D64" t="s">
        <v>276</v>
      </c>
      <c r="E64" t="s">
        <v>306</v>
      </c>
      <c r="F64" s="21">
        <f>COUNTIF(SCD[Course],SCD[[#This Row],[Course]])</f>
        <v>1</v>
      </c>
      <c r="G64">
        <v>3</v>
      </c>
      <c r="H64" s="21">
        <f>COUNTIF(SCD[Block],SCD[[#This Row],[Block]])</f>
        <v>4</v>
      </c>
      <c r="I64" s="21">
        <f>COUNTIFS(SCD[Course],SCD[[#This Row],[Course]],SCD[Block],"&lt;=7",SCD[Block],"&gt;=1") + COUNTIFS(SCD[Course],SCD[[#This Row],[Course]],SCD[Block],10)</f>
        <v>1</v>
      </c>
      <c r="J64" s="21">
        <f>COUNTIFS(SCD[Course],SCD[[#This Row],[Course]],SCD[Block],"&gt;7")</f>
        <v>0</v>
      </c>
      <c r="K64">
        <v>100</v>
      </c>
      <c r="AA64" s="21">
        <v>4</v>
      </c>
      <c r="AC64" s="21">
        <v>2</v>
      </c>
      <c r="AD64" s="21">
        <v>1</v>
      </c>
      <c r="AE64" s="21"/>
      <c r="AF64" s="25">
        <v>20</v>
      </c>
      <c r="AG64" s="25">
        <v>19</v>
      </c>
      <c r="AH64" s="25">
        <v>18</v>
      </c>
      <c r="AI64" s="25">
        <v>17</v>
      </c>
      <c r="AJ64" s="25">
        <v>16</v>
      </c>
      <c r="AK64" s="25">
        <v>15</v>
      </c>
      <c r="AL64" s="25">
        <v>14</v>
      </c>
      <c r="AM64" s="25">
        <v>12</v>
      </c>
      <c r="AN64" s="25">
        <v>11</v>
      </c>
      <c r="AO64" s="25">
        <v>10</v>
      </c>
      <c r="AP64" s="25">
        <v>9</v>
      </c>
      <c r="AQ64" s="25">
        <v>8</v>
      </c>
      <c r="AR64" s="25">
        <v>7</v>
      </c>
      <c r="AS64" s="25">
        <v>6</v>
      </c>
      <c r="AT64" s="25">
        <v>5</v>
      </c>
      <c r="AU64" s="25">
        <v>4</v>
      </c>
      <c r="AV64" s="25">
        <v>3</v>
      </c>
      <c r="AW64" s="25">
        <v>2</v>
      </c>
      <c r="AX64" s="25">
        <v>1</v>
      </c>
      <c r="AZ64">
        <v>0.55008148023420667</v>
      </c>
    </row>
    <row r="65" spans="1:52" x14ac:dyDescent="0.25">
      <c r="A65" t="s">
        <v>43</v>
      </c>
      <c r="B65">
        <v>300</v>
      </c>
      <c r="C65" t="s">
        <v>3</v>
      </c>
      <c r="D65" t="s">
        <v>291</v>
      </c>
      <c r="E65" t="s">
        <v>321</v>
      </c>
      <c r="F65" s="21">
        <f>COUNTIF(SCD[Course],SCD[[#This Row],[Course]])</f>
        <v>3</v>
      </c>
      <c r="G65">
        <v>18</v>
      </c>
      <c r="H65" s="21">
        <f>COUNTIF(SCD[Block],SCD[[#This Row],[Block]])</f>
        <v>5</v>
      </c>
      <c r="I65" s="21">
        <f>COUNTIFS(SCD[Course],SCD[[#This Row],[Course]],SCD[Block],"&lt;=7",SCD[Block],"&gt;=1") + COUNTIFS(SCD[Course],SCD[[#This Row],[Course]],SCD[Block],10)</f>
        <v>1</v>
      </c>
      <c r="J65" s="21">
        <f>COUNTIFS(SCD[Course],SCD[[#This Row],[Course]],SCD[Block],"&gt;7")</f>
        <v>2</v>
      </c>
      <c r="K65">
        <v>100</v>
      </c>
      <c r="AA65" s="21">
        <v>4</v>
      </c>
      <c r="AB65" s="21">
        <v>3</v>
      </c>
      <c r="AC65" s="21">
        <v>2</v>
      </c>
      <c r="AD65" s="21">
        <v>1</v>
      </c>
      <c r="AE65" s="21"/>
      <c r="AF65" s="25">
        <v>20</v>
      </c>
      <c r="AG65" s="25">
        <v>19</v>
      </c>
      <c r="AH65" s="25">
        <v>18</v>
      </c>
      <c r="AI65" s="25">
        <v>17</v>
      </c>
      <c r="AJ65" s="25">
        <v>16</v>
      </c>
      <c r="AK65" s="25">
        <v>14</v>
      </c>
      <c r="AL65" s="25">
        <v>13</v>
      </c>
      <c r="AM65" s="25">
        <v>12</v>
      </c>
      <c r="AN65" s="25">
        <v>11</v>
      </c>
      <c r="AO65" s="25">
        <v>10</v>
      </c>
      <c r="AP65" s="25">
        <v>9</v>
      </c>
      <c r="AQ65" s="25">
        <v>8</v>
      </c>
      <c r="AR65" s="25">
        <v>7</v>
      </c>
      <c r="AS65" s="25">
        <v>6</v>
      </c>
      <c r="AT65" s="25">
        <v>5</v>
      </c>
      <c r="AU65" s="25">
        <v>4</v>
      </c>
      <c r="AV65" s="25">
        <v>3</v>
      </c>
      <c r="AW65" s="25">
        <v>2</v>
      </c>
      <c r="AX65" s="25">
        <v>1</v>
      </c>
      <c r="AZ65">
        <v>0.57415943905606159</v>
      </c>
    </row>
    <row r="66" spans="1:52" x14ac:dyDescent="0.25">
      <c r="A66" t="s">
        <v>10</v>
      </c>
      <c r="B66">
        <v>100</v>
      </c>
      <c r="C66" t="s">
        <v>5</v>
      </c>
      <c r="D66" t="s">
        <v>29</v>
      </c>
      <c r="E66" t="s">
        <v>320</v>
      </c>
      <c r="F66" s="21">
        <f>COUNTIF(SCD[Course],SCD[[#This Row],[Course]])</f>
        <v>1</v>
      </c>
      <c r="G66">
        <v>21</v>
      </c>
      <c r="H66" s="21">
        <f>COUNTIF(SCD[Block],SCD[[#This Row],[Block]])</f>
        <v>1</v>
      </c>
      <c r="I66" s="21">
        <f>COUNTIFS(SCD[Course],SCD[[#This Row],[Course]],SCD[Block],"&lt;=7",SCD[Block],"&gt;=1") + COUNTIFS(SCD[Course],SCD[[#This Row],[Course]],SCD[Block],10)</f>
        <v>0</v>
      </c>
      <c r="J66" s="21">
        <f>COUNTIFS(SCD[Course],SCD[[#This Row],[Course]],SCD[Block],"&gt;7")</f>
        <v>1</v>
      </c>
      <c r="K66">
        <v>100</v>
      </c>
      <c r="P66" s="21">
        <v>24</v>
      </c>
      <c r="Q66" s="21">
        <v>23</v>
      </c>
      <c r="R66" s="21">
        <v>22</v>
      </c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5">
        <v>28</v>
      </c>
      <c r="AG66" s="25">
        <v>27</v>
      </c>
      <c r="AH66" s="25">
        <v>26</v>
      </c>
      <c r="AI66" s="25">
        <v>25</v>
      </c>
      <c r="AJ66" s="25">
        <v>24</v>
      </c>
      <c r="AK66" s="25">
        <v>23</v>
      </c>
      <c r="AL66" s="25">
        <v>22</v>
      </c>
      <c r="AM66" s="25">
        <v>21</v>
      </c>
      <c r="AZ66">
        <v>0.57457285348807907</v>
      </c>
    </row>
    <row r="67" spans="1:52" x14ac:dyDescent="0.25">
      <c r="A67" t="s">
        <v>92</v>
      </c>
      <c r="B67">
        <v>100</v>
      </c>
      <c r="C67" t="s">
        <v>3</v>
      </c>
      <c r="D67" t="s">
        <v>263</v>
      </c>
      <c r="E67" t="s">
        <v>316</v>
      </c>
      <c r="F67" s="21">
        <f>COUNTIF(SCD[Course],SCD[[#This Row],[Course]])</f>
        <v>1</v>
      </c>
      <c r="G67">
        <v>2</v>
      </c>
      <c r="H67" s="21">
        <f>COUNTIF(SCD[Block],SCD[[#This Row],[Block]])</f>
        <v>4</v>
      </c>
      <c r="I67" s="21">
        <f>COUNTIFS(SCD[Course],SCD[[#This Row],[Course]],SCD[Block],"&lt;=7",SCD[Block],"&gt;=1") + COUNTIFS(SCD[Course],SCD[[#This Row],[Course]],SCD[Block],10)</f>
        <v>1</v>
      </c>
      <c r="J67" s="21">
        <f>COUNTIFS(SCD[Course],SCD[[#This Row],[Course]],SCD[Block],"&gt;7")</f>
        <v>0</v>
      </c>
      <c r="K67">
        <v>100</v>
      </c>
      <c r="AB67" s="21">
        <v>3</v>
      </c>
      <c r="AD67" s="21">
        <v>1</v>
      </c>
      <c r="AE67" s="21"/>
      <c r="AF67" s="25">
        <v>20</v>
      </c>
      <c r="AG67" s="25">
        <v>19</v>
      </c>
      <c r="AH67" s="25">
        <v>18</v>
      </c>
      <c r="AI67" s="25">
        <v>17</v>
      </c>
      <c r="AJ67" s="25">
        <v>16</v>
      </c>
      <c r="AK67" s="25">
        <v>15</v>
      </c>
      <c r="AL67" s="25">
        <v>14</v>
      </c>
      <c r="AM67" s="25">
        <v>13</v>
      </c>
      <c r="AN67" s="25">
        <v>12</v>
      </c>
      <c r="AO67" s="25">
        <v>11</v>
      </c>
      <c r="AP67" s="25">
        <v>10</v>
      </c>
      <c r="AQ67" s="25">
        <v>9</v>
      </c>
      <c r="AR67" s="25">
        <v>8</v>
      </c>
      <c r="AS67" s="25">
        <v>7</v>
      </c>
      <c r="AT67" s="25">
        <v>6</v>
      </c>
      <c r="AU67" s="25">
        <v>5</v>
      </c>
      <c r="AV67" s="25">
        <v>3</v>
      </c>
      <c r="AW67" s="25">
        <v>2</v>
      </c>
      <c r="AX67" s="25">
        <v>1</v>
      </c>
      <c r="AZ67">
        <v>0.60075337726154054</v>
      </c>
    </row>
    <row r="68" spans="1:52" x14ac:dyDescent="0.25">
      <c r="A68" t="s">
        <v>96</v>
      </c>
      <c r="B68">
        <v>100</v>
      </c>
      <c r="C68" t="s">
        <v>3</v>
      </c>
      <c r="D68" t="s">
        <v>267</v>
      </c>
      <c r="E68" t="s">
        <v>297</v>
      </c>
      <c r="F68" s="21">
        <f>COUNTIF(SCD[Course],SCD[[#This Row],[Course]])</f>
        <v>1</v>
      </c>
      <c r="G68">
        <v>12</v>
      </c>
      <c r="H68" s="21">
        <f>COUNTIF(SCD[Block],SCD[[#This Row],[Block]])</f>
        <v>5</v>
      </c>
      <c r="I68" s="21">
        <f>COUNTIFS(SCD[Course],SCD[[#This Row],[Course]],SCD[Block],"&lt;=7",SCD[Block],"&gt;=1") + COUNTIFS(SCD[Course],SCD[[#This Row],[Course]],SCD[Block],10)</f>
        <v>0</v>
      </c>
      <c r="J68" s="21">
        <f>COUNTIFS(SCD[Course],SCD[[#This Row],[Course]],SCD[Block],"&gt;7")</f>
        <v>1</v>
      </c>
      <c r="K68">
        <v>100</v>
      </c>
      <c r="AB68" s="21">
        <v>4</v>
      </c>
      <c r="AC68" s="21">
        <v>3</v>
      </c>
      <c r="AD68" s="21">
        <v>2</v>
      </c>
      <c r="AE68" s="21">
        <v>1</v>
      </c>
      <c r="AF68" s="25">
        <v>20</v>
      </c>
      <c r="AG68" s="25">
        <v>19</v>
      </c>
      <c r="AH68" s="25">
        <v>18</v>
      </c>
      <c r="AI68" s="25">
        <v>17</v>
      </c>
      <c r="AJ68" s="25">
        <v>16</v>
      </c>
      <c r="AK68" s="25">
        <v>15</v>
      </c>
      <c r="AL68" s="25">
        <v>14</v>
      </c>
      <c r="AM68" s="25">
        <v>13</v>
      </c>
      <c r="AN68" s="25">
        <v>12</v>
      </c>
      <c r="AO68" s="25">
        <v>11</v>
      </c>
      <c r="AP68" s="25">
        <v>10</v>
      </c>
      <c r="AQ68" s="25">
        <v>9</v>
      </c>
      <c r="AR68" s="25">
        <v>8</v>
      </c>
      <c r="AS68" s="25">
        <v>7</v>
      </c>
      <c r="AT68" s="25">
        <v>6</v>
      </c>
      <c r="AU68" s="25">
        <v>5</v>
      </c>
      <c r="AV68" s="25">
        <v>4</v>
      </c>
      <c r="AW68" s="25">
        <v>3</v>
      </c>
      <c r="AX68" s="25">
        <v>2</v>
      </c>
      <c r="AY68" s="25">
        <v>1</v>
      </c>
      <c r="AZ68">
        <v>0.62785938534966179</v>
      </c>
    </row>
    <row r="69" spans="1:52" x14ac:dyDescent="0.25">
      <c r="A69" t="s">
        <v>49</v>
      </c>
      <c r="B69">
        <v>100</v>
      </c>
      <c r="C69" t="s">
        <v>3</v>
      </c>
      <c r="D69" t="s">
        <v>220</v>
      </c>
      <c r="E69" t="s">
        <v>305</v>
      </c>
      <c r="F69" s="21">
        <f>COUNTIF(SCD[Course],SCD[[#This Row],[Course]])</f>
        <v>1</v>
      </c>
      <c r="G69">
        <v>11</v>
      </c>
      <c r="H69" s="21">
        <f>COUNTIF(SCD[Block],SCD[[#This Row],[Block]])</f>
        <v>5</v>
      </c>
      <c r="I69" s="21">
        <f>COUNTIFS(SCD[Course],SCD[[#This Row],[Course]],SCD[Block],"&lt;=7",SCD[Block],"&gt;=1") + COUNTIFS(SCD[Course],SCD[[#This Row],[Course]],SCD[Block],10)</f>
        <v>0</v>
      </c>
      <c r="J69" s="21">
        <f>COUNTIFS(SCD[Course],SCD[[#This Row],[Course]],SCD[Block],"&gt;7")</f>
        <v>1</v>
      </c>
      <c r="K69">
        <v>100</v>
      </c>
      <c r="AB69" s="21">
        <v>4</v>
      </c>
      <c r="AC69" s="21">
        <v>3</v>
      </c>
      <c r="AD69" s="21">
        <v>2</v>
      </c>
      <c r="AE69" s="21">
        <v>1</v>
      </c>
      <c r="AF69" s="25">
        <v>20</v>
      </c>
      <c r="AG69" s="25">
        <v>19</v>
      </c>
      <c r="AH69" s="25">
        <v>18</v>
      </c>
      <c r="AI69" s="25">
        <v>17</v>
      </c>
      <c r="AJ69" s="25">
        <v>16</v>
      </c>
      <c r="AK69" s="25">
        <v>15</v>
      </c>
      <c r="AL69" s="25">
        <v>14</v>
      </c>
      <c r="AM69" s="25">
        <v>13</v>
      </c>
      <c r="AN69" s="25">
        <v>12</v>
      </c>
      <c r="AO69" s="25">
        <v>11</v>
      </c>
      <c r="AP69" s="25">
        <v>10</v>
      </c>
      <c r="AQ69" s="25">
        <v>9</v>
      </c>
      <c r="AR69" s="25">
        <v>8</v>
      </c>
      <c r="AS69" s="25">
        <v>7</v>
      </c>
      <c r="AT69" s="25">
        <v>6</v>
      </c>
      <c r="AU69" s="25">
        <v>5</v>
      </c>
      <c r="AV69" s="25">
        <v>4</v>
      </c>
      <c r="AW69" s="25">
        <v>3</v>
      </c>
      <c r="AX69" s="25">
        <v>2</v>
      </c>
      <c r="AY69" s="25">
        <v>1</v>
      </c>
      <c r="AZ69">
        <v>0.63111597422110244</v>
      </c>
    </row>
    <row r="70" spans="1:52" x14ac:dyDescent="0.25">
      <c r="A70" t="s">
        <v>99</v>
      </c>
      <c r="B70">
        <v>100</v>
      </c>
      <c r="C70" t="s">
        <v>3</v>
      </c>
      <c r="D70" t="s">
        <v>270</v>
      </c>
      <c r="E70" t="s">
        <v>341</v>
      </c>
      <c r="F70" s="21">
        <f>COUNTIF(SCD[Course],SCD[[#This Row],[Course]])</f>
        <v>1</v>
      </c>
      <c r="G70">
        <v>1</v>
      </c>
      <c r="H70" s="21">
        <f>COUNTIF(SCD[Block],SCD[[#This Row],[Block]])</f>
        <v>4</v>
      </c>
      <c r="I70" s="21">
        <f>COUNTIFS(SCD[Course],SCD[[#This Row],[Course]],SCD[Block],"&lt;=7",SCD[Block],"&gt;=1") + COUNTIFS(SCD[Course],SCD[[#This Row],[Course]],SCD[Block],10)</f>
        <v>1</v>
      </c>
      <c r="J70" s="21">
        <f>COUNTIFS(SCD[Course],SCD[[#This Row],[Course]],SCD[Block],"&gt;7")</f>
        <v>0</v>
      </c>
      <c r="K70">
        <v>100</v>
      </c>
      <c r="AA70" s="21">
        <v>4</v>
      </c>
      <c r="AB70" s="21">
        <v>3</v>
      </c>
      <c r="AC70" s="21">
        <v>2</v>
      </c>
      <c r="AE70" s="21"/>
      <c r="AF70" s="25">
        <v>20</v>
      </c>
      <c r="AG70" s="25">
        <v>19</v>
      </c>
      <c r="AH70" s="25">
        <v>18</v>
      </c>
      <c r="AI70" s="25">
        <v>17</v>
      </c>
      <c r="AJ70" s="25">
        <v>16</v>
      </c>
      <c r="AK70" s="25">
        <v>15</v>
      </c>
      <c r="AL70" s="25">
        <v>14</v>
      </c>
      <c r="AM70" s="25">
        <v>13</v>
      </c>
      <c r="AN70" s="25">
        <v>12</v>
      </c>
      <c r="AO70" s="25">
        <v>11</v>
      </c>
      <c r="AP70" s="25">
        <v>10</v>
      </c>
      <c r="AQ70" s="25">
        <v>8</v>
      </c>
      <c r="AR70" s="25">
        <v>7</v>
      </c>
      <c r="AS70" s="25">
        <v>6</v>
      </c>
      <c r="AT70" s="25">
        <v>5</v>
      </c>
      <c r="AU70" s="25">
        <v>4</v>
      </c>
      <c r="AV70" s="25">
        <v>3</v>
      </c>
      <c r="AW70" s="25">
        <v>2</v>
      </c>
      <c r="AX70" s="25">
        <v>1</v>
      </c>
      <c r="AZ70">
        <v>0.6311165922237949</v>
      </c>
    </row>
    <row r="71" spans="1:52" x14ac:dyDescent="0.25">
      <c r="A71" t="s">
        <v>44</v>
      </c>
      <c r="B71">
        <v>100</v>
      </c>
      <c r="C71" t="s">
        <v>3</v>
      </c>
      <c r="D71" t="s">
        <v>215</v>
      </c>
      <c r="E71" t="s">
        <v>304</v>
      </c>
      <c r="F71" s="21">
        <f>COUNTIF(SCD[Course],SCD[[#This Row],[Course]])</f>
        <v>1</v>
      </c>
      <c r="G71">
        <v>10</v>
      </c>
      <c r="H71" s="21">
        <f>COUNTIF(SCD[Block],SCD[[#This Row],[Block]])</f>
        <v>4</v>
      </c>
      <c r="I71" s="21">
        <f>COUNTIFS(SCD[Course],SCD[[#This Row],[Course]],SCD[Block],"&lt;=7",SCD[Block],"&gt;=1") + COUNTIFS(SCD[Course],SCD[[#This Row],[Course]],SCD[Block],10)</f>
        <v>1</v>
      </c>
      <c r="J71" s="21">
        <f>COUNTIFS(SCD[Course],SCD[[#This Row],[Course]],SCD[Block],"&gt;7")</f>
        <v>1</v>
      </c>
      <c r="K71">
        <v>100</v>
      </c>
      <c r="AB71" s="21">
        <v>4</v>
      </c>
      <c r="AC71" s="21">
        <v>3</v>
      </c>
      <c r="AD71" s="21">
        <v>2</v>
      </c>
      <c r="AE71" s="21">
        <v>1</v>
      </c>
      <c r="AF71" s="25">
        <v>20</v>
      </c>
      <c r="AG71" s="25">
        <v>19</v>
      </c>
      <c r="AH71" s="25">
        <v>18</v>
      </c>
      <c r="AI71" s="25">
        <v>17</v>
      </c>
      <c r="AJ71" s="25">
        <v>16</v>
      </c>
      <c r="AK71" s="25">
        <v>15</v>
      </c>
      <c r="AL71" s="25">
        <v>14</v>
      </c>
      <c r="AM71" s="25">
        <v>13</v>
      </c>
      <c r="AN71" s="25">
        <v>12</v>
      </c>
      <c r="AO71" s="25">
        <v>11</v>
      </c>
      <c r="AP71" s="25">
        <v>10</v>
      </c>
      <c r="AQ71" s="25">
        <v>9</v>
      </c>
      <c r="AR71" s="25">
        <v>8</v>
      </c>
      <c r="AS71" s="25">
        <v>7</v>
      </c>
      <c r="AT71" s="25">
        <v>6</v>
      </c>
      <c r="AU71" s="25">
        <v>5</v>
      </c>
      <c r="AV71" s="25">
        <v>4</v>
      </c>
      <c r="AW71" s="25">
        <v>3</v>
      </c>
      <c r="AX71" s="25">
        <v>2</v>
      </c>
      <c r="AY71" s="25">
        <v>1</v>
      </c>
      <c r="AZ71">
        <v>0.63365934137507196</v>
      </c>
    </row>
    <row r="72" spans="1:52" x14ac:dyDescent="0.25">
      <c r="A72" t="s">
        <v>12</v>
      </c>
      <c r="B72">
        <v>100</v>
      </c>
      <c r="C72" t="s">
        <v>5</v>
      </c>
      <c r="D72" t="s">
        <v>206</v>
      </c>
      <c r="E72" t="s">
        <v>338</v>
      </c>
      <c r="F72" s="21">
        <f>COUNTIF(SCD[Course],SCD[[#This Row],[Course]])</f>
        <v>1</v>
      </c>
      <c r="G72">
        <v>28</v>
      </c>
      <c r="H72" s="21">
        <f>COUNTIF(SCD[Block],SCD[[#This Row],[Block]])</f>
        <v>2</v>
      </c>
      <c r="I72" s="21">
        <f>COUNTIFS(SCD[Course],SCD[[#This Row],[Course]],SCD[Block],"&lt;=7",SCD[Block],"&gt;=1") + COUNTIFS(SCD[Course],SCD[[#This Row],[Course]],SCD[Block],10)</f>
        <v>0</v>
      </c>
      <c r="J72" s="21">
        <f>COUNTIFS(SCD[Course],SCD[[#This Row],[Course]],SCD[Block],"&gt;7")</f>
        <v>1</v>
      </c>
      <c r="K72">
        <v>100</v>
      </c>
      <c r="P72" s="21">
        <v>24</v>
      </c>
      <c r="Q72" s="21">
        <v>23</v>
      </c>
      <c r="R72" s="21">
        <v>22</v>
      </c>
      <c r="S72" s="21">
        <v>21</v>
      </c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5">
        <v>28</v>
      </c>
      <c r="AG72" s="25">
        <v>27</v>
      </c>
      <c r="AH72" s="25">
        <v>26</v>
      </c>
      <c r="AI72" s="25">
        <v>25</v>
      </c>
      <c r="AJ72" s="25">
        <v>24</v>
      </c>
      <c r="AK72" s="25">
        <v>23</v>
      </c>
      <c r="AL72" s="25">
        <v>22</v>
      </c>
      <c r="AM72" s="25">
        <v>21</v>
      </c>
      <c r="AZ72">
        <v>0.6366802996264489</v>
      </c>
    </row>
    <row r="73" spans="1:52" x14ac:dyDescent="0.25">
      <c r="A73" t="s">
        <v>82</v>
      </c>
      <c r="B73">
        <v>100</v>
      </c>
      <c r="C73" t="s">
        <v>3</v>
      </c>
      <c r="D73" t="s">
        <v>253</v>
      </c>
      <c r="E73" t="s">
        <v>305</v>
      </c>
      <c r="F73" s="21">
        <f>COUNTIF(SCD[Course],SCD[[#This Row],[Course]])</f>
        <v>1</v>
      </c>
      <c r="G73">
        <v>9</v>
      </c>
      <c r="H73" s="21">
        <f>COUNTIF(SCD[Block],SCD[[#This Row],[Block]])</f>
        <v>5</v>
      </c>
      <c r="I73" s="21">
        <f>COUNTIFS(SCD[Course],SCD[[#This Row],[Course]],SCD[Block],"&lt;=7",SCD[Block],"&gt;=1") + COUNTIFS(SCD[Course],SCD[[#This Row],[Course]],SCD[Block],10)</f>
        <v>0</v>
      </c>
      <c r="J73" s="21">
        <f>COUNTIFS(SCD[Course],SCD[[#This Row],[Course]],SCD[Block],"&gt;7")</f>
        <v>1</v>
      </c>
      <c r="K73">
        <v>100</v>
      </c>
      <c r="AB73" s="21">
        <v>4</v>
      </c>
      <c r="AC73" s="21">
        <v>3</v>
      </c>
      <c r="AD73" s="21">
        <v>2</v>
      </c>
      <c r="AE73" s="21">
        <v>1</v>
      </c>
      <c r="AF73" s="25">
        <v>20</v>
      </c>
      <c r="AG73" s="25">
        <v>19</v>
      </c>
      <c r="AH73" s="25">
        <v>18</v>
      </c>
      <c r="AI73" s="25">
        <v>17</v>
      </c>
      <c r="AJ73" s="25">
        <v>16</v>
      </c>
      <c r="AK73" s="25">
        <v>15</v>
      </c>
      <c r="AL73" s="25">
        <v>14</v>
      </c>
      <c r="AM73" s="25">
        <v>13</v>
      </c>
      <c r="AN73" s="25">
        <v>12</v>
      </c>
      <c r="AO73" s="25">
        <v>11</v>
      </c>
      <c r="AP73" s="25">
        <v>10</v>
      </c>
      <c r="AQ73" s="25">
        <v>9</v>
      </c>
      <c r="AR73" s="25">
        <v>8</v>
      </c>
      <c r="AS73" s="25">
        <v>7</v>
      </c>
      <c r="AT73" s="25">
        <v>6</v>
      </c>
      <c r="AU73" s="25">
        <v>5</v>
      </c>
      <c r="AV73" s="25">
        <v>4</v>
      </c>
      <c r="AW73" s="25">
        <v>3</v>
      </c>
      <c r="AX73" s="25">
        <v>2</v>
      </c>
      <c r="AY73" s="25">
        <v>1</v>
      </c>
      <c r="AZ73">
        <v>0.6391046997344525</v>
      </c>
    </row>
    <row r="74" spans="1:52" x14ac:dyDescent="0.25">
      <c r="A74" t="s">
        <v>90</v>
      </c>
      <c r="B74">
        <v>100</v>
      </c>
      <c r="C74" t="s">
        <v>3</v>
      </c>
      <c r="D74" t="s">
        <v>261</v>
      </c>
      <c r="E74" t="s">
        <v>335</v>
      </c>
      <c r="F74" s="21">
        <f>COUNTIF(SCD[Course],SCD[[#This Row],[Course]])</f>
        <v>1</v>
      </c>
      <c r="G74">
        <v>20</v>
      </c>
      <c r="H74" s="21">
        <f>COUNTIF(SCD[Block],SCD[[#This Row],[Block]])</f>
        <v>5</v>
      </c>
      <c r="I74" s="21">
        <f>COUNTIFS(SCD[Course],SCD[[#This Row],[Course]],SCD[Block],"&lt;=7",SCD[Block],"&gt;=1") + COUNTIFS(SCD[Course],SCD[[#This Row],[Course]],SCD[Block],10)</f>
        <v>0</v>
      </c>
      <c r="J74" s="21">
        <f>COUNTIFS(SCD[Course],SCD[[#This Row],[Course]],SCD[Block],"&gt;7")</f>
        <v>1</v>
      </c>
      <c r="K74">
        <v>100</v>
      </c>
      <c r="AB74" s="21">
        <v>4</v>
      </c>
      <c r="AC74" s="21">
        <v>3</v>
      </c>
      <c r="AD74" s="21">
        <v>1</v>
      </c>
      <c r="AE74" s="21"/>
      <c r="AF74" s="25">
        <v>20</v>
      </c>
      <c r="AG74" s="25">
        <v>19</v>
      </c>
      <c r="AH74" s="25">
        <v>18</v>
      </c>
      <c r="AI74" s="25">
        <v>17</v>
      </c>
      <c r="AJ74" s="25">
        <v>16</v>
      </c>
      <c r="AK74" s="25">
        <v>15</v>
      </c>
      <c r="AL74" s="25">
        <v>14</v>
      </c>
      <c r="AM74" s="25">
        <v>13</v>
      </c>
      <c r="AN74" s="25">
        <v>12</v>
      </c>
      <c r="AO74" s="25">
        <v>11</v>
      </c>
      <c r="AP74" s="25">
        <v>10</v>
      </c>
      <c r="AQ74" s="25">
        <v>9</v>
      </c>
      <c r="AR74" s="25">
        <v>8</v>
      </c>
      <c r="AS74" s="25">
        <v>7</v>
      </c>
      <c r="AT74" s="25">
        <v>6</v>
      </c>
      <c r="AU74" s="25">
        <v>5</v>
      </c>
      <c r="AV74" s="25">
        <v>4</v>
      </c>
      <c r="AW74" s="25">
        <v>3</v>
      </c>
      <c r="AX74" s="25">
        <v>1</v>
      </c>
      <c r="AZ74">
        <v>0.64626328260401134</v>
      </c>
    </row>
    <row r="75" spans="1:52" x14ac:dyDescent="0.25">
      <c r="A75" t="s">
        <v>182</v>
      </c>
      <c r="B75">
        <v>200</v>
      </c>
      <c r="C75" t="s">
        <v>3</v>
      </c>
      <c r="D75" t="s">
        <v>198</v>
      </c>
      <c r="E75" t="s">
        <v>317</v>
      </c>
      <c r="F75" s="21">
        <f>COUNTIF(SCD[Course],SCD[[#This Row],[Course]])</f>
        <v>4</v>
      </c>
      <c r="G75">
        <v>10</v>
      </c>
      <c r="H75" s="21">
        <f>COUNTIF(SCD[Block],SCD[[#This Row],[Block]])</f>
        <v>4</v>
      </c>
      <c r="I75" s="21">
        <f>COUNTIFS(SCD[Course],SCD[[#This Row],[Course]],SCD[Block],"&lt;=7",SCD[Block],"&gt;=1") + COUNTIFS(SCD[Course],SCD[[#This Row],[Course]],SCD[Block],10)</f>
        <v>2</v>
      </c>
      <c r="J75" s="21">
        <f>COUNTIFS(SCD[Course],SCD[[#This Row],[Course]],SCD[Block],"&gt;7")</f>
        <v>3</v>
      </c>
      <c r="K75">
        <v>100</v>
      </c>
      <c r="AA75" s="21">
        <v>4</v>
      </c>
      <c r="AB75" s="21">
        <v>3</v>
      </c>
      <c r="AC75" s="21">
        <v>2</v>
      </c>
      <c r="AD75" s="21">
        <v>1</v>
      </c>
      <c r="AE75" s="21"/>
      <c r="AF75" s="25">
        <v>20</v>
      </c>
      <c r="AG75" s="25">
        <v>19</v>
      </c>
      <c r="AH75" s="25">
        <v>17</v>
      </c>
      <c r="AI75" s="25">
        <v>16</v>
      </c>
      <c r="AJ75" s="25">
        <v>15</v>
      </c>
      <c r="AK75" s="25">
        <v>14</v>
      </c>
      <c r="AL75" s="25">
        <v>13</v>
      </c>
      <c r="AM75" s="25">
        <v>12</v>
      </c>
      <c r="AN75" s="25">
        <v>11</v>
      </c>
      <c r="AO75" s="25">
        <v>10</v>
      </c>
      <c r="AP75" s="25">
        <v>9</v>
      </c>
      <c r="AQ75" s="25">
        <v>8</v>
      </c>
      <c r="AR75" s="25">
        <v>7</v>
      </c>
      <c r="AS75" s="25">
        <v>6</v>
      </c>
      <c r="AT75" s="25">
        <v>5</v>
      </c>
      <c r="AU75" s="25">
        <v>4</v>
      </c>
      <c r="AV75" s="25">
        <v>3</v>
      </c>
      <c r="AW75" s="25">
        <v>2</v>
      </c>
      <c r="AX75" s="25">
        <v>1</v>
      </c>
      <c r="AZ75">
        <v>0.65287189948600721</v>
      </c>
    </row>
    <row r="76" spans="1:52" x14ac:dyDescent="0.25">
      <c r="A76" t="s">
        <v>52</v>
      </c>
      <c r="B76">
        <v>100</v>
      </c>
      <c r="C76" t="s">
        <v>3</v>
      </c>
      <c r="D76" t="s">
        <v>223</v>
      </c>
      <c r="E76" t="s">
        <v>297</v>
      </c>
      <c r="F76" s="21">
        <f>COUNTIF(SCD[Course],SCD[[#This Row],[Course]])</f>
        <v>1</v>
      </c>
      <c r="G76">
        <v>8</v>
      </c>
      <c r="H76" s="21">
        <f>COUNTIF(SCD[Block],SCD[[#This Row],[Block]])</f>
        <v>5</v>
      </c>
      <c r="I76" s="21">
        <f>COUNTIFS(SCD[Course],SCD[[#This Row],[Course]],SCD[Block],"&lt;=7",SCD[Block],"&gt;=1") + COUNTIFS(SCD[Course],SCD[[#This Row],[Course]],SCD[Block],10)</f>
        <v>0</v>
      </c>
      <c r="J76" s="21">
        <f>COUNTIFS(SCD[Course],SCD[[#This Row],[Course]],SCD[Block],"&gt;7")</f>
        <v>1</v>
      </c>
      <c r="K76">
        <v>100</v>
      </c>
      <c r="AB76" s="21">
        <v>4</v>
      </c>
      <c r="AC76" s="21">
        <v>3</v>
      </c>
      <c r="AD76" s="21">
        <v>2</v>
      </c>
      <c r="AE76" s="21">
        <v>1</v>
      </c>
      <c r="AF76" s="25">
        <v>20</v>
      </c>
      <c r="AG76" s="25">
        <v>19</v>
      </c>
      <c r="AH76" s="25">
        <v>18</v>
      </c>
      <c r="AI76" s="25">
        <v>17</v>
      </c>
      <c r="AJ76" s="25">
        <v>16</v>
      </c>
      <c r="AK76" s="25">
        <v>15</v>
      </c>
      <c r="AL76" s="25">
        <v>14</v>
      </c>
      <c r="AM76" s="25">
        <v>13</v>
      </c>
      <c r="AN76" s="25">
        <v>12</v>
      </c>
      <c r="AO76" s="25">
        <v>11</v>
      </c>
      <c r="AP76" s="25">
        <v>10</v>
      </c>
      <c r="AQ76" s="25">
        <v>9</v>
      </c>
      <c r="AR76" s="25">
        <v>8</v>
      </c>
      <c r="AS76" s="25">
        <v>7</v>
      </c>
      <c r="AT76" s="25">
        <v>6</v>
      </c>
      <c r="AU76" s="25">
        <v>5</v>
      </c>
      <c r="AV76" s="25">
        <v>4</v>
      </c>
      <c r="AW76" s="25">
        <v>3</v>
      </c>
      <c r="AX76" s="25">
        <v>2</v>
      </c>
      <c r="AY76" s="25">
        <v>1</v>
      </c>
      <c r="AZ76">
        <v>0.65593821895176085</v>
      </c>
    </row>
    <row r="77" spans="1:52" x14ac:dyDescent="0.25">
      <c r="A77" t="s">
        <v>89</v>
      </c>
      <c r="B77">
        <v>100</v>
      </c>
      <c r="C77" t="s">
        <v>3</v>
      </c>
      <c r="D77" t="s">
        <v>260</v>
      </c>
      <c r="E77" t="s">
        <v>310</v>
      </c>
      <c r="F77" s="21">
        <f>COUNTIF(SCD[Course],SCD[[#This Row],[Course]])</f>
        <v>1</v>
      </c>
      <c r="G77">
        <v>7</v>
      </c>
      <c r="H77" s="21">
        <f>COUNTIF(SCD[Block],SCD[[#This Row],[Block]])</f>
        <v>4</v>
      </c>
      <c r="I77" s="21">
        <f>COUNTIFS(SCD[Course],SCD[[#This Row],[Course]],SCD[Block],"&lt;=7",SCD[Block],"&gt;=1") + COUNTIFS(SCD[Course],SCD[[#This Row],[Course]],SCD[Block],10)</f>
        <v>1</v>
      </c>
      <c r="J77" s="21">
        <f>COUNTIFS(SCD[Course],SCD[[#This Row],[Course]],SCD[Block],"&gt;7")</f>
        <v>0</v>
      </c>
      <c r="K77">
        <v>100</v>
      </c>
      <c r="AB77" s="21">
        <v>4</v>
      </c>
      <c r="AC77" s="21">
        <v>3</v>
      </c>
      <c r="AD77" s="21">
        <v>2</v>
      </c>
      <c r="AE77" s="21">
        <v>1</v>
      </c>
      <c r="AF77" s="25">
        <v>20</v>
      </c>
      <c r="AG77" s="25">
        <v>19</v>
      </c>
      <c r="AH77" s="25">
        <v>18</v>
      </c>
      <c r="AI77" s="25">
        <v>17</v>
      </c>
      <c r="AJ77" s="25">
        <v>16</v>
      </c>
      <c r="AK77" s="25">
        <v>15</v>
      </c>
      <c r="AL77" s="25">
        <v>14</v>
      </c>
      <c r="AM77" s="25">
        <v>13</v>
      </c>
      <c r="AN77" s="25">
        <v>12</v>
      </c>
      <c r="AO77" s="25">
        <v>11</v>
      </c>
      <c r="AP77" s="25">
        <v>10</v>
      </c>
      <c r="AQ77" s="25">
        <v>9</v>
      </c>
      <c r="AR77" s="25">
        <v>8</v>
      </c>
      <c r="AS77" s="25">
        <v>7</v>
      </c>
      <c r="AT77" s="25">
        <v>6</v>
      </c>
      <c r="AU77" s="25">
        <v>5</v>
      </c>
      <c r="AV77" s="25">
        <v>4</v>
      </c>
      <c r="AW77" s="25">
        <v>3</v>
      </c>
      <c r="AX77" s="25">
        <v>2</v>
      </c>
      <c r="AY77" s="25">
        <v>1</v>
      </c>
      <c r="AZ77">
        <v>0.65740902656560174</v>
      </c>
    </row>
    <row r="78" spans="1:52" x14ac:dyDescent="0.25">
      <c r="A78" t="s">
        <v>47</v>
      </c>
      <c r="B78">
        <v>100</v>
      </c>
      <c r="C78" t="s">
        <v>3</v>
      </c>
      <c r="D78" t="s">
        <v>218</v>
      </c>
      <c r="E78" t="s">
        <v>298</v>
      </c>
      <c r="F78" s="21">
        <f>COUNTIF(SCD[Course],SCD[[#This Row],[Course]])</f>
        <v>1</v>
      </c>
      <c r="G78">
        <v>19</v>
      </c>
      <c r="H78" s="21">
        <f>COUNTIF(SCD[Block],SCD[[#This Row],[Block]])</f>
        <v>5</v>
      </c>
      <c r="I78" s="21">
        <f>COUNTIFS(SCD[Course],SCD[[#This Row],[Course]],SCD[Block],"&lt;=7",SCD[Block],"&gt;=1") + COUNTIFS(SCD[Course],SCD[[#This Row],[Course]],SCD[Block],10)</f>
        <v>0</v>
      </c>
      <c r="J78" s="21">
        <f>COUNTIFS(SCD[Course],SCD[[#This Row],[Course]],SCD[Block],"&gt;7")</f>
        <v>1</v>
      </c>
      <c r="K78">
        <v>100</v>
      </c>
      <c r="AA78" s="21">
        <v>4</v>
      </c>
      <c r="AB78" s="21">
        <v>3</v>
      </c>
      <c r="AC78" s="21">
        <v>2</v>
      </c>
      <c r="AD78" s="21">
        <v>1</v>
      </c>
      <c r="AE78" s="21"/>
      <c r="AF78" s="25">
        <v>20</v>
      </c>
      <c r="AG78" s="25">
        <v>19</v>
      </c>
      <c r="AH78" s="25">
        <v>18</v>
      </c>
      <c r="AI78" s="25">
        <v>17</v>
      </c>
      <c r="AJ78" s="25">
        <v>15</v>
      </c>
      <c r="AK78" s="25">
        <v>14</v>
      </c>
      <c r="AL78" s="25">
        <v>13</v>
      </c>
      <c r="AM78" s="25">
        <v>12</v>
      </c>
      <c r="AN78" s="25">
        <v>11</v>
      </c>
      <c r="AO78" s="25">
        <v>10</v>
      </c>
      <c r="AP78" s="25">
        <v>9</v>
      </c>
      <c r="AQ78" s="25">
        <v>8</v>
      </c>
      <c r="AR78" s="25">
        <v>7</v>
      </c>
      <c r="AS78" s="25">
        <v>6</v>
      </c>
      <c r="AT78" s="25">
        <v>5</v>
      </c>
      <c r="AU78" s="25">
        <v>4</v>
      </c>
      <c r="AV78" s="25">
        <v>3</v>
      </c>
      <c r="AW78" s="25">
        <v>2</v>
      </c>
      <c r="AX78" s="25">
        <v>1</v>
      </c>
      <c r="AZ78">
        <v>0.66905281298898966</v>
      </c>
    </row>
    <row r="79" spans="1:52" x14ac:dyDescent="0.25">
      <c r="A79" t="s">
        <v>14</v>
      </c>
      <c r="B79">
        <v>100</v>
      </c>
      <c r="C79" t="s">
        <v>5</v>
      </c>
      <c r="D79" t="s">
        <v>208</v>
      </c>
      <c r="E79" t="s">
        <v>339</v>
      </c>
      <c r="F79" s="21">
        <f>COUNTIF(SCD[Course],SCD[[#This Row],[Course]])</f>
        <v>1</v>
      </c>
      <c r="G79">
        <v>27</v>
      </c>
      <c r="H79" s="21">
        <f>COUNTIF(SCD[Block],SCD[[#This Row],[Block]])</f>
        <v>2</v>
      </c>
      <c r="I79" s="21">
        <f>COUNTIFS(SCD[Course],SCD[[#This Row],[Course]],SCD[Block],"&lt;=7",SCD[Block],"&gt;=1") + COUNTIFS(SCD[Course],SCD[[#This Row],[Course]],SCD[Block],10)</f>
        <v>0</v>
      </c>
      <c r="J79" s="21">
        <f>COUNTIFS(SCD[Course],SCD[[#This Row],[Course]],SCD[Block],"&gt;7")</f>
        <v>1</v>
      </c>
      <c r="K79">
        <v>100</v>
      </c>
      <c r="P79" s="21">
        <v>24</v>
      </c>
      <c r="Q79" s="21">
        <v>23</v>
      </c>
      <c r="R79" s="21">
        <v>22</v>
      </c>
      <c r="S79" s="21">
        <v>21</v>
      </c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5">
        <v>28</v>
      </c>
      <c r="AG79" s="25">
        <v>27</v>
      </c>
      <c r="AH79" s="25">
        <v>26</v>
      </c>
      <c r="AI79" s="25">
        <v>25</v>
      </c>
      <c r="AJ79" s="25">
        <v>24</v>
      </c>
      <c r="AK79" s="25">
        <v>23</v>
      </c>
      <c r="AL79" s="25">
        <v>22</v>
      </c>
      <c r="AM79" s="25">
        <v>21</v>
      </c>
      <c r="AZ79">
        <v>0.66917160556558197</v>
      </c>
    </row>
    <row r="80" spans="1:52" x14ac:dyDescent="0.25">
      <c r="A80" t="s">
        <v>17</v>
      </c>
      <c r="B80">
        <v>100</v>
      </c>
      <c r="C80" t="s">
        <v>5</v>
      </c>
      <c r="D80" t="s">
        <v>211</v>
      </c>
      <c r="E80" t="s">
        <v>324</v>
      </c>
      <c r="F80" s="21">
        <f>COUNTIF(SCD[Course],SCD[[#This Row],[Course]])</f>
        <v>1</v>
      </c>
      <c r="G80">
        <v>26</v>
      </c>
      <c r="H80" s="21">
        <f>COUNTIF(SCD[Block],SCD[[#This Row],[Block]])</f>
        <v>2</v>
      </c>
      <c r="I80" s="21">
        <f>COUNTIFS(SCD[Course],SCD[[#This Row],[Course]],SCD[Block],"&lt;=7",SCD[Block],"&gt;=1") + COUNTIFS(SCD[Course],SCD[[#This Row],[Course]],SCD[Block],10)</f>
        <v>0</v>
      </c>
      <c r="J80" s="21">
        <f>COUNTIFS(SCD[Course],SCD[[#This Row],[Course]],SCD[Block],"&gt;7")</f>
        <v>1</v>
      </c>
      <c r="K80">
        <v>100</v>
      </c>
      <c r="P80" s="21">
        <v>24</v>
      </c>
      <c r="Q80" s="21">
        <v>23</v>
      </c>
      <c r="R80" s="21">
        <v>22</v>
      </c>
      <c r="S80" s="21">
        <v>21</v>
      </c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5">
        <v>28</v>
      </c>
      <c r="AG80" s="25">
        <v>27</v>
      </c>
      <c r="AH80" s="25">
        <v>26</v>
      </c>
      <c r="AI80" s="25">
        <v>25</v>
      </c>
      <c r="AJ80" s="25">
        <v>24</v>
      </c>
      <c r="AK80" s="25">
        <v>23</v>
      </c>
      <c r="AL80" s="25">
        <v>22</v>
      </c>
      <c r="AM80" s="25">
        <v>21</v>
      </c>
      <c r="AZ80">
        <v>0.67463780289667763</v>
      </c>
    </row>
    <row r="81" spans="1:52" x14ac:dyDescent="0.25">
      <c r="A81" t="s">
        <v>8</v>
      </c>
      <c r="B81">
        <v>100</v>
      </c>
      <c r="C81" t="s">
        <v>5</v>
      </c>
      <c r="D81" t="s">
        <v>27</v>
      </c>
      <c r="E81" t="s">
        <v>332</v>
      </c>
      <c r="F81" s="21">
        <f>COUNTIF(SCD[Course],SCD[[#This Row],[Course]])</f>
        <v>1</v>
      </c>
      <c r="G81">
        <v>28</v>
      </c>
      <c r="H81" s="21">
        <f>COUNTIF(SCD[Block],SCD[[#This Row],[Block]])</f>
        <v>2</v>
      </c>
      <c r="I81" s="21">
        <f>COUNTIFS(SCD[Course],SCD[[#This Row],[Course]],SCD[Block],"&lt;=7",SCD[Block],"&gt;=1") + COUNTIFS(SCD[Course],SCD[[#This Row],[Course]],SCD[Block],10)</f>
        <v>0</v>
      </c>
      <c r="J81" s="21">
        <f>COUNTIFS(SCD[Course],SCD[[#This Row],[Course]],SCD[Block],"&gt;7")</f>
        <v>1</v>
      </c>
      <c r="K81">
        <v>100</v>
      </c>
      <c r="O81" s="21">
        <v>24</v>
      </c>
      <c r="P81" s="21">
        <v>23</v>
      </c>
      <c r="Q81" s="21">
        <v>22</v>
      </c>
      <c r="R81" s="21">
        <v>21</v>
      </c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5">
        <v>28</v>
      </c>
      <c r="AG81" s="25">
        <v>27</v>
      </c>
      <c r="AH81" s="25">
        <v>25</v>
      </c>
      <c r="AI81" s="25">
        <v>24</v>
      </c>
      <c r="AJ81" s="25">
        <v>23</v>
      </c>
      <c r="AK81" s="25">
        <v>22</v>
      </c>
      <c r="AL81" s="25">
        <v>21</v>
      </c>
      <c r="AZ81">
        <v>0.67681998956030298</v>
      </c>
    </row>
    <row r="82" spans="1:52" x14ac:dyDescent="0.25">
      <c r="A82" t="s">
        <v>42</v>
      </c>
      <c r="B82">
        <v>300</v>
      </c>
      <c r="C82" t="s">
        <v>3</v>
      </c>
      <c r="D82" t="s">
        <v>290</v>
      </c>
      <c r="E82" t="s">
        <v>334</v>
      </c>
      <c r="F82" s="21">
        <f>COUNTIF(SCD[Course],SCD[[#This Row],[Course]])</f>
        <v>3</v>
      </c>
      <c r="G82">
        <v>9</v>
      </c>
      <c r="H82" s="21">
        <f>COUNTIF(SCD[Block],SCD[[#This Row],[Block]])</f>
        <v>5</v>
      </c>
      <c r="I82" s="21">
        <f>COUNTIFS(SCD[Course],SCD[[#This Row],[Course]],SCD[Block],"&lt;=7",SCD[Block],"&gt;=1") + COUNTIFS(SCD[Course],SCD[[#This Row],[Course]],SCD[Block],10)</f>
        <v>1</v>
      </c>
      <c r="J82" s="21">
        <f>COUNTIFS(SCD[Course],SCD[[#This Row],[Course]],SCD[Block],"&gt;7")</f>
        <v>2</v>
      </c>
      <c r="K82">
        <v>100</v>
      </c>
      <c r="AB82" s="21">
        <v>4</v>
      </c>
      <c r="AC82" s="21">
        <v>3</v>
      </c>
      <c r="AD82" s="21">
        <v>2</v>
      </c>
      <c r="AE82" s="21">
        <v>1</v>
      </c>
      <c r="AF82" s="25">
        <v>20</v>
      </c>
      <c r="AG82" s="25">
        <v>19</v>
      </c>
      <c r="AH82" s="25">
        <v>18</v>
      </c>
      <c r="AI82" s="25">
        <v>17</v>
      </c>
      <c r="AJ82" s="25">
        <v>16</v>
      </c>
      <c r="AK82" s="25">
        <v>15</v>
      </c>
      <c r="AL82" s="25">
        <v>14</v>
      </c>
      <c r="AM82" s="25">
        <v>13</v>
      </c>
      <c r="AN82" s="25">
        <v>12</v>
      </c>
      <c r="AO82" s="25">
        <v>11</v>
      </c>
      <c r="AP82" s="25">
        <v>10</v>
      </c>
      <c r="AQ82" s="25">
        <v>9</v>
      </c>
      <c r="AR82" s="25">
        <v>8</v>
      </c>
      <c r="AS82" s="25">
        <v>7</v>
      </c>
      <c r="AT82" s="25">
        <v>6</v>
      </c>
      <c r="AU82" s="25">
        <v>5</v>
      </c>
      <c r="AV82" s="25">
        <v>4</v>
      </c>
      <c r="AW82" s="25">
        <v>3</v>
      </c>
      <c r="AX82" s="25">
        <v>2</v>
      </c>
      <c r="AY82" s="25">
        <v>1</v>
      </c>
      <c r="AZ82">
        <v>0.68189606257327307</v>
      </c>
    </row>
    <row r="83" spans="1:52" x14ac:dyDescent="0.25">
      <c r="A83" t="s">
        <v>100</v>
      </c>
      <c r="B83">
        <v>100</v>
      </c>
      <c r="C83" t="s">
        <v>3</v>
      </c>
      <c r="D83" t="s">
        <v>271</v>
      </c>
      <c r="E83" t="s">
        <v>326</v>
      </c>
      <c r="F83" s="21">
        <f>COUNTIF(SCD[Course],SCD[[#This Row],[Course]])</f>
        <v>1</v>
      </c>
      <c r="G83">
        <v>18</v>
      </c>
      <c r="H83" s="21">
        <f>COUNTIF(SCD[Block],SCD[[#This Row],[Block]])</f>
        <v>5</v>
      </c>
      <c r="I83" s="21">
        <f>COUNTIFS(SCD[Course],SCD[[#This Row],[Course]],SCD[Block],"&lt;=7",SCD[Block],"&gt;=1") + COUNTIFS(SCD[Course],SCD[[#This Row],[Course]],SCD[Block],10)</f>
        <v>0</v>
      </c>
      <c r="J83" s="21">
        <f>COUNTIFS(SCD[Course],SCD[[#This Row],[Course]],SCD[Block],"&gt;7")</f>
        <v>1</v>
      </c>
      <c r="K83">
        <v>100</v>
      </c>
      <c r="AB83" s="21">
        <v>4</v>
      </c>
      <c r="AC83" s="21">
        <v>2</v>
      </c>
      <c r="AD83" s="21">
        <v>1</v>
      </c>
      <c r="AE83" s="21"/>
      <c r="AF83" s="25">
        <v>20</v>
      </c>
      <c r="AG83" s="25">
        <v>19</v>
      </c>
      <c r="AH83" s="25">
        <v>18</v>
      </c>
      <c r="AI83" s="25">
        <v>17</v>
      </c>
      <c r="AJ83" s="25">
        <v>16</v>
      </c>
      <c r="AK83" s="25">
        <v>15</v>
      </c>
      <c r="AL83" s="25">
        <v>14</v>
      </c>
      <c r="AM83" s="25">
        <v>13</v>
      </c>
      <c r="AN83" s="25">
        <v>12</v>
      </c>
      <c r="AO83" s="25">
        <v>11</v>
      </c>
      <c r="AP83" s="25">
        <v>10</v>
      </c>
      <c r="AQ83" s="25">
        <v>9</v>
      </c>
      <c r="AR83" s="25">
        <v>8</v>
      </c>
      <c r="AS83" s="25">
        <v>7</v>
      </c>
      <c r="AT83" s="25">
        <v>6</v>
      </c>
      <c r="AU83" s="25">
        <v>5</v>
      </c>
      <c r="AV83" s="25">
        <v>4</v>
      </c>
      <c r="AW83" s="25">
        <v>2</v>
      </c>
      <c r="AX83" s="25">
        <v>1</v>
      </c>
      <c r="AZ83">
        <v>0.69530182086346148</v>
      </c>
    </row>
    <row r="84" spans="1:52" x14ac:dyDescent="0.25">
      <c r="A84" t="s">
        <v>145</v>
      </c>
      <c r="B84">
        <v>300</v>
      </c>
      <c r="C84" t="s">
        <v>3</v>
      </c>
      <c r="D84" t="s">
        <v>195</v>
      </c>
      <c r="E84" t="s">
        <v>300</v>
      </c>
      <c r="F84" s="21">
        <f>COUNTIF(SCD[Course],SCD[[#This Row],[Course]])</f>
        <v>4</v>
      </c>
      <c r="G84">
        <v>4</v>
      </c>
      <c r="H84" s="21">
        <f>COUNTIF(SCD[Block],SCD[[#This Row],[Block]])</f>
        <v>4</v>
      </c>
      <c r="I84" s="21">
        <f>COUNTIFS(SCD[Course],SCD[[#This Row],[Course]],SCD[Block],"&lt;=7",SCD[Block],"&gt;=1") + COUNTIFS(SCD[Course],SCD[[#This Row],[Course]],SCD[Block],10)</f>
        <v>3</v>
      </c>
      <c r="J84" s="21">
        <f>COUNTIFS(SCD[Course],SCD[[#This Row],[Course]],SCD[Block],"&gt;7")</f>
        <v>1</v>
      </c>
      <c r="K84">
        <v>100</v>
      </c>
      <c r="AB84" s="21">
        <v>3</v>
      </c>
      <c r="AC84" s="21">
        <v>2</v>
      </c>
      <c r="AD84" s="21">
        <v>1</v>
      </c>
      <c r="AE84" s="21"/>
      <c r="AF84" s="25">
        <v>20</v>
      </c>
      <c r="AG84" s="25">
        <v>19</v>
      </c>
      <c r="AH84" s="25">
        <v>18</v>
      </c>
      <c r="AI84" s="25">
        <v>17</v>
      </c>
      <c r="AJ84" s="25">
        <v>16</v>
      </c>
      <c r="AK84" s="25">
        <v>15</v>
      </c>
      <c r="AL84" s="25">
        <v>14</v>
      </c>
      <c r="AM84" s="25">
        <v>13</v>
      </c>
      <c r="AN84" s="25">
        <v>12</v>
      </c>
      <c r="AO84" s="25">
        <v>11</v>
      </c>
      <c r="AP84" s="25">
        <v>10</v>
      </c>
      <c r="AQ84" s="25">
        <v>9</v>
      </c>
      <c r="AR84" s="25">
        <v>7</v>
      </c>
      <c r="AS84" s="25">
        <v>6</v>
      </c>
      <c r="AT84" s="25">
        <v>5</v>
      </c>
      <c r="AU84" s="25">
        <v>4</v>
      </c>
      <c r="AV84" s="25">
        <v>3</v>
      </c>
      <c r="AW84" s="25">
        <v>2</v>
      </c>
      <c r="AX84" s="25">
        <v>1</v>
      </c>
      <c r="AZ84">
        <v>0.6980641452868428</v>
      </c>
    </row>
    <row r="85" spans="1:52" x14ac:dyDescent="0.25">
      <c r="A85" t="s">
        <v>145</v>
      </c>
      <c r="B85">
        <v>400</v>
      </c>
      <c r="C85" t="s">
        <v>3</v>
      </c>
      <c r="D85" t="s">
        <v>196</v>
      </c>
      <c r="E85" t="s">
        <v>300</v>
      </c>
      <c r="F85" s="21">
        <f>COUNTIF(SCD[Course],SCD[[#This Row],[Course]])</f>
        <v>4</v>
      </c>
      <c r="G85">
        <v>5</v>
      </c>
      <c r="H85" s="21">
        <f>COUNTIF(SCD[Block],SCD[[#This Row],[Block]])</f>
        <v>5</v>
      </c>
      <c r="I85" s="21">
        <f>COUNTIFS(SCD[Course],SCD[[#This Row],[Course]],SCD[Block],"&lt;=7",SCD[Block],"&gt;=1") + COUNTIFS(SCD[Course],SCD[[#This Row],[Course]],SCD[Block],10)</f>
        <v>3</v>
      </c>
      <c r="J85" s="21">
        <f>COUNTIFS(SCD[Course],SCD[[#This Row],[Course]],SCD[Block],"&gt;7")</f>
        <v>1</v>
      </c>
      <c r="K85">
        <v>100</v>
      </c>
      <c r="AB85" s="21">
        <v>3</v>
      </c>
      <c r="AC85" s="21">
        <v>2</v>
      </c>
      <c r="AD85" s="21">
        <v>1</v>
      </c>
      <c r="AE85" s="21"/>
      <c r="AF85" s="25">
        <v>20</v>
      </c>
      <c r="AG85" s="25">
        <v>19</v>
      </c>
      <c r="AH85" s="25">
        <v>18</v>
      </c>
      <c r="AI85" s="25">
        <v>17</v>
      </c>
      <c r="AJ85" s="25">
        <v>16</v>
      </c>
      <c r="AK85" s="25">
        <v>15</v>
      </c>
      <c r="AL85" s="25">
        <v>14</v>
      </c>
      <c r="AM85" s="25">
        <v>13</v>
      </c>
      <c r="AN85" s="25">
        <v>12</v>
      </c>
      <c r="AO85" s="25">
        <v>11</v>
      </c>
      <c r="AP85" s="25">
        <v>10</v>
      </c>
      <c r="AQ85" s="25">
        <v>9</v>
      </c>
      <c r="AR85" s="25">
        <v>7</v>
      </c>
      <c r="AS85" s="25">
        <v>6</v>
      </c>
      <c r="AT85" s="25">
        <v>5</v>
      </c>
      <c r="AU85" s="25">
        <v>4</v>
      </c>
      <c r="AV85" s="25">
        <v>3</v>
      </c>
      <c r="AW85" s="25">
        <v>2</v>
      </c>
      <c r="AX85" s="25">
        <v>1</v>
      </c>
      <c r="AZ85">
        <v>0.70739388159213523</v>
      </c>
    </row>
    <row r="86" spans="1:52" x14ac:dyDescent="0.25">
      <c r="A86" t="s">
        <v>74</v>
      </c>
      <c r="B86">
        <v>100</v>
      </c>
      <c r="C86" t="s">
        <v>3</v>
      </c>
      <c r="D86" t="s">
        <v>245</v>
      </c>
      <c r="E86" t="s">
        <v>294</v>
      </c>
      <c r="F86" s="21">
        <f>COUNTIF(SCD[Course],SCD[[#This Row],[Course]])</f>
        <v>1</v>
      </c>
      <c r="G86">
        <v>17</v>
      </c>
      <c r="H86" s="21">
        <f>COUNTIF(SCD[Block],SCD[[#This Row],[Block]])</f>
        <v>4</v>
      </c>
      <c r="I86" s="21">
        <f>COUNTIFS(SCD[Course],SCD[[#This Row],[Course]],SCD[Block],"&lt;=7",SCD[Block],"&gt;=1") + COUNTIFS(SCD[Course],SCD[[#This Row],[Course]],SCD[Block],10)</f>
        <v>0</v>
      </c>
      <c r="J86" s="21">
        <f>COUNTIFS(SCD[Course],SCD[[#This Row],[Course]],SCD[Block],"&gt;7")</f>
        <v>1</v>
      </c>
      <c r="K86">
        <v>100</v>
      </c>
      <c r="AA86" s="21">
        <v>4</v>
      </c>
      <c r="AB86" s="21">
        <v>3</v>
      </c>
      <c r="AC86" s="21">
        <v>2</v>
      </c>
      <c r="AD86" s="21">
        <v>1</v>
      </c>
      <c r="AE86" s="21"/>
      <c r="AF86" s="25">
        <v>20</v>
      </c>
      <c r="AG86" s="25">
        <v>19</v>
      </c>
      <c r="AH86" s="25">
        <v>18</v>
      </c>
      <c r="AI86" s="25">
        <v>17</v>
      </c>
      <c r="AJ86" s="25">
        <v>16</v>
      </c>
      <c r="AK86" s="25">
        <v>15</v>
      </c>
      <c r="AL86" s="25">
        <v>14</v>
      </c>
      <c r="AM86" s="25">
        <v>13</v>
      </c>
      <c r="AN86" s="25">
        <v>12</v>
      </c>
      <c r="AO86" s="25">
        <v>11</v>
      </c>
      <c r="AP86" s="25">
        <v>10</v>
      </c>
      <c r="AQ86" s="25">
        <v>9</v>
      </c>
      <c r="AR86" s="25">
        <v>8</v>
      </c>
      <c r="AS86" s="25">
        <v>7</v>
      </c>
      <c r="AT86" s="25">
        <v>6</v>
      </c>
      <c r="AU86" s="25">
        <v>4</v>
      </c>
      <c r="AV86" s="25">
        <v>3</v>
      </c>
      <c r="AW86" s="25">
        <v>2</v>
      </c>
      <c r="AX86" s="25">
        <v>1</v>
      </c>
      <c r="AZ86">
        <v>0.71788263980373412</v>
      </c>
    </row>
    <row r="87" spans="1:52" x14ac:dyDescent="0.25">
      <c r="A87" t="s">
        <v>104</v>
      </c>
      <c r="B87">
        <v>100</v>
      </c>
      <c r="C87" t="s">
        <v>3</v>
      </c>
      <c r="D87" t="s">
        <v>275</v>
      </c>
      <c r="E87" t="s">
        <v>304</v>
      </c>
      <c r="F87" s="21">
        <f>COUNTIF(SCD[Course],SCD[[#This Row],[Course]])</f>
        <v>1</v>
      </c>
      <c r="G87">
        <v>6</v>
      </c>
      <c r="H87" s="21">
        <f>COUNTIF(SCD[Block],SCD[[#This Row],[Block]])</f>
        <v>5</v>
      </c>
      <c r="I87" s="21">
        <f>COUNTIFS(SCD[Course],SCD[[#This Row],[Course]],SCD[Block],"&lt;=7",SCD[Block],"&gt;=1") + COUNTIFS(SCD[Course],SCD[[#This Row],[Course]],SCD[Block],10)</f>
        <v>1</v>
      </c>
      <c r="J87" s="21">
        <f>COUNTIFS(SCD[Course],SCD[[#This Row],[Course]],SCD[Block],"&gt;7")</f>
        <v>0</v>
      </c>
      <c r="K87">
        <v>100</v>
      </c>
      <c r="AB87" s="21">
        <v>4</v>
      </c>
      <c r="AC87" s="21">
        <v>3</v>
      </c>
      <c r="AD87" s="21">
        <v>2</v>
      </c>
      <c r="AE87" s="21">
        <v>1</v>
      </c>
      <c r="AF87" s="25">
        <v>20</v>
      </c>
      <c r="AG87" s="25">
        <v>19</v>
      </c>
      <c r="AH87" s="25">
        <v>18</v>
      </c>
      <c r="AI87" s="25">
        <v>17</v>
      </c>
      <c r="AJ87" s="25">
        <v>16</v>
      </c>
      <c r="AK87" s="25">
        <v>15</v>
      </c>
      <c r="AL87" s="25">
        <v>14</v>
      </c>
      <c r="AM87" s="25">
        <v>13</v>
      </c>
      <c r="AN87" s="25">
        <v>12</v>
      </c>
      <c r="AO87" s="25">
        <v>11</v>
      </c>
      <c r="AP87" s="25">
        <v>10</v>
      </c>
      <c r="AQ87" s="25">
        <v>9</v>
      </c>
      <c r="AR87" s="25">
        <v>8</v>
      </c>
      <c r="AS87" s="25">
        <v>7</v>
      </c>
      <c r="AT87" s="25">
        <v>6</v>
      </c>
      <c r="AU87" s="25">
        <v>5</v>
      </c>
      <c r="AV87" s="25">
        <v>4</v>
      </c>
      <c r="AW87" s="25">
        <v>3</v>
      </c>
      <c r="AX87" s="25">
        <v>2</v>
      </c>
      <c r="AY87" s="25">
        <v>1</v>
      </c>
      <c r="AZ87">
        <v>0.71924858710373907</v>
      </c>
    </row>
    <row r="88" spans="1:52" x14ac:dyDescent="0.25">
      <c r="A88" t="s">
        <v>183</v>
      </c>
      <c r="B88">
        <v>100</v>
      </c>
      <c r="C88" t="s">
        <v>3</v>
      </c>
      <c r="D88" t="s">
        <v>201</v>
      </c>
      <c r="E88" t="s">
        <v>314</v>
      </c>
      <c r="F88" s="21">
        <f>COUNTIF(SCD[Course],SCD[[#This Row],[Course]])</f>
        <v>4</v>
      </c>
      <c r="G88">
        <v>11</v>
      </c>
      <c r="H88" s="21">
        <f>COUNTIF(SCD[Block],SCD[[#This Row],[Block]])</f>
        <v>5</v>
      </c>
      <c r="I88" s="21">
        <f>COUNTIFS(SCD[Course],SCD[[#This Row],[Course]],SCD[Block],"&lt;=7",SCD[Block],"&gt;=1") + COUNTIFS(SCD[Course],SCD[[#This Row],[Course]],SCD[Block],10)</f>
        <v>1</v>
      </c>
      <c r="J88" s="21">
        <f>COUNTIFS(SCD[Course],SCD[[#This Row],[Course]],SCD[Block],"&gt;7")</f>
        <v>3</v>
      </c>
      <c r="K88">
        <v>100</v>
      </c>
      <c r="AB88" s="21">
        <v>4</v>
      </c>
      <c r="AE88" s="21"/>
      <c r="AF88" s="25">
        <v>15</v>
      </c>
      <c r="AG88" s="25">
        <v>11</v>
      </c>
      <c r="AH88" s="25">
        <v>20</v>
      </c>
      <c r="AI88" s="25">
        <v>19</v>
      </c>
      <c r="AJ88" s="25">
        <v>18</v>
      </c>
      <c r="AK88" s="25">
        <v>17</v>
      </c>
      <c r="AL88" s="25">
        <v>16</v>
      </c>
      <c r="AM88" s="25">
        <v>14</v>
      </c>
      <c r="AN88" s="25">
        <v>13</v>
      </c>
      <c r="AO88" s="25">
        <v>12</v>
      </c>
      <c r="AP88" s="25">
        <v>10</v>
      </c>
      <c r="AQ88" s="25">
        <v>9</v>
      </c>
      <c r="AR88" s="25">
        <v>8</v>
      </c>
      <c r="AS88" s="25">
        <v>7</v>
      </c>
      <c r="AT88" s="25">
        <v>6</v>
      </c>
      <c r="AU88" s="25">
        <v>5</v>
      </c>
      <c r="AV88" s="25">
        <v>4</v>
      </c>
      <c r="AW88" s="25">
        <v>3</v>
      </c>
      <c r="AX88" s="25">
        <v>1</v>
      </c>
      <c r="AZ88">
        <v>0.74044352964518656</v>
      </c>
    </row>
    <row r="89" spans="1:52" x14ac:dyDescent="0.25">
      <c r="A89" t="s">
        <v>60</v>
      </c>
      <c r="B89">
        <v>100</v>
      </c>
      <c r="C89" t="s">
        <v>3</v>
      </c>
      <c r="D89" t="s">
        <v>231</v>
      </c>
      <c r="E89" t="s">
        <v>304</v>
      </c>
      <c r="F89" s="21">
        <f>COUNTIF(SCD[Course],SCD[[#This Row],[Course]])</f>
        <v>1</v>
      </c>
      <c r="G89">
        <v>5</v>
      </c>
      <c r="H89" s="21">
        <f>COUNTIF(SCD[Block],SCD[[#This Row],[Block]])</f>
        <v>5</v>
      </c>
      <c r="I89" s="21">
        <f>COUNTIFS(SCD[Course],SCD[[#This Row],[Course]],SCD[Block],"&lt;=7",SCD[Block],"&gt;=1") + COUNTIFS(SCD[Course],SCD[[#This Row],[Course]],SCD[Block],10)</f>
        <v>1</v>
      </c>
      <c r="J89" s="21">
        <f>COUNTIFS(SCD[Course],SCD[[#This Row],[Course]],SCD[Block],"&gt;7")</f>
        <v>0</v>
      </c>
      <c r="K89">
        <v>100</v>
      </c>
      <c r="AB89" s="21">
        <v>4</v>
      </c>
      <c r="AC89" s="21">
        <v>3</v>
      </c>
      <c r="AD89" s="21">
        <v>2</v>
      </c>
      <c r="AE89" s="21">
        <v>1</v>
      </c>
      <c r="AF89" s="25">
        <v>20</v>
      </c>
      <c r="AG89" s="25">
        <v>19</v>
      </c>
      <c r="AH89" s="25">
        <v>18</v>
      </c>
      <c r="AI89" s="25">
        <v>17</v>
      </c>
      <c r="AJ89" s="25">
        <v>16</v>
      </c>
      <c r="AK89" s="25">
        <v>15</v>
      </c>
      <c r="AL89" s="25">
        <v>14</v>
      </c>
      <c r="AM89" s="25">
        <v>13</v>
      </c>
      <c r="AN89" s="25">
        <v>12</v>
      </c>
      <c r="AO89" s="25">
        <v>11</v>
      </c>
      <c r="AP89" s="25">
        <v>10</v>
      </c>
      <c r="AQ89" s="25">
        <v>9</v>
      </c>
      <c r="AR89" s="25">
        <v>8</v>
      </c>
      <c r="AS89" s="25">
        <v>7</v>
      </c>
      <c r="AT89" s="25">
        <v>6</v>
      </c>
      <c r="AU89" s="25">
        <v>5</v>
      </c>
      <c r="AV89" s="25">
        <v>4</v>
      </c>
      <c r="AW89" s="25">
        <v>3</v>
      </c>
      <c r="AX89" s="25">
        <v>2</v>
      </c>
      <c r="AY89" s="25">
        <v>1</v>
      </c>
      <c r="AZ89">
        <v>0.74159673930367387</v>
      </c>
    </row>
    <row r="90" spans="1:52" x14ac:dyDescent="0.25">
      <c r="A90" t="s">
        <v>143</v>
      </c>
      <c r="B90">
        <v>100</v>
      </c>
      <c r="C90" t="s">
        <v>3</v>
      </c>
      <c r="D90" t="s">
        <v>185</v>
      </c>
      <c r="E90" t="s">
        <v>293</v>
      </c>
      <c r="F90" s="21">
        <f>COUNTIF(SCD[Course],SCD[[#This Row],[Course]])</f>
        <v>4</v>
      </c>
      <c r="G90">
        <v>8</v>
      </c>
      <c r="H90" s="21">
        <f>COUNTIF(SCD[Block],SCD[[#This Row],[Block]])</f>
        <v>5</v>
      </c>
      <c r="I90" s="21">
        <f>COUNTIFS(SCD[Course],SCD[[#This Row],[Course]],SCD[Block],"&lt;=7",SCD[Block],"&gt;=1") + COUNTIFS(SCD[Course],SCD[[#This Row],[Course]],SCD[Block],10)</f>
        <v>3</v>
      </c>
      <c r="J90" s="21">
        <f>COUNTIFS(SCD[Course],SCD[[#This Row],[Course]],SCD[Block],"&gt;7")</f>
        <v>1</v>
      </c>
      <c r="K90">
        <v>100</v>
      </c>
      <c r="AA90" s="21">
        <v>4</v>
      </c>
      <c r="AB90" s="21">
        <v>3</v>
      </c>
      <c r="AC90" s="21">
        <v>2</v>
      </c>
      <c r="AD90" s="21">
        <v>1</v>
      </c>
      <c r="AE90" s="21"/>
      <c r="AF90" s="25">
        <v>20</v>
      </c>
      <c r="AG90" s="25">
        <v>19</v>
      </c>
      <c r="AH90" s="25">
        <v>18</v>
      </c>
      <c r="AI90" s="25">
        <v>17</v>
      </c>
      <c r="AJ90" s="25">
        <v>16</v>
      </c>
      <c r="AK90" s="25">
        <v>15</v>
      </c>
      <c r="AL90" s="25">
        <v>14</v>
      </c>
      <c r="AM90" s="25">
        <v>13</v>
      </c>
      <c r="AN90" s="25">
        <v>12</v>
      </c>
      <c r="AO90" s="25">
        <v>11</v>
      </c>
      <c r="AP90" s="25">
        <v>10</v>
      </c>
      <c r="AQ90" s="25">
        <v>9</v>
      </c>
      <c r="AR90" s="25">
        <v>8</v>
      </c>
      <c r="AS90" s="25">
        <v>6</v>
      </c>
      <c r="AT90" s="25">
        <v>5</v>
      </c>
      <c r="AU90" s="25">
        <v>4</v>
      </c>
      <c r="AV90" s="25">
        <v>3</v>
      </c>
      <c r="AW90" s="25">
        <v>2</v>
      </c>
      <c r="AX90" s="25">
        <v>1</v>
      </c>
      <c r="AZ90">
        <v>0.76605618946007947</v>
      </c>
    </row>
    <row r="91" spans="1:52" x14ac:dyDescent="0.25">
      <c r="A91" t="s">
        <v>42</v>
      </c>
      <c r="B91">
        <v>200</v>
      </c>
      <c r="C91" t="s">
        <v>3</v>
      </c>
      <c r="D91" t="s">
        <v>281</v>
      </c>
      <c r="E91" t="s">
        <v>334</v>
      </c>
      <c r="F91" s="21">
        <f>COUNTIF(SCD[Course],SCD[[#This Row],[Course]])</f>
        <v>3</v>
      </c>
      <c r="G91">
        <v>11</v>
      </c>
      <c r="H91" s="21">
        <f>COUNTIF(SCD[Block],SCD[[#This Row],[Block]])</f>
        <v>5</v>
      </c>
      <c r="I91" s="21">
        <f>COUNTIFS(SCD[Course],SCD[[#This Row],[Course]],SCD[Block],"&lt;=7",SCD[Block],"&gt;=1") + COUNTIFS(SCD[Course],SCD[[#This Row],[Course]],SCD[Block],10)</f>
        <v>1</v>
      </c>
      <c r="J91" s="21">
        <f>COUNTIFS(SCD[Course],SCD[[#This Row],[Course]],SCD[Block],"&gt;7")</f>
        <v>2</v>
      </c>
      <c r="K91">
        <v>100</v>
      </c>
      <c r="AB91" s="21">
        <v>4</v>
      </c>
      <c r="AC91" s="21">
        <v>3</v>
      </c>
      <c r="AD91" s="21">
        <v>2</v>
      </c>
      <c r="AE91" s="21">
        <v>1</v>
      </c>
      <c r="AF91" s="25">
        <v>20</v>
      </c>
      <c r="AG91" s="25">
        <v>19</v>
      </c>
      <c r="AH91" s="25">
        <v>18</v>
      </c>
      <c r="AI91" s="25">
        <v>17</v>
      </c>
      <c r="AJ91" s="25">
        <v>16</v>
      </c>
      <c r="AK91" s="25">
        <v>15</v>
      </c>
      <c r="AL91" s="25">
        <v>14</v>
      </c>
      <c r="AM91" s="25">
        <v>13</v>
      </c>
      <c r="AN91" s="25">
        <v>12</v>
      </c>
      <c r="AO91" s="25">
        <v>11</v>
      </c>
      <c r="AP91" s="25">
        <v>10</v>
      </c>
      <c r="AQ91" s="25">
        <v>9</v>
      </c>
      <c r="AR91" s="25">
        <v>8</v>
      </c>
      <c r="AS91" s="25">
        <v>7</v>
      </c>
      <c r="AT91" s="25">
        <v>6</v>
      </c>
      <c r="AU91" s="25">
        <v>5</v>
      </c>
      <c r="AV91" s="25">
        <v>4</v>
      </c>
      <c r="AW91" s="25">
        <v>3</v>
      </c>
      <c r="AX91" s="25">
        <v>2</v>
      </c>
      <c r="AY91" s="25">
        <v>1</v>
      </c>
      <c r="AZ91">
        <v>0.78135617773956112</v>
      </c>
    </row>
    <row r="92" spans="1:52" x14ac:dyDescent="0.25">
      <c r="A92" t="s">
        <v>63</v>
      </c>
      <c r="B92">
        <v>100</v>
      </c>
      <c r="C92" t="s">
        <v>3</v>
      </c>
      <c r="D92" t="s">
        <v>234</v>
      </c>
      <c r="E92" t="s">
        <v>311</v>
      </c>
      <c r="F92" s="21">
        <f>COUNTIF(SCD[Course],SCD[[#This Row],[Course]])</f>
        <v>1</v>
      </c>
      <c r="G92">
        <v>17</v>
      </c>
      <c r="H92" s="21">
        <f>COUNTIF(SCD[Block],SCD[[#This Row],[Block]])</f>
        <v>4</v>
      </c>
      <c r="I92" s="21">
        <f>COUNTIFS(SCD[Course],SCD[[#This Row],[Course]],SCD[Block],"&lt;=7",SCD[Block],"&gt;=1") + COUNTIFS(SCD[Course],SCD[[#This Row],[Course]],SCD[Block],10)</f>
        <v>0</v>
      </c>
      <c r="J92" s="21">
        <f>COUNTIFS(SCD[Course],SCD[[#This Row],[Course]],SCD[Block],"&gt;7")</f>
        <v>1</v>
      </c>
      <c r="K92">
        <v>100</v>
      </c>
      <c r="AB92" s="21">
        <v>4</v>
      </c>
      <c r="AC92" s="21">
        <v>2</v>
      </c>
      <c r="AD92" s="21">
        <v>1</v>
      </c>
      <c r="AE92" s="21"/>
      <c r="AF92" s="25">
        <v>20</v>
      </c>
      <c r="AG92" s="25">
        <v>19</v>
      </c>
      <c r="AH92" s="25">
        <v>18</v>
      </c>
      <c r="AI92" s="25">
        <v>17</v>
      </c>
      <c r="AJ92" s="25">
        <v>16</v>
      </c>
      <c r="AK92" s="25">
        <v>15</v>
      </c>
      <c r="AL92" s="25">
        <v>14</v>
      </c>
      <c r="AM92" s="25">
        <v>13</v>
      </c>
      <c r="AN92" s="25">
        <v>12</v>
      </c>
      <c r="AO92" s="25">
        <v>11</v>
      </c>
      <c r="AP92" s="25">
        <v>10</v>
      </c>
      <c r="AQ92" s="25">
        <v>9</v>
      </c>
      <c r="AR92" s="25">
        <v>8</v>
      </c>
      <c r="AS92" s="25">
        <v>7</v>
      </c>
      <c r="AT92" s="25">
        <v>6</v>
      </c>
      <c r="AU92" s="25">
        <v>5</v>
      </c>
      <c r="AV92" s="25">
        <v>4</v>
      </c>
      <c r="AW92" s="25">
        <v>2</v>
      </c>
      <c r="AX92" s="25">
        <v>1</v>
      </c>
      <c r="AZ92">
        <v>0.7816228061351147</v>
      </c>
    </row>
    <row r="93" spans="1:52" x14ac:dyDescent="0.25">
      <c r="A93" t="s">
        <v>79</v>
      </c>
      <c r="B93">
        <v>100</v>
      </c>
      <c r="C93" t="s">
        <v>3</v>
      </c>
      <c r="D93" t="s">
        <v>250</v>
      </c>
      <c r="E93" t="s">
        <v>296</v>
      </c>
      <c r="F93" s="21">
        <f>COUNTIF(SCD[Course],SCD[[#This Row],[Course]])</f>
        <v>1</v>
      </c>
      <c r="G93">
        <v>16</v>
      </c>
      <c r="H93" s="21">
        <f>COUNTIF(SCD[Block],SCD[[#This Row],[Block]])</f>
        <v>5</v>
      </c>
      <c r="I93" s="21">
        <f>COUNTIFS(SCD[Course],SCD[[#This Row],[Course]],SCD[Block],"&lt;=7",SCD[Block],"&gt;=1") + COUNTIFS(SCD[Course],SCD[[#This Row],[Course]],SCD[Block],10)</f>
        <v>0</v>
      </c>
      <c r="J93" s="21">
        <f>COUNTIFS(SCD[Course],SCD[[#This Row],[Course]],SCD[Block],"&gt;7")</f>
        <v>1</v>
      </c>
      <c r="K93">
        <v>100</v>
      </c>
      <c r="AA93" s="21">
        <v>4</v>
      </c>
      <c r="AB93" s="21">
        <v>3</v>
      </c>
      <c r="AC93" s="21">
        <v>2</v>
      </c>
      <c r="AD93" s="21">
        <v>1</v>
      </c>
      <c r="AE93" s="21"/>
      <c r="AF93" s="25">
        <v>20</v>
      </c>
      <c r="AG93" s="25">
        <v>19</v>
      </c>
      <c r="AH93" s="25">
        <v>18</v>
      </c>
      <c r="AI93" s="25">
        <v>17</v>
      </c>
      <c r="AJ93" s="25">
        <v>16</v>
      </c>
      <c r="AK93" s="25">
        <v>15</v>
      </c>
      <c r="AL93" s="25">
        <v>14</v>
      </c>
      <c r="AM93" s="25">
        <v>13</v>
      </c>
      <c r="AN93" s="25">
        <v>11</v>
      </c>
      <c r="AO93" s="25">
        <v>10</v>
      </c>
      <c r="AP93" s="25">
        <v>9</v>
      </c>
      <c r="AQ93" s="25">
        <v>8</v>
      </c>
      <c r="AR93" s="25">
        <v>7</v>
      </c>
      <c r="AS93" s="25">
        <v>6</v>
      </c>
      <c r="AT93" s="25">
        <v>5</v>
      </c>
      <c r="AU93" s="25">
        <v>4</v>
      </c>
      <c r="AV93" s="25">
        <v>3</v>
      </c>
      <c r="AW93" s="25">
        <v>2</v>
      </c>
      <c r="AX93" s="25">
        <v>1</v>
      </c>
      <c r="AZ93">
        <v>0.78222791395127389</v>
      </c>
    </row>
    <row r="94" spans="1:52" x14ac:dyDescent="0.25">
      <c r="A94" t="s">
        <v>107</v>
      </c>
      <c r="B94">
        <v>100</v>
      </c>
      <c r="C94" t="s">
        <v>3</v>
      </c>
      <c r="D94" t="s">
        <v>278</v>
      </c>
      <c r="E94" t="s">
        <v>328</v>
      </c>
      <c r="F94" s="21">
        <f>COUNTIF(SCD[Course],SCD[[#This Row],[Course]])</f>
        <v>1</v>
      </c>
      <c r="G94">
        <v>15</v>
      </c>
      <c r="H94" s="21">
        <f>COUNTIF(SCD[Block],SCD[[#This Row],[Block]])</f>
        <v>5</v>
      </c>
      <c r="I94" s="21">
        <f>COUNTIFS(SCD[Course],SCD[[#This Row],[Course]],SCD[Block],"&lt;=7",SCD[Block],"&gt;=1") + COUNTIFS(SCD[Course],SCD[[#This Row],[Course]],SCD[Block],10)</f>
        <v>0</v>
      </c>
      <c r="J94" s="21">
        <f>COUNTIFS(SCD[Course],SCD[[#This Row],[Course]],SCD[Block],"&gt;7")</f>
        <v>1</v>
      </c>
      <c r="K94">
        <v>100</v>
      </c>
      <c r="AA94" s="21">
        <v>4</v>
      </c>
      <c r="AB94" s="21">
        <v>3</v>
      </c>
      <c r="AC94" s="21">
        <v>2</v>
      </c>
      <c r="AD94" s="21">
        <v>1</v>
      </c>
      <c r="AE94" s="21"/>
      <c r="AF94" s="25">
        <v>20</v>
      </c>
      <c r="AG94" s="25">
        <v>19</v>
      </c>
      <c r="AH94" s="25">
        <v>18</v>
      </c>
      <c r="AI94" s="25">
        <v>17</v>
      </c>
      <c r="AJ94" s="25">
        <v>16</v>
      </c>
      <c r="AK94" s="25">
        <v>15</v>
      </c>
      <c r="AL94" s="25">
        <v>14</v>
      </c>
      <c r="AM94" s="25">
        <v>13</v>
      </c>
      <c r="AN94" s="25">
        <v>11</v>
      </c>
      <c r="AO94" s="25">
        <v>10</v>
      </c>
      <c r="AP94" s="25">
        <v>9</v>
      </c>
      <c r="AQ94" s="25">
        <v>8</v>
      </c>
      <c r="AR94" s="25">
        <v>7</v>
      </c>
      <c r="AS94" s="25">
        <v>6</v>
      </c>
      <c r="AT94" s="25">
        <v>5</v>
      </c>
      <c r="AU94" s="25">
        <v>4</v>
      </c>
      <c r="AV94" s="25">
        <v>3</v>
      </c>
      <c r="AW94" s="25">
        <v>2</v>
      </c>
      <c r="AX94" s="25">
        <v>1</v>
      </c>
      <c r="AZ94">
        <v>0.78241282180939631</v>
      </c>
    </row>
    <row r="95" spans="1:52" x14ac:dyDescent="0.25">
      <c r="A95" t="s">
        <v>144</v>
      </c>
      <c r="B95">
        <v>200</v>
      </c>
      <c r="C95" t="s">
        <v>3</v>
      </c>
      <c r="D95" t="s">
        <v>190</v>
      </c>
      <c r="E95" t="s">
        <v>302</v>
      </c>
      <c r="F95" s="21">
        <f>COUNTIF(SCD[Course],SCD[[#This Row],[Course]])</f>
        <v>4</v>
      </c>
      <c r="G95">
        <v>13</v>
      </c>
      <c r="H95" s="21">
        <f>COUNTIF(SCD[Block],SCD[[#This Row],[Block]])</f>
        <v>5</v>
      </c>
      <c r="I95" s="21">
        <f>COUNTIFS(SCD[Course],SCD[[#This Row],[Course]],SCD[Block],"&lt;=7",SCD[Block],"&gt;=1") + COUNTIFS(SCD[Course],SCD[[#This Row],[Course]],SCD[Block],10)</f>
        <v>1</v>
      </c>
      <c r="J95" s="21">
        <f>COUNTIFS(SCD[Course],SCD[[#This Row],[Course]],SCD[Block],"&gt;7")</f>
        <v>3</v>
      </c>
      <c r="K95">
        <v>100</v>
      </c>
      <c r="AA95" s="21">
        <v>4</v>
      </c>
      <c r="AB95" s="21">
        <v>3</v>
      </c>
      <c r="AC95" s="21">
        <v>2</v>
      </c>
      <c r="AD95" s="21">
        <v>1</v>
      </c>
      <c r="AE95" s="21"/>
      <c r="AF95" s="25">
        <v>20</v>
      </c>
      <c r="AG95" s="25">
        <v>19</v>
      </c>
      <c r="AH95" s="25">
        <v>18</v>
      </c>
      <c r="AI95" s="25">
        <v>17</v>
      </c>
      <c r="AJ95" s="25">
        <v>16</v>
      </c>
      <c r="AK95" s="25">
        <v>15</v>
      </c>
      <c r="AL95" s="25">
        <v>14</v>
      </c>
      <c r="AM95" s="25">
        <v>13</v>
      </c>
      <c r="AN95" s="25">
        <v>12</v>
      </c>
      <c r="AO95" s="25">
        <v>11</v>
      </c>
      <c r="AP95" s="25">
        <v>10</v>
      </c>
      <c r="AQ95" s="25">
        <v>9</v>
      </c>
      <c r="AR95" s="25">
        <v>8</v>
      </c>
      <c r="AS95" s="25">
        <v>7</v>
      </c>
      <c r="AT95" s="25">
        <v>5</v>
      </c>
      <c r="AU95" s="25">
        <v>4</v>
      </c>
      <c r="AV95" s="25">
        <v>3</v>
      </c>
      <c r="AW95" s="25">
        <v>2</v>
      </c>
      <c r="AX95" s="25">
        <v>1</v>
      </c>
      <c r="AZ95">
        <v>0.78736867853769554</v>
      </c>
    </row>
    <row r="96" spans="1:52" x14ac:dyDescent="0.25">
      <c r="A96" t="s">
        <v>72</v>
      </c>
      <c r="B96">
        <v>100</v>
      </c>
      <c r="C96" t="s">
        <v>3</v>
      </c>
      <c r="D96" t="s">
        <v>243</v>
      </c>
      <c r="E96" t="s">
        <v>336</v>
      </c>
      <c r="F96" s="21">
        <f>COUNTIF(SCD[Course],SCD[[#This Row],[Course]])</f>
        <v>1</v>
      </c>
      <c r="G96">
        <v>13</v>
      </c>
      <c r="H96" s="21">
        <f>COUNTIF(SCD[Block],SCD[[#This Row],[Block]])</f>
        <v>5</v>
      </c>
      <c r="I96" s="21">
        <f>COUNTIFS(SCD[Course],SCD[[#This Row],[Course]],SCD[Block],"&lt;=7",SCD[Block],"&gt;=1") + COUNTIFS(SCD[Course],SCD[[#This Row],[Course]],SCD[Block],10)</f>
        <v>0</v>
      </c>
      <c r="J96" s="21">
        <f>COUNTIFS(SCD[Course],SCD[[#This Row],[Course]],SCD[Block],"&gt;7")</f>
        <v>1</v>
      </c>
      <c r="K96">
        <v>100</v>
      </c>
      <c r="AA96" s="21">
        <v>4</v>
      </c>
      <c r="AB96" s="21">
        <v>3</v>
      </c>
      <c r="AC96" s="21">
        <v>2</v>
      </c>
      <c r="AD96" s="21">
        <v>1</v>
      </c>
      <c r="AE96" s="21"/>
      <c r="AF96" s="25">
        <v>20</v>
      </c>
      <c r="AG96" s="25">
        <v>19</v>
      </c>
      <c r="AH96" s="25">
        <v>18</v>
      </c>
      <c r="AI96" s="25">
        <v>17</v>
      </c>
      <c r="AJ96" s="25">
        <v>16</v>
      </c>
      <c r="AK96" s="25">
        <v>15</v>
      </c>
      <c r="AL96" s="25">
        <v>13</v>
      </c>
      <c r="AM96" s="25">
        <v>12</v>
      </c>
      <c r="AN96" s="25">
        <v>11</v>
      </c>
      <c r="AO96" s="25">
        <v>10</v>
      </c>
      <c r="AP96" s="25">
        <v>9</v>
      </c>
      <c r="AQ96" s="25">
        <v>8</v>
      </c>
      <c r="AR96" s="25">
        <v>7</v>
      </c>
      <c r="AS96" s="25">
        <v>6</v>
      </c>
      <c r="AT96" s="25">
        <v>5</v>
      </c>
      <c r="AU96" s="25">
        <v>4</v>
      </c>
      <c r="AV96" s="25">
        <v>3</v>
      </c>
      <c r="AW96" s="25">
        <v>2</v>
      </c>
      <c r="AX96" s="25">
        <v>1</v>
      </c>
      <c r="AZ96">
        <v>0.80650483408654372</v>
      </c>
    </row>
    <row r="97" spans="1:52" x14ac:dyDescent="0.25">
      <c r="A97" t="s">
        <v>98</v>
      </c>
      <c r="B97">
        <v>100</v>
      </c>
      <c r="C97" t="s">
        <v>3</v>
      </c>
      <c r="D97" t="s">
        <v>269</v>
      </c>
      <c r="E97" t="s">
        <v>315</v>
      </c>
      <c r="F97" s="21">
        <f>COUNTIF(SCD[Course],SCD[[#This Row],[Course]])</f>
        <v>1</v>
      </c>
      <c r="G97">
        <v>5</v>
      </c>
      <c r="H97" s="21">
        <f>COUNTIF(SCD[Block],SCD[[#This Row],[Block]])</f>
        <v>5</v>
      </c>
      <c r="I97" s="21">
        <f>COUNTIFS(SCD[Course],SCD[[#This Row],[Course]],SCD[Block],"&lt;=7",SCD[Block],"&gt;=1") + COUNTIFS(SCD[Course],SCD[[#This Row],[Course]],SCD[Block],10)</f>
        <v>1</v>
      </c>
      <c r="J97" s="21">
        <f>COUNTIFS(SCD[Course],SCD[[#This Row],[Course]],SCD[Block],"&gt;7")</f>
        <v>0</v>
      </c>
      <c r="K97">
        <v>100</v>
      </c>
      <c r="AC97" s="21">
        <v>3</v>
      </c>
      <c r="AD97" s="21">
        <v>2</v>
      </c>
      <c r="AE97" s="21">
        <v>1</v>
      </c>
      <c r="AF97" s="25">
        <v>20</v>
      </c>
      <c r="AG97" s="25">
        <v>19</v>
      </c>
      <c r="AH97" s="25">
        <v>18</v>
      </c>
      <c r="AI97" s="25">
        <v>17</v>
      </c>
      <c r="AJ97" s="25">
        <v>16</v>
      </c>
      <c r="AK97" s="25">
        <v>15</v>
      </c>
      <c r="AL97" s="25">
        <v>14</v>
      </c>
      <c r="AM97" s="25">
        <v>13</v>
      </c>
      <c r="AN97" s="25">
        <v>12</v>
      </c>
      <c r="AO97" s="25">
        <v>11</v>
      </c>
      <c r="AP97" s="25">
        <v>10</v>
      </c>
      <c r="AQ97" s="25">
        <v>9</v>
      </c>
      <c r="AR97" s="25">
        <v>8</v>
      </c>
      <c r="AS97" s="25">
        <v>7</v>
      </c>
      <c r="AT97" s="25">
        <v>6</v>
      </c>
      <c r="AU97" s="25">
        <v>5</v>
      </c>
      <c r="AV97" s="25">
        <v>4</v>
      </c>
      <c r="AW97" s="25">
        <v>3</v>
      </c>
      <c r="AX97" s="25">
        <v>2</v>
      </c>
      <c r="AY97" s="25">
        <v>1</v>
      </c>
      <c r="AZ97">
        <v>0.84229385375984189</v>
      </c>
    </row>
    <row r="98" spans="1:52" x14ac:dyDescent="0.25">
      <c r="A98" t="s">
        <v>76</v>
      </c>
      <c r="B98">
        <v>100</v>
      </c>
      <c r="C98" t="s">
        <v>3</v>
      </c>
      <c r="D98" t="s">
        <v>247</v>
      </c>
      <c r="E98" t="s">
        <v>329</v>
      </c>
      <c r="F98" s="21">
        <f>COUNTIF(SCD[Course],SCD[[#This Row],[Course]])</f>
        <v>1</v>
      </c>
      <c r="G98">
        <v>14</v>
      </c>
      <c r="H98" s="21">
        <f>COUNTIF(SCD[Block],SCD[[#This Row],[Block]])</f>
        <v>5</v>
      </c>
      <c r="I98" s="21">
        <f>COUNTIFS(SCD[Course],SCD[[#This Row],[Course]],SCD[Block],"&lt;=7",SCD[Block],"&gt;=1") + COUNTIFS(SCD[Course],SCD[[#This Row],[Course]],SCD[Block],10)</f>
        <v>0</v>
      </c>
      <c r="J98" s="21">
        <f>COUNTIFS(SCD[Course],SCD[[#This Row],[Course]],SCD[Block],"&gt;7")</f>
        <v>1</v>
      </c>
      <c r="K98">
        <v>100</v>
      </c>
      <c r="AA98" s="21">
        <v>4</v>
      </c>
      <c r="AB98" s="21">
        <v>3</v>
      </c>
      <c r="AC98" s="21">
        <v>2</v>
      </c>
      <c r="AD98" s="21">
        <v>1</v>
      </c>
      <c r="AE98" s="21"/>
      <c r="AF98" s="25">
        <v>20</v>
      </c>
      <c r="AG98" s="25">
        <v>19</v>
      </c>
      <c r="AH98" s="25">
        <v>18</v>
      </c>
      <c r="AI98" s="25">
        <v>17</v>
      </c>
      <c r="AJ98" s="25">
        <v>15</v>
      </c>
      <c r="AK98" s="25">
        <v>14</v>
      </c>
      <c r="AL98" s="25">
        <v>13</v>
      </c>
      <c r="AM98" s="25">
        <v>12</v>
      </c>
      <c r="AN98" s="25">
        <v>11</v>
      </c>
      <c r="AO98" s="25">
        <v>10</v>
      </c>
      <c r="AP98" s="25">
        <v>9</v>
      </c>
      <c r="AQ98" s="25">
        <v>8</v>
      </c>
      <c r="AR98" s="25">
        <v>7</v>
      </c>
      <c r="AS98" s="25">
        <v>6</v>
      </c>
      <c r="AT98" s="25">
        <v>5</v>
      </c>
      <c r="AU98" s="25">
        <v>4</v>
      </c>
      <c r="AV98" s="25">
        <v>3</v>
      </c>
      <c r="AW98" s="25">
        <v>2</v>
      </c>
      <c r="AX98" s="25">
        <v>1</v>
      </c>
      <c r="AZ98">
        <v>0.86283536314951281</v>
      </c>
    </row>
    <row r="99" spans="1:52" x14ac:dyDescent="0.25">
      <c r="A99" t="s">
        <v>56</v>
      </c>
      <c r="B99">
        <v>100</v>
      </c>
      <c r="C99" t="s">
        <v>3</v>
      </c>
      <c r="D99" t="s">
        <v>227</v>
      </c>
      <c r="E99" t="s">
        <v>294</v>
      </c>
      <c r="F99" s="21">
        <f>COUNTIF(SCD[Course],SCD[[#This Row],[Course]])</f>
        <v>1</v>
      </c>
      <c r="G99">
        <v>12</v>
      </c>
      <c r="H99" s="21">
        <f>COUNTIF(SCD[Block],SCD[[#This Row],[Block]])</f>
        <v>5</v>
      </c>
      <c r="I99" s="21">
        <f>COUNTIFS(SCD[Course],SCD[[#This Row],[Course]],SCD[Block],"&lt;=7",SCD[Block],"&gt;=1") + COUNTIFS(SCD[Course],SCD[[#This Row],[Course]],SCD[Block],10)</f>
        <v>0</v>
      </c>
      <c r="J99" s="21">
        <f>COUNTIFS(SCD[Course],SCD[[#This Row],[Course]],SCD[Block],"&gt;7")</f>
        <v>1</v>
      </c>
      <c r="K99">
        <v>100</v>
      </c>
      <c r="AA99" s="21">
        <v>4</v>
      </c>
      <c r="AB99" s="21">
        <v>3</v>
      </c>
      <c r="AC99" s="21">
        <v>2</v>
      </c>
      <c r="AD99" s="21">
        <v>1</v>
      </c>
      <c r="AE99" s="21"/>
      <c r="AF99" s="25">
        <v>20</v>
      </c>
      <c r="AG99" s="25">
        <v>19</v>
      </c>
      <c r="AH99" s="25">
        <v>18</v>
      </c>
      <c r="AI99" s="25">
        <v>17</v>
      </c>
      <c r="AJ99" s="25">
        <v>16</v>
      </c>
      <c r="AK99" s="25">
        <v>15</v>
      </c>
      <c r="AL99" s="25">
        <v>14</v>
      </c>
      <c r="AM99" s="25">
        <v>13</v>
      </c>
      <c r="AN99" s="25">
        <v>12</v>
      </c>
      <c r="AO99" s="25">
        <v>11</v>
      </c>
      <c r="AP99" s="25">
        <v>10</v>
      </c>
      <c r="AQ99" s="25">
        <v>9</v>
      </c>
      <c r="AR99" s="25">
        <v>8</v>
      </c>
      <c r="AS99" s="25">
        <v>7</v>
      </c>
      <c r="AT99" s="25">
        <v>6</v>
      </c>
      <c r="AU99" s="25">
        <v>4</v>
      </c>
      <c r="AV99" s="25">
        <v>3</v>
      </c>
      <c r="AW99" s="25">
        <v>2</v>
      </c>
      <c r="AX99" s="25">
        <v>1</v>
      </c>
      <c r="AZ99">
        <v>0.89007617646428161</v>
      </c>
    </row>
    <row r="100" spans="1:52" x14ac:dyDescent="0.25">
      <c r="A100" t="s">
        <v>145</v>
      </c>
      <c r="B100">
        <v>100</v>
      </c>
      <c r="C100" t="s">
        <v>3</v>
      </c>
      <c r="D100" t="s">
        <v>193</v>
      </c>
      <c r="E100" t="s">
        <v>300</v>
      </c>
      <c r="F100" s="21">
        <f>COUNTIF(SCD[Course],SCD[[#This Row],[Course]])</f>
        <v>4</v>
      </c>
      <c r="G100">
        <v>9</v>
      </c>
      <c r="H100" s="21">
        <f>COUNTIF(SCD[Block],SCD[[#This Row],[Block]])</f>
        <v>5</v>
      </c>
      <c r="I100" s="21">
        <f>COUNTIFS(SCD[Course],SCD[[#This Row],[Course]],SCD[Block],"&lt;=7",SCD[Block],"&gt;=1") + COUNTIFS(SCD[Course],SCD[[#This Row],[Course]],SCD[Block],10)</f>
        <v>3</v>
      </c>
      <c r="J100" s="21">
        <f>COUNTIFS(SCD[Course],SCD[[#This Row],[Course]],SCD[Block],"&gt;7")</f>
        <v>1</v>
      </c>
      <c r="K100">
        <v>100</v>
      </c>
      <c r="AA100" s="21">
        <v>4</v>
      </c>
      <c r="AB100" s="21">
        <v>3</v>
      </c>
      <c r="AC100" s="21">
        <v>2</v>
      </c>
      <c r="AD100" s="21">
        <v>1</v>
      </c>
      <c r="AE100" s="21"/>
      <c r="AF100" s="25">
        <v>20</v>
      </c>
      <c r="AG100" s="25">
        <v>19</v>
      </c>
      <c r="AH100" s="25">
        <v>18</v>
      </c>
      <c r="AI100" s="25">
        <v>17</v>
      </c>
      <c r="AJ100" s="25">
        <v>16</v>
      </c>
      <c r="AK100" s="25">
        <v>15</v>
      </c>
      <c r="AL100" s="25">
        <v>14</v>
      </c>
      <c r="AM100" s="25">
        <v>13</v>
      </c>
      <c r="AN100" s="25">
        <v>12</v>
      </c>
      <c r="AO100" s="25">
        <v>11</v>
      </c>
      <c r="AP100" s="25">
        <v>10</v>
      </c>
      <c r="AQ100" s="25">
        <v>9</v>
      </c>
      <c r="AR100" s="25">
        <v>7</v>
      </c>
      <c r="AS100" s="25">
        <v>6</v>
      </c>
      <c r="AT100" s="25">
        <v>5</v>
      </c>
      <c r="AU100" s="25">
        <v>4</v>
      </c>
      <c r="AV100" s="25">
        <v>3</v>
      </c>
      <c r="AW100" s="25">
        <v>2</v>
      </c>
      <c r="AX100" s="25">
        <v>1</v>
      </c>
      <c r="AZ100">
        <v>0.90577847940277612</v>
      </c>
    </row>
    <row r="101" spans="1:52" x14ac:dyDescent="0.25">
      <c r="A101" t="s">
        <v>144</v>
      </c>
      <c r="B101">
        <v>400</v>
      </c>
      <c r="C101" t="s">
        <v>3</v>
      </c>
      <c r="D101" t="s">
        <v>192</v>
      </c>
      <c r="E101" t="s">
        <v>302</v>
      </c>
      <c r="F101" s="21">
        <f>COUNTIF(SCD[Course],SCD[[#This Row],[Course]])</f>
        <v>4</v>
      </c>
      <c r="G101">
        <v>16</v>
      </c>
      <c r="H101" s="21">
        <f>COUNTIF(SCD[Block],SCD[[#This Row],[Block]])</f>
        <v>5</v>
      </c>
      <c r="I101" s="21">
        <f>COUNTIFS(SCD[Course],SCD[[#This Row],[Course]],SCD[Block],"&lt;=7",SCD[Block],"&gt;=1") + COUNTIFS(SCD[Course],SCD[[#This Row],[Course]],SCD[Block],10)</f>
        <v>1</v>
      </c>
      <c r="J101" s="21">
        <f>COUNTIFS(SCD[Course],SCD[[#This Row],[Course]],SCD[Block],"&gt;7")</f>
        <v>3</v>
      </c>
      <c r="K101">
        <v>100</v>
      </c>
      <c r="AA101" s="21">
        <v>4</v>
      </c>
      <c r="AB101" s="21">
        <v>3</v>
      </c>
      <c r="AC101" s="21">
        <v>2</v>
      </c>
      <c r="AD101" s="21">
        <v>1</v>
      </c>
      <c r="AE101" s="21"/>
      <c r="AF101" s="25">
        <v>20</v>
      </c>
      <c r="AG101" s="25">
        <v>19</v>
      </c>
      <c r="AH101" s="25">
        <v>18</v>
      </c>
      <c r="AI101" s="25">
        <v>17</v>
      </c>
      <c r="AJ101" s="25">
        <v>16</v>
      </c>
      <c r="AK101" s="25">
        <v>15</v>
      </c>
      <c r="AL101" s="25">
        <v>14</v>
      </c>
      <c r="AM101" s="25">
        <v>13</v>
      </c>
      <c r="AN101" s="25">
        <v>12</v>
      </c>
      <c r="AO101" s="25">
        <v>11</v>
      </c>
      <c r="AP101" s="25">
        <v>10</v>
      </c>
      <c r="AQ101" s="25">
        <v>9</v>
      </c>
      <c r="AR101" s="25">
        <v>8</v>
      </c>
      <c r="AS101" s="25">
        <v>7</v>
      </c>
      <c r="AT101" s="25">
        <v>5</v>
      </c>
      <c r="AU101" s="25">
        <v>4</v>
      </c>
      <c r="AV101" s="25">
        <v>3</v>
      </c>
      <c r="AW101" s="25">
        <v>2</v>
      </c>
      <c r="AX101" s="25">
        <v>1</v>
      </c>
      <c r="AZ101">
        <v>0.91693302495052453</v>
      </c>
    </row>
    <row r="102" spans="1:52" x14ac:dyDescent="0.25">
      <c r="A102" t="s">
        <v>91</v>
      </c>
      <c r="B102">
        <v>100</v>
      </c>
      <c r="C102" t="s">
        <v>3</v>
      </c>
      <c r="D102" t="s">
        <v>262</v>
      </c>
      <c r="E102" t="s">
        <v>315</v>
      </c>
      <c r="F102" s="21">
        <f>COUNTIF(SCD[Course],SCD[[#This Row],[Course]])</f>
        <v>1</v>
      </c>
      <c r="G102">
        <v>4</v>
      </c>
      <c r="H102" s="21">
        <f>COUNTIF(SCD[Block],SCD[[#This Row],[Block]])</f>
        <v>4</v>
      </c>
      <c r="I102" s="21">
        <f>COUNTIFS(SCD[Course],SCD[[#This Row],[Course]],SCD[Block],"&lt;=7",SCD[Block],"&gt;=1") + COUNTIFS(SCD[Course],SCD[[#This Row],[Course]],SCD[Block],10)</f>
        <v>1</v>
      </c>
      <c r="J102" s="21">
        <f>COUNTIFS(SCD[Course],SCD[[#This Row],[Course]],SCD[Block],"&gt;7")</f>
        <v>0</v>
      </c>
      <c r="K102">
        <v>100</v>
      </c>
      <c r="AC102" s="21">
        <v>3</v>
      </c>
      <c r="AD102" s="21">
        <v>2</v>
      </c>
      <c r="AE102" s="21">
        <v>1</v>
      </c>
      <c r="AF102" s="25">
        <v>20</v>
      </c>
      <c r="AG102" s="25">
        <v>19</v>
      </c>
      <c r="AH102" s="25">
        <v>18</v>
      </c>
      <c r="AI102" s="25">
        <v>17</v>
      </c>
      <c r="AJ102" s="25">
        <v>16</v>
      </c>
      <c r="AK102" s="25">
        <v>15</v>
      </c>
      <c r="AL102" s="25">
        <v>14</v>
      </c>
      <c r="AM102" s="25">
        <v>13</v>
      </c>
      <c r="AN102" s="25">
        <v>12</v>
      </c>
      <c r="AO102" s="25">
        <v>11</v>
      </c>
      <c r="AP102" s="25">
        <v>10</v>
      </c>
      <c r="AQ102" s="25">
        <v>9</v>
      </c>
      <c r="AR102" s="25">
        <v>8</v>
      </c>
      <c r="AS102" s="25">
        <v>7</v>
      </c>
      <c r="AT102" s="25">
        <v>6</v>
      </c>
      <c r="AU102" s="25">
        <v>5</v>
      </c>
      <c r="AV102" s="25">
        <v>4</v>
      </c>
      <c r="AW102" s="25">
        <v>3</v>
      </c>
      <c r="AX102" s="25">
        <v>2</v>
      </c>
      <c r="AY102" s="25">
        <v>1</v>
      </c>
      <c r="AZ102">
        <v>0.93581663994760589</v>
      </c>
    </row>
    <row r="103" spans="1:52" x14ac:dyDescent="0.25">
      <c r="A103" t="s">
        <v>106</v>
      </c>
      <c r="B103">
        <v>100</v>
      </c>
      <c r="C103" t="s">
        <v>3</v>
      </c>
      <c r="D103" t="s">
        <v>277</v>
      </c>
      <c r="E103" t="s">
        <v>295</v>
      </c>
      <c r="F103" s="21">
        <f>COUNTIF(SCD[Course],SCD[[#This Row],[Course]])</f>
        <v>1</v>
      </c>
      <c r="G103">
        <v>10</v>
      </c>
      <c r="H103" s="21">
        <f>COUNTIF(SCD[Block],SCD[[#This Row],[Block]])</f>
        <v>4</v>
      </c>
      <c r="I103" s="21">
        <f>COUNTIFS(SCD[Course],SCD[[#This Row],[Course]],SCD[Block],"&lt;=7",SCD[Block],"&gt;=1") + COUNTIFS(SCD[Course],SCD[[#This Row],[Course]],SCD[Block],10)</f>
        <v>1</v>
      </c>
      <c r="J103" s="21">
        <f>COUNTIFS(SCD[Course],SCD[[#This Row],[Course]],SCD[Block],"&gt;7")</f>
        <v>1</v>
      </c>
      <c r="K103">
        <v>100</v>
      </c>
      <c r="AA103" s="21">
        <v>4</v>
      </c>
      <c r="AB103" s="21">
        <v>3</v>
      </c>
      <c r="AC103" s="21">
        <v>2</v>
      </c>
      <c r="AD103" s="21">
        <v>1</v>
      </c>
      <c r="AE103" s="21"/>
      <c r="AF103" s="25">
        <v>20</v>
      </c>
      <c r="AG103" s="25">
        <v>19</v>
      </c>
      <c r="AH103" s="25">
        <v>18</v>
      </c>
      <c r="AI103" s="25">
        <v>17</v>
      </c>
      <c r="AJ103" s="25">
        <v>16</v>
      </c>
      <c r="AK103" s="25">
        <v>15</v>
      </c>
      <c r="AL103" s="25">
        <v>14</v>
      </c>
      <c r="AM103" s="25">
        <v>13</v>
      </c>
      <c r="AN103" s="25">
        <v>12</v>
      </c>
      <c r="AO103" s="25">
        <v>10</v>
      </c>
      <c r="AP103" s="25">
        <v>9</v>
      </c>
      <c r="AQ103" s="25">
        <v>8</v>
      </c>
      <c r="AR103" s="25">
        <v>7</v>
      </c>
      <c r="AS103" s="25">
        <v>6</v>
      </c>
      <c r="AT103" s="25">
        <v>5</v>
      </c>
      <c r="AU103" s="25">
        <v>4</v>
      </c>
      <c r="AV103" s="25">
        <v>3</v>
      </c>
      <c r="AW103" s="25">
        <v>2</v>
      </c>
      <c r="AX103" s="25">
        <v>1</v>
      </c>
      <c r="AZ103">
        <v>0.95748084137422185</v>
      </c>
    </row>
    <row r="104" spans="1:52" x14ac:dyDescent="0.25">
      <c r="A104" t="s">
        <v>15</v>
      </c>
      <c r="B104">
        <v>100</v>
      </c>
      <c r="C104" t="s">
        <v>5</v>
      </c>
      <c r="D104" t="s">
        <v>209</v>
      </c>
      <c r="E104" t="s">
        <v>308</v>
      </c>
      <c r="F104" s="21">
        <f>COUNTIF(SCD[Course],SCD[[#This Row],[Course]])</f>
        <v>1</v>
      </c>
      <c r="G104">
        <v>27</v>
      </c>
      <c r="H104" s="21">
        <f>COUNTIF(SCD[Block],SCD[[#This Row],[Block]])</f>
        <v>2</v>
      </c>
      <c r="I104" s="21">
        <f>COUNTIFS(SCD[Course],SCD[[#This Row],[Course]],SCD[Block],"&lt;=7",SCD[Block],"&gt;=1") + COUNTIFS(SCD[Course],SCD[[#This Row],[Course]],SCD[Block],10)</f>
        <v>0</v>
      </c>
      <c r="J104" s="21">
        <f>COUNTIFS(SCD[Course],SCD[[#This Row],[Course]],SCD[Block],"&gt;7")</f>
        <v>1</v>
      </c>
      <c r="K104">
        <v>100</v>
      </c>
      <c r="P104" s="21">
        <v>24</v>
      </c>
      <c r="Q104" s="21">
        <v>23</v>
      </c>
      <c r="R104" s="21">
        <v>21</v>
      </c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5">
        <v>28</v>
      </c>
      <c r="AG104" s="25">
        <v>27</v>
      </c>
      <c r="AH104" s="25">
        <v>26</v>
      </c>
      <c r="AI104" s="25">
        <v>25</v>
      </c>
      <c r="AJ104" s="25">
        <v>24</v>
      </c>
      <c r="AK104" s="25">
        <v>23</v>
      </c>
      <c r="AL104" s="25">
        <v>21</v>
      </c>
      <c r="AZ104">
        <v>0.95994626949329365</v>
      </c>
    </row>
    <row r="105" spans="1:52" x14ac:dyDescent="0.25">
      <c r="A105" t="s">
        <v>183</v>
      </c>
      <c r="B105">
        <v>400</v>
      </c>
      <c r="C105" t="s">
        <v>3</v>
      </c>
      <c r="D105" t="s">
        <v>204</v>
      </c>
      <c r="E105" t="s">
        <v>314</v>
      </c>
      <c r="F105" s="21">
        <f>COUNTIF(SCD[Course],SCD[[#This Row],[Course]])</f>
        <v>4</v>
      </c>
      <c r="G105">
        <v>15</v>
      </c>
      <c r="H105" s="21">
        <f>COUNTIF(SCD[Block],SCD[[#This Row],[Block]])</f>
        <v>5</v>
      </c>
      <c r="I105" s="21">
        <f>COUNTIFS(SCD[Course],SCD[[#This Row],[Course]],SCD[Block],"&lt;=7",SCD[Block],"&gt;=1") + COUNTIFS(SCD[Course],SCD[[#This Row],[Course]],SCD[Block],10)</f>
        <v>1</v>
      </c>
      <c r="J105" s="21">
        <f>COUNTIFS(SCD[Course],SCD[[#This Row],[Course]],SCD[Block],"&gt;7")</f>
        <v>3</v>
      </c>
      <c r="K105">
        <v>100</v>
      </c>
      <c r="AB105" s="21">
        <v>4</v>
      </c>
      <c r="AC105" s="21">
        <v>3</v>
      </c>
      <c r="AD105" s="21">
        <v>1</v>
      </c>
      <c r="AE105" s="21"/>
      <c r="AF105" s="25">
        <v>15</v>
      </c>
      <c r="AG105" s="25">
        <v>11</v>
      </c>
      <c r="AH105" s="25">
        <v>20</v>
      </c>
      <c r="AI105" s="25">
        <v>19</v>
      </c>
      <c r="AJ105" s="25">
        <v>18</v>
      </c>
      <c r="AK105" s="25">
        <v>17</v>
      </c>
      <c r="AL105" s="25">
        <v>16</v>
      </c>
      <c r="AM105" s="25">
        <v>14</v>
      </c>
      <c r="AN105" s="25">
        <v>13</v>
      </c>
      <c r="AO105" s="25">
        <v>12</v>
      </c>
      <c r="AP105" s="25">
        <v>10</v>
      </c>
      <c r="AQ105" s="25">
        <v>9</v>
      </c>
      <c r="AR105" s="25">
        <v>8</v>
      </c>
      <c r="AS105" s="25">
        <v>7</v>
      </c>
      <c r="AT105" s="25">
        <v>6</v>
      </c>
      <c r="AU105" s="25">
        <v>5</v>
      </c>
      <c r="AV105" s="25">
        <v>4</v>
      </c>
      <c r="AW105" s="25">
        <v>3</v>
      </c>
      <c r="AX105" s="25">
        <v>1</v>
      </c>
      <c r="AZ105">
        <v>0.98012238310747424</v>
      </c>
    </row>
    <row r="106" spans="1:52" x14ac:dyDescent="0.25">
      <c r="A106" t="s">
        <v>9</v>
      </c>
      <c r="B106">
        <v>100</v>
      </c>
      <c r="C106" t="s">
        <v>5</v>
      </c>
      <c r="D106" t="s">
        <v>28</v>
      </c>
      <c r="E106" t="s">
        <v>303</v>
      </c>
      <c r="F106" s="21">
        <f>COUNTIF(SCD[Course],SCD[[#This Row],[Course]])</f>
        <v>1</v>
      </c>
      <c r="G106">
        <v>25</v>
      </c>
      <c r="H106" s="21">
        <f>COUNTIF(SCD[Block],SCD[[#This Row],[Block]])</f>
        <v>2</v>
      </c>
      <c r="I106" s="21">
        <f>COUNTIFS(SCD[Course],SCD[[#This Row],[Course]],SCD[Block],"&lt;=7",SCD[Block],"&gt;=1") + COUNTIFS(SCD[Course],SCD[[#This Row],[Course]],SCD[Block],10)</f>
        <v>0</v>
      </c>
      <c r="J106" s="21">
        <f>COUNTIFS(SCD[Course],SCD[[#This Row],[Course]],SCD[Block],"&gt;7")</f>
        <v>1</v>
      </c>
      <c r="K106">
        <v>100</v>
      </c>
      <c r="P106" s="21">
        <v>24</v>
      </c>
      <c r="Q106" s="21">
        <v>23</v>
      </c>
      <c r="R106" s="21">
        <v>22</v>
      </c>
      <c r="S106" s="21">
        <v>21</v>
      </c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5">
        <v>28</v>
      </c>
      <c r="AG106" s="25">
        <v>27</v>
      </c>
      <c r="AH106" s="25">
        <v>26</v>
      </c>
      <c r="AI106" s="25">
        <v>25</v>
      </c>
      <c r="AJ106" s="25">
        <v>24</v>
      </c>
      <c r="AK106" s="25">
        <v>23</v>
      </c>
      <c r="AL106" s="25">
        <v>22</v>
      </c>
      <c r="AM106" s="25">
        <v>21</v>
      </c>
      <c r="AZ106">
        <v>0.99675499983087723</v>
      </c>
    </row>
  </sheetData>
  <sortState ref="A2:AZ106">
    <sortCondition ref="AZ2"/>
  </sortState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Manual</vt:lpstr>
      <vt:lpstr>IProf</vt:lpstr>
      <vt:lpstr>HProf</vt:lpstr>
      <vt:lpstr>ICourse</vt:lpstr>
      <vt:lpstr>InfoPreReq</vt:lpstr>
      <vt:lpstr>InfoBlock</vt:lpstr>
      <vt:lpstr>OCourse</vt:lpstr>
      <vt:lpstr>OProf</vt:lpstr>
      <vt:lpstr>PrintOut</vt:lpstr>
      <vt:lpstr>CProf</vt:lpstr>
      <vt:lpstr>CCourse</vt:lpstr>
      <vt:lpstr>Candidates</vt:lpstr>
      <vt:lpstr>SCourse</vt:lpstr>
      <vt:lpstr>SCD</vt:lpstr>
      <vt:lpstr>PrintOut!Print_Area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2017-04-05T16:12:05Z</cp:lastPrinted>
  <dcterms:created xsi:type="dcterms:W3CDTF">2017-03-02T15:37:10Z</dcterms:created>
  <dcterms:modified xsi:type="dcterms:W3CDTF">2017-04-05T23:06:35Z</dcterms:modified>
</cp:coreProperties>
</file>