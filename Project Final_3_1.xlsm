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C:\Users\mchung\Desktop\"/>
    </mc:Choice>
  </mc:AlternateContent>
  <bookViews>
    <workbookView xWindow="0" yWindow="0" windowWidth="23040" windowHeight="9048" tabRatio="685" activeTab="2"/>
  </bookViews>
  <sheets>
    <sheet name="Instruction" sheetId="11" r:id="rId1"/>
    <sheet name="Input_Professor" sheetId="1" r:id="rId2"/>
    <sheet name="Input_Course" sheetId="2" r:id="rId3"/>
    <sheet name="Block_Info" sheetId="9" r:id="rId4"/>
    <sheet name="PrintOut" sheetId="4" r:id="rId5"/>
    <sheet name="Calculator" sheetId="10" state="hidden" r:id="rId6"/>
  </sheets>
  <definedNames>
    <definedName name="_xlnm._FilterDatabase" localSheetId="3" hidden="1">Block_Info!$A$1:$D$45</definedName>
    <definedName name="solver_adj" localSheetId="5" hidden="1">Calculator!$I$12,Calculator!$D$12,Calculator!$E$12,Calculator!$F$12,Calculator!$C$13,Calculator!$D$13,Calculator!$E$13,Calculator!$F$14,Calculator!$G$14,Calculator!$H$14</definedName>
    <definedName name="solver_eng" localSheetId="5" hidden="1">1</definedName>
    <definedName name="solver_eng" localSheetId="2" hidden="1">1</definedName>
    <definedName name="solver_lhs1" localSheetId="5" hidden="1">Calculator!$I$12</definedName>
    <definedName name="solver_lhs10" localSheetId="5" hidden="1">Calculator!$H$14</definedName>
    <definedName name="solver_lhs11" localSheetId="5" hidden="1">Calculator!$F$17</definedName>
    <definedName name="solver_lhs12" localSheetId="5" hidden="1">Calculator!$C$20:$I$20</definedName>
    <definedName name="solver_lhs2" localSheetId="5" hidden="1">Calculator!$D$12</definedName>
    <definedName name="solver_lhs3" localSheetId="5" hidden="1">Calculator!$E$12</definedName>
    <definedName name="solver_lhs4" localSheetId="5" hidden="1">Calculator!$I$12</definedName>
    <definedName name="solver_lhs5" localSheetId="5" hidden="1">Calculator!$C$13</definedName>
    <definedName name="solver_lhs6" localSheetId="5" hidden="1">Calculator!$D$13</definedName>
    <definedName name="solver_lhs7" localSheetId="5" hidden="1">Calculator!$E$13</definedName>
    <definedName name="solver_lhs8" localSheetId="5" hidden="1">Calculator!$F$14</definedName>
    <definedName name="solver_lhs9" localSheetId="5" hidden="1">Calculator!$G$14</definedName>
    <definedName name="solver_lin" localSheetId="2" hidden="1">2</definedName>
    <definedName name="solver_neg" localSheetId="5" hidden="1">1</definedName>
    <definedName name="solver_neg" localSheetId="2" hidden="1">1</definedName>
    <definedName name="solver_num" localSheetId="5" hidden="1">12</definedName>
    <definedName name="solver_num" localSheetId="2" hidden="1">0</definedName>
    <definedName name="solver_opt" localSheetId="5" hidden="1">Calculator!$C$15</definedName>
    <definedName name="solver_opt" localSheetId="2" hidden="1">Input_Course!$J$83</definedName>
    <definedName name="solver_pre" localSheetId="5" hidden="1">0.00001</definedName>
    <definedName name="solver_rel1" localSheetId="5" hidden="1">5</definedName>
    <definedName name="solver_rel10" localSheetId="5" hidden="1">5</definedName>
    <definedName name="solver_rel11" localSheetId="5" hidden="1">3</definedName>
    <definedName name="solver_rel12" localSheetId="5" hidden="1">2</definedName>
    <definedName name="solver_rel2" localSheetId="5" hidden="1">5</definedName>
    <definedName name="solver_rel3" localSheetId="5" hidden="1">5</definedName>
    <definedName name="solver_rel4" localSheetId="5" hidden="1">5</definedName>
    <definedName name="solver_rel5" localSheetId="5" hidden="1">5</definedName>
    <definedName name="solver_rel6" localSheetId="5" hidden="1">5</definedName>
    <definedName name="solver_rel7" localSheetId="5" hidden="1">5</definedName>
    <definedName name="solver_rel8" localSheetId="5" hidden="1">5</definedName>
    <definedName name="solver_rel9" localSheetId="5" hidden="1">5</definedName>
    <definedName name="solver_rhs1" localSheetId="5" hidden="1">binary</definedName>
    <definedName name="solver_rhs10" localSheetId="5" hidden="1">binary</definedName>
    <definedName name="solver_rhs11" localSheetId="5" hidden="1">Calculator!$H$17</definedName>
    <definedName name="solver_rhs12" localSheetId="5" hidden="1">Calculator!$C$22:$I$22</definedName>
    <definedName name="solver_rhs2" localSheetId="5" hidden="1">binary</definedName>
    <definedName name="solver_rhs3" localSheetId="5" hidden="1">binary</definedName>
    <definedName name="solver_rhs4" localSheetId="5" hidden="1">binary</definedName>
    <definedName name="solver_rhs5" localSheetId="5" hidden="1">binary</definedName>
    <definedName name="solver_rhs6" localSheetId="5" hidden="1">binary</definedName>
    <definedName name="solver_rhs7" localSheetId="5" hidden="1">binary</definedName>
    <definedName name="solver_rhs8" localSheetId="5" hidden="1">binary</definedName>
    <definedName name="solver_rhs9" localSheetId="5" hidden="1">binary</definedName>
    <definedName name="solver_typ" localSheetId="5" hidden="1">1</definedName>
    <definedName name="solver_typ" localSheetId="2" hidden="1">1</definedName>
    <definedName name="solver_val" localSheetId="5" hidden="1">0</definedName>
    <definedName name="solver_val" localSheetId="2" hidden="1">0</definedName>
    <definedName name="solver_ver" localSheetId="5" hidden="1">3</definedName>
    <definedName name="solver_ver" localSheetId="2" hidden="1">2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5" i="10" l="1"/>
  <c r="H25" i="10"/>
  <c r="G25" i="10"/>
  <c r="F25" i="10"/>
  <c r="E25" i="10"/>
  <c r="D25" i="10"/>
  <c r="C25" i="10"/>
  <c r="I20" i="10"/>
  <c r="H20" i="10"/>
  <c r="G20" i="10"/>
  <c r="F20" i="10"/>
  <c r="E20" i="10"/>
  <c r="D20" i="10"/>
  <c r="C20" i="10"/>
  <c r="J12" i="10"/>
  <c r="J13" i="10"/>
  <c r="J14" i="10"/>
  <c r="F17" i="10"/>
  <c r="C15" i="10"/>
  <c r="H2" i="2"/>
  <c r="H3" i="2"/>
  <c r="H4" i="2"/>
  <c r="H5" i="2"/>
  <c r="H6" i="2"/>
  <c r="H7" i="2"/>
  <c r="H8" i="2"/>
  <c r="B2" i="2"/>
  <c r="B3" i="2"/>
  <c r="B4" i="2"/>
  <c r="B5" i="2"/>
  <c r="B6" i="2"/>
  <c r="B7" i="2"/>
  <c r="B8" i="2"/>
  <c r="A2" i="2"/>
  <c r="A3" i="2"/>
  <c r="A4" i="2"/>
  <c r="A5" i="2"/>
  <c r="A6" i="2"/>
  <c r="A7" i="2"/>
  <c r="A8" i="2"/>
  <c r="C8" i="2"/>
  <c r="C3" i="2"/>
  <c r="C4" i="2"/>
  <c r="C5" i="2"/>
  <c r="C6" i="2"/>
  <c r="C7" i="2"/>
  <c r="C2" i="2"/>
</calcChain>
</file>

<file path=xl/comments1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Last name, First name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F, P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Calculated Session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Department Shortname +3 digits string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3 digits string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U, G</t>
        </r>
      </text>
    </comment>
    <comment ref="G1" authorId="0" shapeId="0">
      <text>
        <r>
          <rPr>
            <sz val="9"/>
            <color indexed="81"/>
            <rFont val="Tahoma"/>
            <family val="2"/>
          </rPr>
          <t>Course ID: Department Shortname +3 digits string</t>
        </r>
      </text>
    </comment>
    <comment ref="H1" authorId="0" shapeId="0">
      <text>
        <r>
          <rPr>
            <sz val="9"/>
            <color indexed="81"/>
            <rFont val="Tahoma"/>
            <family val="2"/>
          </rPr>
          <t xml:space="preserve">FK: Course ID
</t>
        </r>
      </text>
    </comment>
  </commentList>
</comments>
</file>

<file path=xl/sharedStrings.xml><?xml version="1.0" encoding="utf-8"?>
<sst xmlns="http://schemas.openxmlformats.org/spreadsheetml/2006/main" count="337" uniqueCount="113">
  <si>
    <t>Name</t>
  </si>
  <si>
    <t>Full/Part-time</t>
  </si>
  <si>
    <t>Preference_1</t>
  </si>
  <si>
    <t>Preference_2</t>
  </si>
  <si>
    <t>Preference_3</t>
  </si>
  <si>
    <t>Preference_4</t>
  </si>
  <si>
    <t>Course ID</t>
  </si>
  <si>
    <t>Session ID</t>
  </si>
  <si>
    <t>Level</t>
  </si>
  <si>
    <t>Pre-req 1</t>
  </si>
  <si>
    <t>A, B</t>
  </si>
  <si>
    <t>C, D</t>
  </si>
  <si>
    <t>E, F</t>
  </si>
  <si>
    <t>F</t>
  </si>
  <si>
    <t>Session</t>
  </si>
  <si>
    <t>U</t>
  </si>
  <si>
    <t>G</t>
  </si>
  <si>
    <t>a</t>
  </si>
  <si>
    <t>b</t>
  </si>
  <si>
    <t>A</t>
  </si>
  <si>
    <t>B</t>
  </si>
  <si>
    <t>C</t>
  </si>
  <si>
    <t>D</t>
  </si>
  <si>
    <t>E</t>
  </si>
  <si>
    <t>H</t>
  </si>
  <si>
    <t>TimeSlot</t>
  </si>
  <si>
    <t>Start</t>
  </si>
  <si>
    <t>End</t>
  </si>
  <si>
    <t>I</t>
  </si>
  <si>
    <t>J</t>
  </si>
  <si>
    <t>Block</t>
  </si>
  <si>
    <t>PRE-REQ FLAG</t>
  </si>
  <si>
    <t>GRAD COURSE</t>
  </si>
  <si>
    <t>FIN100</t>
  </si>
  <si>
    <t>FIN200</t>
  </si>
  <si>
    <t>SESSION_FLAG</t>
  </si>
  <si>
    <t>Course Identifier</t>
  </si>
  <si>
    <t>PROFESSOR</t>
  </si>
  <si>
    <t>FIN100 100</t>
  </si>
  <si>
    <t>FIN100 200</t>
  </si>
  <si>
    <t>FIN100 300</t>
  </si>
  <si>
    <t xml:space="preserve">FIN200 </t>
  </si>
  <si>
    <t>FIN200 200</t>
  </si>
  <si>
    <t>FIN200 300</t>
  </si>
  <si>
    <t>FIN200 100</t>
  </si>
  <si>
    <t>Input</t>
  </si>
  <si>
    <t>Score</t>
  </si>
  <si>
    <t>Decision</t>
  </si>
  <si>
    <t xml:space="preserve">Objective: </t>
  </si>
  <si>
    <t>(Max)</t>
  </si>
  <si>
    <t>Constraints:</t>
  </si>
  <si>
    <t>1. Percentage taught by full-time faculties</t>
  </si>
  <si>
    <t>&gt;=</t>
  </si>
  <si>
    <t>2. Binary Decision Variables</t>
  </si>
  <si>
    <t>3. Each course has one and only one professor</t>
  </si>
  <si>
    <t>=</t>
  </si>
  <si>
    <t>Solution</t>
  </si>
  <si>
    <t>Course Session</t>
  </si>
  <si>
    <t>Professor Name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</si>
  <si>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</si>
  <si>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</si>
  <si>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</si>
  <si>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</si>
  <si>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</si>
  <si>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</si>
  <si>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</si>
  <si>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</si>
  <si>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FIN300 100</t>
  </si>
  <si>
    <t>FIN300</t>
  </si>
  <si>
    <t>WORKSHEET</t>
  </si>
  <si>
    <t>MONDAY</t>
  </si>
  <si>
    <t>TUESDAY</t>
  </si>
  <si>
    <t>WEDNESDAY</t>
  </si>
  <si>
    <t>THURSDAY</t>
  </si>
  <si>
    <t>FRIDAY</t>
  </si>
  <si>
    <t>ASSIGNED_FLAG</t>
  </si>
  <si>
    <t>BLOCK_ASSIGNED</t>
  </si>
  <si>
    <t>EVENING</t>
  </si>
  <si>
    <t>GRAD</t>
  </si>
  <si>
    <t>8:00 - 9:20</t>
  </si>
  <si>
    <t>9:30 - 10:50</t>
  </si>
  <si>
    <t>11:00 - 12:20</t>
  </si>
  <si>
    <t>12:30 - 1:50</t>
  </si>
  <si>
    <t>2:00 - 3:20</t>
  </si>
  <si>
    <t>3:30 - 4:50</t>
  </si>
  <si>
    <t>5:00 - 6:20</t>
  </si>
  <si>
    <t>6:30 - 9:10</t>
  </si>
  <si>
    <t>5:00 - 7:20</t>
  </si>
  <si>
    <t>7:30 - 9:50</t>
  </si>
  <si>
    <t>FIN100 100 (C, D)</t>
  </si>
  <si>
    <t>FIN100 200 (C, D)</t>
  </si>
  <si>
    <t>FIN100 300 (C, D)</t>
  </si>
  <si>
    <t>FIN200 100 (E, F)</t>
  </si>
  <si>
    <t>FIN200 200 (E, F)</t>
  </si>
  <si>
    <t>FIN200 300 (E, F)</t>
  </si>
  <si>
    <t>FIN300 100 (A, B)</t>
  </si>
  <si>
    <t>ACTIVITY PERIOD</t>
  </si>
  <si>
    <t>1. Please enable macro for your excel.</t>
  </si>
  <si>
    <t>3. File → Options → Customize Ribbon → Check "Developer" in the right-hand-side list</t>
  </si>
  <si>
    <t>4. DEVELOPER → Visual Basic → Tools → References… → Check "Solver"</t>
  </si>
  <si>
    <t>7. Click "Professor Assignment" button to assign the professors.</t>
  </si>
  <si>
    <t xml:space="preserve">Note: </t>
  </si>
  <si>
    <t>5. Input course information in the highlighted session in "Input_Course" tab</t>
  </si>
  <si>
    <t>6. Input professor information in the highlighted session in "Input_Professor" tab</t>
  </si>
  <si>
    <t>b. Preference 1 - 4 can be entered through drop-down selection. Preference 1 is the most preferred session and 4 is the least one.</t>
  </si>
  <si>
    <t>c. Detailed column format instruction can be found in the comments in first row.</t>
  </si>
  <si>
    <t>9. Click "Generate Calendar" button to generate one-page printable calendar.</t>
  </si>
  <si>
    <t>10. Go to "PrintOut" tab and print the calendar to PDF or a physical printer.</t>
  </si>
  <si>
    <t>2. File → Options → Add-Ins → Go → Check "Solver Add-In"</t>
  </si>
  <si>
    <r>
      <t>Instruction</t>
    </r>
    <r>
      <rPr>
        <b/>
        <sz val="11"/>
        <color theme="1"/>
        <rFont val="Arial"/>
        <family val="2"/>
      </rPr>
      <t>:</t>
    </r>
  </si>
  <si>
    <t>a. In this release, only one pre-requisite course is allowed for each course</t>
  </si>
  <si>
    <t>a. A pop-out window to offer you the chance to enter the minimum percentage of classes taught by full-time faculties, in case of changing requirement. The default is 75%.</t>
  </si>
  <si>
    <t>8. Click "Course Scheduling" button to schedule courses.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</si>
</sst>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 val="double"/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2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7" fillId="2" borderId="0" applyNumberFormat="0" applyBorder="0" applyAlignment="0" applyProtection="0"/>
  </cellStyleXfs>
  <cellXfs count="49">
    <xf numFmtId="0" fontId="0" fillId="0" borderId="0" xfId="0"/>
    <xf numFmtId="20" fontId="0" fillId="0" borderId="0" xfId="0" applyNumberFormat="1"/>
    <xf numFmtId="0" fontId="6" fillId="0" borderId="0" xfId="0" applyFont="1" applyFill="1"/>
    <xf numFmtId="0" fontId="7" fillId="0" borderId="0" xfId="91" applyFill="1"/>
    <xf numFmtId="0" fontId="6" fillId="0" borderId="0" xfId="0" applyFont="1" applyFill="1" applyAlignment="1">
      <alignment horizontal="center"/>
    </xf>
    <xf numFmtId="0" fontId="7" fillId="0" borderId="0" xfId="91" applyFill="1" applyAlignment="1">
      <alignment horizontal="center"/>
    </xf>
    <xf numFmtId="0" fontId="6" fillId="0" borderId="0" xfId="0" applyFont="1" applyFill="1" applyAlignment="1">
      <alignment horizontal="left"/>
    </xf>
    <xf numFmtId="0" fontId="0" fillId="0" borderId="0" xfId="0" applyFill="1"/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0" fontId="1" fillId="0" borderId="0" xfId="0" applyFont="1"/>
    <xf numFmtId="0" fontId="9" fillId="0" borderId="0" xfId="91" applyFont="1" applyFill="1" applyAlignment="1">
      <alignment horizontal="center"/>
    </xf>
    <xf numFmtId="0" fontId="9" fillId="0" borderId="0" xfId="91" applyFont="1" applyFill="1"/>
    <xf numFmtId="0" fontId="9" fillId="3" borderId="0" xfId="0" applyFont="1" applyFill="1" applyAlignment="1">
      <alignment horizontal="center"/>
    </xf>
    <xf numFmtId="0" fontId="9" fillId="3" borderId="0" xfId="0" applyFont="1" applyFill="1"/>
    <xf numFmtId="0" fontId="9" fillId="3" borderId="0" xfId="91" applyFont="1" applyFill="1" applyAlignment="1">
      <alignment horizontal="center"/>
    </xf>
    <xf numFmtId="0" fontId="9" fillId="3" borderId="0" xfId="91" applyFont="1" applyFill="1"/>
    <xf numFmtId="0" fontId="0" fillId="3" borderId="0" xfId="0" applyFill="1"/>
    <xf numFmtId="0" fontId="0" fillId="0" borderId="0" xfId="0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7" xfId="0" applyFill="1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4" borderId="4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4" borderId="3" xfId="0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4" borderId="18" xfId="0" applyFill="1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3" xfId="0" applyBorder="1" applyAlignment="1">
      <alignment horizontal="center"/>
    </xf>
    <xf numFmtId="0" fontId="11" fillId="0" borderId="0" xfId="0" applyFont="1"/>
    <xf numFmtId="0" fontId="13" fillId="0" borderId="0" xfId="0" applyFont="1" applyAlignment="1">
      <alignment horizontal="left" indent="2"/>
    </xf>
    <xf numFmtId="0" fontId="14" fillId="0" borderId="0" xfId="0" applyFont="1" applyAlignment="1">
      <alignment horizontal="left" indent="3"/>
    </xf>
    <xf numFmtId="0" fontId="14" fillId="0" borderId="0" xfId="0" applyFont="1" applyAlignment="1">
      <alignment horizontal="left" indent="5"/>
    </xf>
    <xf numFmtId="0" fontId="10" fillId="0" borderId="0" xfId="0" applyFont="1" applyAlignment="1">
      <alignment horizontal="center"/>
    </xf>
  </cellXfs>
  <cellStyles count="9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Good" xfId="91" builtinId="26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Normal" xfId="0" builtinId="0"/>
  </cellStyles>
  <dxfs count="28">
    <dxf>
      <numFmt numFmtId="25" formatCode="h:mm"/>
    </dxf>
    <dxf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2</xdr:row>
          <xdr:rowOff>160020</xdr:rowOff>
        </xdr:from>
        <xdr:to>
          <xdr:col>23</xdr:col>
          <xdr:colOff>99060</xdr:colOff>
          <xdr:row>4</xdr:row>
          <xdr:rowOff>106680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2: Course Scheduling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22860</xdr:colOff>
          <xdr:row>1</xdr:row>
          <xdr:rowOff>22860</xdr:rowOff>
        </xdr:from>
        <xdr:to>
          <xdr:col>23</xdr:col>
          <xdr:colOff>99060</xdr:colOff>
          <xdr:row>2</xdr:row>
          <xdr:rowOff>152400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1: Professor Assignment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Professor" displayName="Professor" ref="A1:F4" totalsRowShown="0" dataDxfId="27">
  <autoFilter ref="A1:F4"/>
  <tableColumns count="6">
    <tableColumn id="1" name="Name" dataDxfId="26"/>
    <tableColumn id="2" name="Full/Part-time" dataDxfId="25"/>
    <tableColumn id="3" name="Preference_1" dataDxfId="24"/>
    <tableColumn id="4" name="Preference_2" dataDxfId="23"/>
    <tableColumn id="5" name="Preference_3" dataDxfId="22"/>
    <tableColumn id="6" name="Preference_4" dataDxfId="2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Course" displayName="Course" ref="A1:S8" totalsRowShown="0" headerRowDxfId="20" dataDxfId="19">
  <autoFilter ref="A1:S8"/>
  <tableColumns count="19">
    <tableColumn id="1" name="GRAD COURSE" dataDxfId="18">
      <calculatedColumnFormula>IF(F2="G", TRUE,FALSE)</calculatedColumnFormula>
    </tableColumn>
    <tableColumn id="2" name="PRE-REQ FLAG" dataDxfId="17">
      <calculatedColumnFormula>IF(ISBLANK(G2),FALSE,TRUE)</calculatedColumnFormula>
    </tableColumn>
    <tableColumn id="3" name="Course Identifier" dataDxfId="16">
      <calculatedColumnFormula>CONCATENATE(D2," ",E2)</calculatedColumnFormula>
    </tableColumn>
    <tableColumn id="4" name="Course ID" dataDxfId="15"/>
    <tableColumn id="5" name="Session ID" dataDxfId="14"/>
    <tableColumn id="6" name="Level" dataDxfId="13"/>
    <tableColumn id="7" name="Pre-req 1" dataDxfId="12"/>
    <tableColumn id="8" name="SESSION_FLAG" dataDxfId="11">
      <calculatedColumnFormula>IF(COUNTIF(Course[Course ID],Course[[#This Row],[Course ID]])&gt;1,"S","")</calculatedColumnFormula>
    </tableColumn>
    <tableColumn id="9" name="Column1" dataDxfId="10"/>
    <tableColumn id="10" name="Column2" dataDxfId="9"/>
    <tableColumn id="11" name="Column3" dataDxfId="8"/>
    <tableColumn id="12" name="Column4" dataDxfId="7"/>
    <tableColumn id="13" name="Column5" dataDxfId="6"/>
    <tableColumn id="14" name="Column6" dataDxfId="5"/>
    <tableColumn id="15" name="Column7" dataDxfId="4"/>
    <tableColumn id="16" name="Column8" dataDxfId="3"/>
    <tableColumn id="17" name="ASSIGNED_FLAG"/>
    <tableColumn id="18" name="BLOCK_ASSIGNED"/>
    <tableColumn id="19" name="PROFESSOR" dataDxfId="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Block" displayName="Block" ref="A1:F45" totalsRowShown="0">
  <autoFilter ref="A1:F45"/>
  <tableColumns count="6">
    <tableColumn id="1" name="Block"/>
    <tableColumn id="2" name="Session"/>
    <tableColumn id="3" name="Level"/>
    <tableColumn id="4" name="TimeSlot"/>
    <tableColumn id="5" name="Start" dataDxfId="1"/>
    <tableColumn id="6" name="End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omments" Target="../comments2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7"/>
  <sheetViews>
    <sheetView showGridLines="0" workbookViewId="0"/>
  </sheetViews>
  <sheetFormatPr defaultRowHeight="14.4" x14ac:dyDescent="0.3"/>
  <sheetData>
    <row r="1" spans="1:1" x14ac:dyDescent="0.3">
      <c r="A1" s="44" t="s">
        <v>109</v>
      </c>
    </row>
    <row r="2" spans="1:1" x14ac:dyDescent="0.3">
      <c r="A2" s="45" t="s">
        <v>97</v>
      </c>
    </row>
    <row r="3" spans="1:1" x14ac:dyDescent="0.3">
      <c r="A3" s="45" t="s">
        <v>108</v>
      </c>
    </row>
    <row r="4" spans="1:1" x14ac:dyDescent="0.3">
      <c r="A4" s="45" t="s">
        <v>98</v>
      </c>
    </row>
    <row r="5" spans="1:1" x14ac:dyDescent="0.3">
      <c r="A5" s="45" t="s">
        <v>99</v>
      </c>
    </row>
    <row r="6" spans="1:1" x14ac:dyDescent="0.3">
      <c r="A6" s="45" t="s">
        <v>102</v>
      </c>
    </row>
    <row r="7" spans="1:1" x14ac:dyDescent="0.3">
      <c r="A7" s="46" t="s">
        <v>101</v>
      </c>
    </row>
    <row r="8" spans="1:1" x14ac:dyDescent="0.3">
      <c r="A8" s="47" t="s">
        <v>110</v>
      </c>
    </row>
    <row r="9" spans="1:1" x14ac:dyDescent="0.3">
      <c r="A9" s="45" t="s">
        <v>103</v>
      </c>
    </row>
    <row r="10" spans="1:1" x14ac:dyDescent="0.3">
      <c r="A10" s="46" t="s">
        <v>101</v>
      </c>
    </row>
    <row r="11" spans="1:1" x14ac:dyDescent="0.3">
      <c r="A11" s="47" t="s">
        <v>111</v>
      </c>
    </row>
    <row r="12" spans="1:1" x14ac:dyDescent="0.3">
      <c r="A12" s="47" t="s">
        <v>104</v>
      </c>
    </row>
    <row r="13" spans="1:1" x14ac:dyDescent="0.3">
      <c r="A13" s="47" t="s">
        <v>105</v>
      </c>
    </row>
    <row r="14" spans="1:1" x14ac:dyDescent="0.3">
      <c r="A14" s="45" t="s">
        <v>100</v>
      </c>
    </row>
    <row r="15" spans="1:1" x14ac:dyDescent="0.3">
      <c r="A15" s="45" t="s">
        <v>112</v>
      </c>
    </row>
    <row r="16" spans="1:1" x14ac:dyDescent="0.3">
      <c r="A16" s="45" t="s">
        <v>106</v>
      </c>
    </row>
    <row r="17" spans="1:1" x14ac:dyDescent="0.3">
      <c r="A17" s="45" t="s">
        <v>107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pane ySplit="1" topLeftCell="A2" activePane="bottomLeft" state="frozen"/>
      <selection pane="bottomLeft" activeCell="E11" sqref="E11"/>
    </sheetView>
  </sheetViews>
  <sheetFormatPr defaultColWidth="8.6640625" defaultRowHeight="14.4" x14ac:dyDescent="0.3"/>
  <cols>
    <col min="1" max="1" width="8.5546875" bestFit="1" customWidth="1"/>
    <col min="2" max="2" width="16" bestFit="1" customWidth="1"/>
    <col min="3" max="6" width="15.109375" bestFit="1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s="19" t="s">
        <v>10</v>
      </c>
      <c r="B2" s="19" t="s">
        <v>13</v>
      </c>
      <c r="C2" s="19" t="s">
        <v>67</v>
      </c>
      <c r="D2" s="19" t="s">
        <v>39</v>
      </c>
      <c r="E2" s="19" t="s">
        <v>40</v>
      </c>
      <c r="F2" s="19" t="s">
        <v>44</v>
      </c>
    </row>
    <row r="3" spans="1:6" x14ac:dyDescent="0.3">
      <c r="A3" s="19" t="s">
        <v>11</v>
      </c>
      <c r="B3" s="19" t="s">
        <v>13</v>
      </c>
      <c r="C3" s="19" t="s">
        <v>38</v>
      </c>
      <c r="D3" s="19" t="s">
        <v>39</v>
      </c>
      <c r="E3" s="19" t="s">
        <v>40</v>
      </c>
      <c r="F3" s="19"/>
    </row>
    <row r="4" spans="1:6" x14ac:dyDescent="0.3">
      <c r="A4" s="19" t="s">
        <v>12</v>
      </c>
      <c r="B4" s="19" t="s">
        <v>13</v>
      </c>
      <c r="C4" s="19" t="s">
        <v>41</v>
      </c>
      <c r="D4" s="19" t="s">
        <v>42</v>
      </c>
      <c r="E4" s="19" t="s">
        <v>43</v>
      </c>
      <c r="F4" s="19"/>
    </row>
  </sheetData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OFFSET(Input_Course!$C$1,1,0,COUNTA(Input_Course!$C:$C)-1,1)</xm:f>
          </x14:formula1>
          <xm:sqref>C1:F1048576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117"/>
  <sheetViews>
    <sheetView tabSelected="1" zoomScaleNormal="100" zoomScalePageLayoutView="115" workbookViewId="0">
      <pane ySplit="1" topLeftCell="A2" activePane="bottomLeft" state="frozen"/>
      <selection pane="bottomLeft" activeCell="H2" sqref="H2"/>
    </sheetView>
  </sheetViews>
  <sheetFormatPr defaultColWidth="8.6640625" defaultRowHeight="14.4" x14ac:dyDescent="0.3"/>
  <cols>
    <col min="1" max="1" width="15.5546875" style="2" customWidth="1"/>
    <col min="2" max="2" width="15.44140625" style="2" customWidth="1"/>
    <col min="3" max="3" width="18.6640625" style="2" customWidth="1"/>
    <col min="4" max="4" width="12" style="4" customWidth="1"/>
    <col min="5" max="5" width="13" style="2" customWidth="1"/>
    <col min="6" max="6" width="7.88671875" style="2" customWidth="1"/>
    <col min="7" max="7" width="11.33203125" style="2" customWidth="1"/>
    <col min="8" max="8" width="16" style="2" customWidth="1"/>
    <col min="9" max="15" width="11.109375" style="2" hidden="1" customWidth="1"/>
    <col min="16" max="16" width="11.109375" style="7" hidden="1" customWidth="1"/>
    <col min="17" max="17" width="17.44140625" customWidth="1"/>
    <col min="18" max="18" width="19.109375" bestFit="1" customWidth="1"/>
    <col min="19" max="19" width="13.33203125" style="2" customWidth="1"/>
    <col min="20" max="20" width="1.88671875" style="2" customWidth="1"/>
    <col min="21" max="25" width="8.6640625" style="2"/>
    <col min="26" max="26" width="9.44140625" style="2" customWidth="1"/>
    <col min="27" max="16384" width="8.6640625" style="2"/>
  </cols>
  <sheetData>
    <row r="1" spans="1:28" x14ac:dyDescent="0.3">
      <c r="A1" s="8" t="s">
        <v>32</v>
      </c>
      <c r="B1" s="8" t="s">
        <v>31</v>
      </c>
      <c r="C1" s="8" t="s">
        <v>36</v>
      </c>
      <c r="D1" s="9" t="s">
        <v>6</v>
      </c>
      <c r="E1" s="8" t="s">
        <v>7</v>
      </c>
      <c r="F1" s="8" t="s">
        <v>8</v>
      </c>
      <c r="G1" s="8" t="s">
        <v>9</v>
      </c>
      <c r="H1" s="8" t="s">
        <v>35</v>
      </c>
      <c r="I1" s="8" t="s">
        <v>59</v>
      </c>
      <c r="J1" s="8" t="s">
        <v>60</v>
      </c>
      <c r="K1" s="8" t="s">
        <v>61</v>
      </c>
      <c r="L1" s="8" t="s">
        <v>62</v>
      </c>
      <c r="M1" s="8" t="s">
        <v>63</v>
      </c>
      <c r="N1" s="8" t="s">
        <v>64</v>
      </c>
      <c r="O1" s="8" t="s">
        <v>65</v>
      </c>
      <c r="P1" s="8" t="s">
        <v>66</v>
      </c>
      <c r="Q1" t="s">
        <v>75</v>
      </c>
      <c r="R1" t="s">
        <v>76</v>
      </c>
      <c r="S1" s="12" t="s">
        <v>37</v>
      </c>
      <c r="Z1"/>
      <c r="AA1"/>
      <c r="AB1"/>
    </row>
    <row r="2" spans="1:28" x14ac:dyDescent="0.3">
      <c r="A2" s="11" t="b">
        <f t="shared" ref="A2:A8" si="0">IF(F2="G", TRUE,FALSE)</f>
        <v>0</v>
      </c>
      <c r="B2" s="11" t="b">
        <f t="shared" ref="B2:B8" si="1">IF(ISBLANK(G2),FALSE,TRUE)</f>
        <v>0</v>
      </c>
      <c r="C2" s="10" t="str">
        <f>CONCATENATE(D2," ",E2)</f>
        <v>FIN100 100</v>
      </c>
      <c r="D2" s="15" t="s">
        <v>33</v>
      </c>
      <c r="E2" s="15">
        <v>100</v>
      </c>
      <c r="F2" s="16" t="s">
        <v>15</v>
      </c>
      <c r="G2" s="16"/>
      <c r="H2" s="11" t="str">
        <f>IF(COUNTIF(Course[Course ID],Course[[#This Row],[Course ID]])&gt;1,"S","")</f>
        <v>S</v>
      </c>
      <c r="I2" s="10"/>
      <c r="J2" s="10"/>
      <c r="K2" s="10"/>
      <c r="L2" s="10"/>
      <c r="M2" s="10"/>
      <c r="N2" s="10"/>
      <c r="O2" s="10"/>
      <c r="P2" s="10"/>
      <c r="Q2" t="b">
        <v>1</v>
      </c>
      <c r="R2">
        <v>2</v>
      </c>
      <c r="S2" s="10" t="s">
        <v>11</v>
      </c>
      <c r="Z2" s="20"/>
      <c r="AA2"/>
      <c r="AB2"/>
    </row>
    <row r="3" spans="1:28" x14ac:dyDescent="0.3">
      <c r="A3" s="11" t="b">
        <f t="shared" si="0"/>
        <v>0</v>
      </c>
      <c r="B3" s="11" t="b">
        <f t="shared" si="1"/>
        <v>0</v>
      </c>
      <c r="C3" s="10" t="str">
        <f t="shared" ref="C3:C7" si="2">CONCATENATE(D3," ",E3)</f>
        <v>FIN100 200</v>
      </c>
      <c r="D3" s="15" t="s">
        <v>33</v>
      </c>
      <c r="E3" s="15">
        <v>200</v>
      </c>
      <c r="F3" s="16" t="s">
        <v>15</v>
      </c>
      <c r="G3" s="16"/>
      <c r="H3" s="11" t="str">
        <f>IF(COUNTIF(Course[Course ID],Course[[#This Row],[Course ID]])&gt;1,"S","")</f>
        <v>S</v>
      </c>
      <c r="I3" s="10"/>
      <c r="J3" s="10"/>
      <c r="K3" s="10"/>
      <c r="L3" s="10"/>
      <c r="M3" s="10"/>
      <c r="N3" s="10"/>
      <c r="O3" s="10"/>
      <c r="P3" s="10"/>
      <c r="Q3" t="b">
        <v>1</v>
      </c>
      <c r="R3">
        <v>19</v>
      </c>
      <c r="S3" s="10" t="s">
        <v>11</v>
      </c>
      <c r="Z3" s="20"/>
      <c r="AA3"/>
      <c r="AB3"/>
    </row>
    <row r="4" spans="1:28" x14ac:dyDescent="0.3">
      <c r="A4" s="11" t="b">
        <f t="shared" si="0"/>
        <v>0</v>
      </c>
      <c r="B4" s="11" t="b">
        <f t="shared" si="1"/>
        <v>0</v>
      </c>
      <c r="C4" s="10" t="str">
        <f t="shared" si="2"/>
        <v>FIN100 300</v>
      </c>
      <c r="D4" s="15" t="s">
        <v>33</v>
      </c>
      <c r="E4" s="15">
        <v>300</v>
      </c>
      <c r="F4" s="16" t="s">
        <v>15</v>
      </c>
      <c r="G4" s="16"/>
      <c r="H4" s="11" t="str">
        <f>IF(COUNTIF(Course[Course ID],Course[[#This Row],[Course ID]])&gt;1,"S","")</f>
        <v>S</v>
      </c>
      <c r="I4" s="10"/>
      <c r="J4" s="10"/>
      <c r="K4" s="10"/>
      <c r="L4" s="10"/>
      <c r="M4" s="10"/>
      <c r="N4" s="10"/>
      <c r="O4" s="10"/>
      <c r="P4" s="10"/>
      <c r="Q4" t="b">
        <v>1</v>
      </c>
      <c r="R4">
        <v>12</v>
      </c>
      <c r="S4" s="10" t="s">
        <v>11</v>
      </c>
      <c r="Z4" s="20"/>
      <c r="AA4"/>
      <c r="AB4"/>
    </row>
    <row r="5" spans="1:28" x14ac:dyDescent="0.3">
      <c r="A5" s="11" t="b">
        <f t="shared" si="0"/>
        <v>1</v>
      </c>
      <c r="B5" s="11" t="b">
        <f t="shared" si="1"/>
        <v>0</v>
      </c>
      <c r="C5" s="10" t="str">
        <f t="shared" si="2"/>
        <v>FIN200 100</v>
      </c>
      <c r="D5" s="15" t="s">
        <v>34</v>
      </c>
      <c r="E5" s="15">
        <v>100</v>
      </c>
      <c r="F5" s="16" t="s">
        <v>16</v>
      </c>
      <c r="G5" s="16"/>
      <c r="H5" s="11" t="str">
        <f>IF(COUNTIF(Course[Course ID],Course[[#This Row],[Course ID]])&gt;1,"S","")</f>
        <v>S</v>
      </c>
      <c r="I5" s="10"/>
      <c r="J5" s="10"/>
      <c r="K5" s="10"/>
      <c r="L5" s="10"/>
      <c r="M5" s="10"/>
      <c r="N5" s="10"/>
      <c r="O5" s="10"/>
      <c r="P5" s="10"/>
      <c r="Q5" t="b">
        <v>1</v>
      </c>
      <c r="R5">
        <v>21</v>
      </c>
      <c r="S5" s="10" t="s">
        <v>12</v>
      </c>
      <c r="Z5"/>
      <c r="AA5"/>
      <c r="AB5"/>
    </row>
    <row r="6" spans="1:28" x14ac:dyDescent="0.3">
      <c r="A6" s="11" t="b">
        <f t="shared" si="0"/>
        <v>1</v>
      </c>
      <c r="B6" s="11" t="b">
        <f t="shared" si="1"/>
        <v>0</v>
      </c>
      <c r="C6" s="10" t="str">
        <f t="shared" si="2"/>
        <v>FIN200 200</v>
      </c>
      <c r="D6" s="15" t="s">
        <v>34</v>
      </c>
      <c r="E6" s="15">
        <v>200</v>
      </c>
      <c r="F6" s="16" t="s">
        <v>16</v>
      </c>
      <c r="G6" s="16"/>
      <c r="H6" s="11" t="str">
        <f>IF(COUNTIF(Course[Course ID],Course[[#This Row],[Course ID]])&gt;1,"S","")</f>
        <v>S</v>
      </c>
      <c r="I6" s="10"/>
      <c r="J6" s="10"/>
      <c r="K6" s="10"/>
      <c r="L6" s="10"/>
      <c r="M6" s="10"/>
      <c r="N6" s="10"/>
      <c r="O6" s="10"/>
      <c r="P6" s="10"/>
      <c r="Q6" t="b">
        <v>1</v>
      </c>
      <c r="R6">
        <v>22</v>
      </c>
      <c r="S6" s="10" t="s">
        <v>12</v>
      </c>
      <c r="Z6"/>
      <c r="AA6"/>
      <c r="AB6"/>
    </row>
    <row r="7" spans="1:28" x14ac:dyDescent="0.3">
      <c r="A7" s="11" t="b">
        <f t="shared" si="0"/>
        <v>1</v>
      </c>
      <c r="B7" s="11" t="b">
        <f t="shared" si="1"/>
        <v>0</v>
      </c>
      <c r="C7" s="10" t="str">
        <f t="shared" si="2"/>
        <v>FIN200 300</v>
      </c>
      <c r="D7" s="15" t="s">
        <v>34</v>
      </c>
      <c r="E7" s="15">
        <v>300</v>
      </c>
      <c r="F7" s="16" t="s">
        <v>16</v>
      </c>
      <c r="G7" s="16"/>
      <c r="H7" s="11" t="str">
        <f>IF(COUNTIF(Course[Course ID],Course[[#This Row],[Course ID]])&gt;1,"S","")</f>
        <v>S</v>
      </c>
      <c r="I7" s="10"/>
      <c r="J7" s="10"/>
      <c r="K7" s="10"/>
      <c r="L7" s="10"/>
      <c r="M7" s="10"/>
      <c r="N7" s="10"/>
      <c r="O7" s="10"/>
      <c r="P7" s="10"/>
      <c r="Q7" t="b">
        <v>1</v>
      </c>
      <c r="R7">
        <v>23</v>
      </c>
      <c r="S7" s="10" t="s">
        <v>12</v>
      </c>
      <c r="Z7"/>
      <c r="AA7"/>
      <c r="AB7"/>
    </row>
    <row r="8" spans="1:28" s="3" customFormat="1" x14ac:dyDescent="0.3">
      <c r="A8" s="13" t="b">
        <f t="shared" si="0"/>
        <v>1</v>
      </c>
      <c r="B8" s="13" t="b">
        <f t="shared" si="1"/>
        <v>1</v>
      </c>
      <c r="C8" s="14" t="str">
        <f>CONCATENATE(D8," ",E8)</f>
        <v>FIN300 100</v>
      </c>
      <c r="D8" s="17" t="s">
        <v>68</v>
      </c>
      <c r="E8" s="17">
        <v>100</v>
      </c>
      <c r="F8" s="18" t="s">
        <v>16</v>
      </c>
      <c r="G8" s="18" t="s">
        <v>34</v>
      </c>
      <c r="H8" s="13" t="str">
        <f>IF(COUNTIF(Course[Course ID],Course[[#This Row],[Course ID]])&gt;1,"S","")</f>
        <v/>
      </c>
      <c r="I8" s="14"/>
      <c r="J8" s="14"/>
      <c r="K8" s="14"/>
      <c r="L8" s="14"/>
      <c r="M8" s="14"/>
      <c r="N8" s="14"/>
      <c r="O8" s="14"/>
      <c r="P8" s="14"/>
      <c r="Q8" t="b">
        <v>1</v>
      </c>
      <c r="R8">
        <v>24</v>
      </c>
      <c r="S8" s="14" t="s">
        <v>10</v>
      </c>
      <c r="Z8"/>
      <c r="AA8"/>
      <c r="AB8"/>
    </row>
    <row r="9" spans="1:28" s="3" customFormat="1" x14ac:dyDescent="0.3">
      <c r="D9" s="5"/>
      <c r="Q9"/>
      <c r="R9"/>
      <c r="Z9"/>
      <c r="AA9"/>
      <c r="AB9"/>
    </row>
    <row r="10" spans="1:28" x14ac:dyDescent="0.3">
      <c r="Z10"/>
      <c r="AA10"/>
      <c r="AB10"/>
    </row>
    <row r="11" spans="1:28" s="3" customFormat="1" x14ac:dyDescent="0.3">
      <c r="D11" s="5"/>
      <c r="Q11"/>
      <c r="R11"/>
      <c r="Z11"/>
      <c r="AA11"/>
      <c r="AB11"/>
    </row>
    <row r="12" spans="1:28" s="3" customFormat="1" x14ac:dyDescent="0.3">
      <c r="D12" s="5"/>
      <c r="Q12"/>
      <c r="R12"/>
      <c r="Z12"/>
      <c r="AA12"/>
      <c r="AB12"/>
    </row>
    <row r="13" spans="1:28" x14ac:dyDescent="0.3">
      <c r="Z13"/>
      <c r="AA13"/>
      <c r="AB13"/>
    </row>
    <row r="14" spans="1:28" x14ac:dyDescent="0.3">
      <c r="Z14"/>
      <c r="AA14"/>
      <c r="AB14"/>
    </row>
    <row r="15" spans="1:28" s="3" customFormat="1" x14ac:dyDescent="0.3">
      <c r="D15" s="5"/>
      <c r="Q15"/>
      <c r="R15"/>
      <c r="Z15"/>
      <c r="AA15"/>
      <c r="AB15"/>
    </row>
    <row r="16" spans="1:28" s="3" customFormat="1" x14ac:dyDescent="0.3">
      <c r="D16" s="5"/>
      <c r="Q16"/>
      <c r="R16"/>
      <c r="Z16"/>
      <c r="AA16"/>
      <c r="AB16"/>
    </row>
    <row r="17" spans="26:28" x14ac:dyDescent="0.3">
      <c r="Z17"/>
      <c r="AA17"/>
      <c r="AB17"/>
    </row>
    <row r="18" spans="26:28" x14ac:dyDescent="0.3">
      <c r="Z18"/>
      <c r="AA18"/>
      <c r="AB18"/>
    </row>
    <row r="83" spans="5:7" x14ac:dyDescent="0.3">
      <c r="E83" s="4"/>
    </row>
    <row r="84" spans="5:7" x14ac:dyDescent="0.3">
      <c r="E84" s="4"/>
    </row>
    <row r="85" spans="5:7" x14ac:dyDescent="0.3">
      <c r="E85" s="4"/>
    </row>
    <row r="86" spans="5:7" x14ac:dyDescent="0.3">
      <c r="E86" s="4"/>
      <c r="G86" s="4"/>
    </row>
    <row r="87" spans="5:7" x14ac:dyDescent="0.3">
      <c r="E87" s="4"/>
      <c r="G87" s="4"/>
    </row>
    <row r="88" spans="5:7" x14ac:dyDescent="0.3">
      <c r="E88" s="4"/>
      <c r="G88" s="4"/>
    </row>
    <row r="89" spans="5:7" x14ac:dyDescent="0.3">
      <c r="E89" s="4"/>
    </row>
    <row r="90" spans="5:7" x14ac:dyDescent="0.3">
      <c r="E90" s="4"/>
    </row>
    <row r="91" spans="5:7" x14ac:dyDescent="0.3">
      <c r="E91" s="4"/>
    </row>
    <row r="102" spans="4:5" x14ac:dyDescent="0.3">
      <c r="E102" s="6"/>
    </row>
    <row r="103" spans="4:5" x14ac:dyDescent="0.3">
      <c r="E103" s="6"/>
    </row>
    <row r="104" spans="4:5" x14ac:dyDescent="0.3">
      <c r="D104" s="2"/>
    </row>
    <row r="105" spans="4:5" x14ac:dyDescent="0.3">
      <c r="D105" s="2"/>
    </row>
    <row r="106" spans="4:5" x14ac:dyDescent="0.3">
      <c r="D106" s="2"/>
    </row>
    <row r="107" spans="4:5" x14ac:dyDescent="0.3">
      <c r="D107" s="2"/>
    </row>
    <row r="108" spans="4:5" x14ac:dyDescent="0.3">
      <c r="D108" s="2"/>
    </row>
    <row r="109" spans="4:5" x14ac:dyDescent="0.3">
      <c r="D109" s="2"/>
    </row>
    <row r="110" spans="4:5" x14ac:dyDescent="0.3">
      <c r="D110" s="2"/>
    </row>
    <row r="111" spans="4:5" x14ac:dyDescent="0.3">
      <c r="D111" s="2"/>
    </row>
    <row r="112" spans="4:5" x14ac:dyDescent="0.3">
      <c r="D112" s="2"/>
    </row>
    <row r="113" spans="4:4" x14ac:dyDescent="0.3">
      <c r="D113" s="2"/>
    </row>
    <row r="114" spans="4:4" x14ac:dyDescent="0.3">
      <c r="D114" s="2"/>
    </row>
    <row r="115" spans="4:4" x14ac:dyDescent="0.3">
      <c r="D115" s="2"/>
    </row>
    <row r="116" spans="4:4" x14ac:dyDescent="0.3">
      <c r="D116" s="2"/>
    </row>
    <row r="117" spans="4:4" x14ac:dyDescent="0.3">
      <c r="D117" s="2"/>
    </row>
  </sheetData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3" name="Button 17">
              <controlPr defaultSize="0" print="0" autoFill="0" autoPict="0" macro="[0]!courseSolverMacro">
                <anchor moveWithCells="1" sizeWithCells="1">
                  <from>
                    <xdr:col>20</xdr:col>
                    <xdr:colOff>22860</xdr:colOff>
                    <xdr:row>2</xdr:row>
                    <xdr:rowOff>160020</xdr:rowOff>
                  </from>
                  <to>
                    <xdr:col>23</xdr:col>
                    <xdr:colOff>99060</xdr:colOff>
                    <xdr:row>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4" name="Button 18">
              <controlPr defaultSize="0" print="0" autoFill="0" autoPict="0" macro="[0]!AssignProfessor">
                <anchor moveWithCells="1">
                  <from>
                    <xdr:col>20</xdr:col>
                    <xdr:colOff>22860</xdr:colOff>
                    <xdr:row>1</xdr:row>
                    <xdr:rowOff>22860</xdr:rowOff>
                  </from>
                  <to>
                    <xdr:col>23</xdr:col>
                    <xdr:colOff>99060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45"/>
  <sheetViews>
    <sheetView workbookViewId="0">
      <pane ySplit="1" topLeftCell="A23" activePane="bottomLeft" state="frozen"/>
      <selection pane="bottomLeft" activeCell="F43" sqref="F43"/>
    </sheetView>
  </sheetViews>
  <sheetFormatPr defaultColWidth="8.6640625" defaultRowHeight="14.4" x14ac:dyDescent="0.3"/>
  <cols>
    <col min="1" max="1" width="7.88671875" customWidth="1"/>
    <col min="2" max="2" width="9.88671875" customWidth="1"/>
    <col min="4" max="4" width="11" customWidth="1"/>
  </cols>
  <sheetData>
    <row r="1" spans="1:20" x14ac:dyDescent="0.3">
      <c r="A1" t="s">
        <v>30</v>
      </c>
      <c r="B1" t="s">
        <v>14</v>
      </c>
      <c r="C1" t="s">
        <v>8</v>
      </c>
      <c r="D1" t="s">
        <v>25</v>
      </c>
      <c r="E1" t="s">
        <v>26</v>
      </c>
      <c r="F1" t="s">
        <v>27</v>
      </c>
      <c r="T1">
        <v>0</v>
      </c>
    </row>
    <row r="2" spans="1:20" x14ac:dyDescent="0.3">
      <c r="A2">
        <v>1</v>
      </c>
      <c r="B2" t="s">
        <v>17</v>
      </c>
      <c r="C2" t="s">
        <v>15</v>
      </c>
      <c r="D2" t="s">
        <v>19</v>
      </c>
      <c r="E2" s="1">
        <v>0.33333333333333331</v>
      </c>
      <c r="F2" s="1">
        <v>0.3888888888888889</v>
      </c>
    </row>
    <row r="3" spans="1:20" x14ac:dyDescent="0.3">
      <c r="A3">
        <v>1</v>
      </c>
      <c r="B3" t="s">
        <v>18</v>
      </c>
      <c r="C3" t="s">
        <v>15</v>
      </c>
      <c r="D3" t="s">
        <v>19</v>
      </c>
      <c r="E3" s="1">
        <v>0.33333333333333331</v>
      </c>
      <c r="F3" s="1">
        <v>0.3888888888888889</v>
      </c>
    </row>
    <row r="4" spans="1:20" x14ac:dyDescent="0.3">
      <c r="A4">
        <v>2</v>
      </c>
      <c r="B4" t="s">
        <v>17</v>
      </c>
      <c r="C4" t="s">
        <v>15</v>
      </c>
      <c r="D4" t="s">
        <v>19</v>
      </c>
      <c r="E4" s="1">
        <v>0.33333333333333331</v>
      </c>
      <c r="F4" s="1">
        <v>0.3888888888888889</v>
      </c>
    </row>
    <row r="5" spans="1:20" x14ac:dyDescent="0.3">
      <c r="A5">
        <v>2</v>
      </c>
      <c r="B5" t="s">
        <v>18</v>
      </c>
      <c r="C5" t="s">
        <v>15</v>
      </c>
      <c r="D5" t="s">
        <v>19</v>
      </c>
      <c r="E5" s="1">
        <v>0.33333333333333331</v>
      </c>
      <c r="F5" s="1">
        <v>0.3888888888888889</v>
      </c>
    </row>
    <row r="6" spans="1:20" x14ac:dyDescent="0.3">
      <c r="A6">
        <v>3</v>
      </c>
      <c r="B6" t="s">
        <v>17</v>
      </c>
      <c r="C6" t="s">
        <v>15</v>
      </c>
      <c r="D6" t="s">
        <v>19</v>
      </c>
      <c r="E6" s="1">
        <v>0.33333333333333331</v>
      </c>
      <c r="F6" s="1">
        <v>0.3888888888888889</v>
      </c>
    </row>
    <row r="7" spans="1:20" x14ac:dyDescent="0.3">
      <c r="A7">
        <v>3</v>
      </c>
      <c r="B7" t="s">
        <v>18</v>
      </c>
      <c r="C7" t="s">
        <v>15</v>
      </c>
      <c r="D7" t="s">
        <v>20</v>
      </c>
      <c r="E7" s="1">
        <v>0.39583333333333331</v>
      </c>
      <c r="F7" s="1">
        <v>0.4513888888888889</v>
      </c>
    </row>
    <row r="8" spans="1:20" x14ac:dyDescent="0.3">
      <c r="A8">
        <v>4</v>
      </c>
      <c r="B8" t="s">
        <v>17</v>
      </c>
      <c r="C8" t="s">
        <v>15</v>
      </c>
      <c r="D8" t="s">
        <v>20</v>
      </c>
      <c r="E8" s="1">
        <v>0.39583333333333331</v>
      </c>
      <c r="F8" s="1">
        <v>0.4513888888888889</v>
      </c>
    </row>
    <row r="9" spans="1:20" x14ac:dyDescent="0.3">
      <c r="A9">
        <v>4</v>
      </c>
      <c r="B9" t="s">
        <v>18</v>
      </c>
      <c r="C9" t="s">
        <v>15</v>
      </c>
      <c r="D9" t="s">
        <v>20</v>
      </c>
      <c r="E9" s="1">
        <v>0.39583333333333331</v>
      </c>
      <c r="F9" s="1">
        <v>0.4513888888888889</v>
      </c>
    </row>
    <row r="10" spans="1:20" x14ac:dyDescent="0.3">
      <c r="A10">
        <v>5</v>
      </c>
      <c r="B10" t="s">
        <v>17</v>
      </c>
      <c r="C10" t="s">
        <v>15</v>
      </c>
      <c r="D10" t="s">
        <v>20</v>
      </c>
      <c r="E10" s="1">
        <v>0.39583333333333331</v>
      </c>
      <c r="F10" s="1">
        <v>0.4513888888888889</v>
      </c>
    </row>
    <row r="11" spans="1:20" x14ac:dyDescent="0.3">
      <c r="A11">
        <v>5</v>
      </c>
      <c r="B11" t="s">
        <v>18</v>
      </c>
      <c r="C11" t="s">
        <v>15</v>
      </c>
      <c r="D11" t="s">
        <v>20</v>
      </c>
      <c r="E11" s="1">
        <v>0.39583333333333331</v>
      </c>
      <c r="F11" s="1">
        <v>0.4513888888888889</v>
      </c>
    </row>
    <row r="12" spans="1:20" x14ac:dyDescent="0.3">
      <c r="A12">
        <v>6</v>
      </c>
      <c r="B12" t="s">
        <v>17</v>
      </c>
      <c r="C12" t="s">
        <v>15</v>
      </c>
      <c r="D12" t="s">
        <v>21</v>
      </c>
      <c r="E12" s="1">
        <v>0.45833333333333331</v>
      </c>
      <c r="F12" s="1">
        <v>0.51388888888888895</v>
      </c>
    </row>
    <row r="13" spans="1:20" x14ac:dyDescent="0.3">
      <c r="A13">
        <v>6</v>
      </c>
      <c r="B13" t="s">
        <v>18</v>
      </c>
      <c r="C13" t="s">
        <v>15</v>
      </c>
      <c r="D13" t="s">
        <v>21</v>
      </c>
      <c r="E13" s="1">
        <v>0.45833333333333331</v>
      </c>
      <c r="F13" s="1">
        <v>0.51388888888888895</v>
      </c>
    </row>
    <row r="14" spans="1:20" x14ac:dyDescent="0.3">
      <c r="A14">
        <v>7</v>
      </c>
      <c r="B14" t="s">
        <v>17</v>
      </c>
      <c r="C14" t="s">
        <v>15</v>
      </c>
      <c r="D14" t="s">
        <v>21</v>
      </c>
      <c r="E14" s="1">
        <v>0.45833333333333331</v>
      </c>
      <c r="F14" s="1">
        <v>0.51388888888888895</v>
      </c>
    </row>
    <row r="15" spans="1:20" x14ac:dyDescent="0.3">
      <c r="A15">
        <v>7</v>
      </c>
      <c r="B15" t="s">
        <v>18</v>
      </c>
      <c r="C15" t="s">
        <v>15</v>
      </c>
      <c r="D15" t="s">
        <v>21</v>
      </c>
      <c r="E15" s="1">
        <v>0.45833333333333331</v>
      </c>
      <c r="F15" s="1">
        <v>0.51388888888888895</v>
      </c>
    </row>
    <row r="16" spans="1:20" x14ac:dyDescent="0.3">
      <c r="A16">
        <v>8</v>
      </c>
      <c r="B16" t="s">
        <v>17</v>
      </c>
      <c r="C16" t="s">
        <v>15</v>
      </c>
      <c r="D16" t="s">
        <v>22</v>
      </c>
      <c r="E16" s="1">
        <v>0.52083333333333337</v>
      </c>
      <c r="F16" s="1">
        <v>0.57638888888888895</v>
      </c>
    </row>
    <row r="17" spans="1:6" x14ac:dyDescent="0.3">
      <c r="A17">
        <v>8</v>
      </c>
      <c r="B17" t="s">
        <v>18</v>
      </c>
      <c r="C17" t="s">
        <v>15</v>
      </c>
      <c r="D17" t="s">
        <v>22</v>
      </c>
      <c r="E17" s="1">
        <v>0.52083333333333337</v>
      </c>
      <c r="F17" s="1">
        <v>0.57638888888888895</v>
      </c>
    </row>
    <row r="18" spans="1:6" x14ac:dyDescent="0.3">
      <c r="A18">
        <v>9</v>
      </c>
      <c r="B18" t="s">
        <v>17</v>
      </c>
      <c r="C18" t="s">
        <v>15</v>
      </c>
      <c r="D18" t="s">
        <v>22</v>
      </c>
      <c r="E18" s="1">
        <v>0.52083333333333337</v>
      </c>
      <c r="F18" s="1">
        <v>0.57638888888888895</v>
      </c>
    </row>
    <row r="19" spans="1:6" x14ac:dyDescent="0.3">
      <c r="A19">
        <v>9</v>
      </c>
      <c r="B19" t="s">
        <v>18</v>
      </c>
      <c r="C19" t="s">
        <v>15</v>
      </c>
      <c r="D19" t="s">
        <v>22</v>
      </c>
      <c r="E19" s="1">
        <v>0.52083333333333337</v>
      </c>
      <c r="F19" s="1">
        <v>0.57638888888888895</v>
      </c>
    </row>
    <row r="20" spans="1:6" x14ac:dyDescent="0.3">
      <c r="A20">
        <v>10</v>
      </c>
      <c r="B20" t="s">
        <v>17</v>
      </c>
      <c r="C20" t="s">
        <v>15</v>
      </c>
      <c r="D20" t="s">
        <v>21</v>
      </c>
      <c r="E20" s="1">
        <v>0.45833333333333331</v>
      </c>
      <c r="F20" s="1">
        <v>0.51388888888888895</v>
      </c>
    </row>
    <row r="21" spans="1:6" x14ac:dyDescent="0.3">
      <c r="A21">
        <v>10</v>
      </c>
      <c r="B21" t="s">
        <v>18</v>
      </c>
      <c r="C21" t="s">
        <v>15</v>
      </c>
      <c r="D21" t="s">
        <v>22</v>
      </c>
      <c r="E21" s="1">
        <v>0.52083333333333337</v>
      </c>
      <c r="F21" s="1">
        <v>0.57638888888888895</v>
      </c>
    </row>
    <row r="22" spans="1:6" x14ac:dyDescent="0.3">
      <c r="A22">
        <v>11</v>
      </c>
      <c r="B22" t="s">
        <v>17</v>
      </c>
      <c r="C22" t="s">
        <v>15</v>
      </c>
      <c r="D22" t="s">
        <v>23</v>
      </c>
      <c r="E22" s="1">
        <v>0.58333333333333337</v>
      </c>
      <c r="F22" s="1">
        <v>0.55555555555555558</v>
      </c>
    </row>
    <row r="23" spans="1:6" x14ac:dyDescent="0.3">
      <c r="A23">
        <v>11</v>
      </c>
      <c r="B23" t="s">
        <v>18</v>
      </c>
      <c r="C23" t="s">
        <v>15</v>
      </c>
      <c r="D23" t="s">
        <v>23</v>
      </c>
      <c r="E23" s="1">
        <v>0.58333333333333337</v>
      </c>
      <c r="F23" s="1">
        <v>0.55555555555555558</v>
      </c>
    </row>
    <row r="24" spans="1:6" x14ac:dyDescent="0.3">
      <c r="A24">
        <v>12</v>
      </c>
      <c r="B24" t="s">
        <v>17</v>
      </c>
      <c r="C24" t="s">
        <v>15</v>
      </c>
      <c r="D24" t="s">
        <v>13</v>
      </c>
      <c r="E24" s="1">
        <v>0.64583333333333337</v>
      </c>
      <c r="F24" s="1">
        <v>0.70138888888888884</v>
      </c>
    </row>
    <row r="25" spans="1:6" x14ac:dyDescent="0.3">
      <c r="A25">
        <v>12</v>
      </c>
      <c r="B25" t="s">
        <v>18</v>
      </c>
      <c r="C25" t="s">
        <v>15</v>
      </c>
      <c r="D25" t="s">
        <v>13</v>
      </c>
      <c r="E25" s="1">
        <v>0.64583333333333337</v>
      </c>
      <c r="F25" s="1">
        <v>0.70138888888888884</v>
      </c>
    </row>
    <row r="26" spans="1:6" x14ac:dyDescent="0.3">
      <c r="A26">
        <v>13</v>
      </c>
      <c r="B26" t="s">
        <v>17</v>
      </c>
      <c r="C26" t="s">
        <v>15</v>
      </c>
      <c r="D26" t="s">
        <v>13</v>
      </c>
      <c r="E26" s="1">
        <v>0.64583333333333337</v>
      </c>
      <c r="F26" s="1">
        <v>0.70138888888888884</v>
      </c>
    </row>
    <row r="27" spans="1:6" x14ac:dyDescent="0.3">
      <c r="A27">
        <v>13</v>
      </c>
      <c r="B27" t="s">
        <v>18</v>
      </c>
      <c r="C27" t="s">
        <v>15</v>
      </c>
      <c r="D27" t="s">
        <v>13</v>
      </c>
      <c r="E27" s="1">
        <v>0.64583333333333337</v>
      </c>
      <c r="F27" s="1">
        <v>0.70138888888888884</v>
      </c>
    </row>
    <row r="28" spans="1:6" x14ac:dyDescent="0.3">
      <c r="A28">
        <v>14</v>
      </c>
      <c r="B28" t="s">
        <v>17</v>
      </c>
      <c r="C28" t="s">
        <v>15</v>
      </c>
      <c r="D28" t="s">
        <v>16</v>
      </c>
      <c r="E28" s="1">
        <v>0.70833333333333337</v>
      </c>
      <c r="F28" s="1">
        <v>0.76388888888888884</v>
      </c>
    </row>
    <row r="29" spans="1:6" x14ac:dyDescent="0.3">
      <c r="A29">
        <v>14</v>
      </c>
      <c r="B29" t="s">
        <v>18</v>
      </c>
      <c r="C29" t="s">
        <v>15</v>
      </c>
      <c r="D29" t="s">
        <v>16</v>
      </c>
      <c r="E29" s="1">
        <v>0.70833333333333337</v>
      </c>
      <c r="F29" s="1">
        <v>0.76388888888888884</v>
      </c>
    </row>
    <row r="30" spans="1:6" x14ac:dyDescent="0.3">
      <c r="A30">
        <v>15</v>
      </c>
      <c r="B30" t="s">
        <v>17</v>
      </c>
      <c r="C30" t="s">
        <v>15</v>
      </c>
      <c r="D30" t="s">
        <v>16</v>
      </c>
      <c r="E30" s="1">
        <v>0.70833333333333337</v>
      </c>
      <c r="F30" s="1">
        <v>0.76388888888888884</v>
      </c>
    </row>
    <row r="31" spans="1:6" x14ac:dyDescent="0.3">
      <c r="A31">
        <v>15</v>
      </c>
      <c r="B31" t="s">
        <v>18</v>
      </c>
      <c r="C31" t="s">
        <v>15</v>
      </c>
      <c r="D31" t="s">
        <v>16</v>
      </c>
      <c r="E31" s="1">
        <v>0.70833333333333337</v>
      </c>
      <c r="F31" s="1">
        <v>0.76388888888888884</v>
      </c>
    </row>
    <row r="32" spans="1:6" x14ac:dyDescent="0.3">
      <c r="A32">
        <v>16</v>
      </c>
      <c r="B32" t="s">
        <v>17</v>
      </c>
      <c r="C32" t="s">
        <v>15</v>
      </c>
      <c r="D32" t="s">
        <v>23</v>
      </c>
      <c r="E32" s="1">
        <v>0.58333333333333337</v>
      </c>
      <c r="F32" s="1">
        <v>0.55555555555555558</v>
      </c>
    </row>
    <row r="33" spans="1:6" x14ac:dyDescent="0.3">
      <c r="A33">
        <v>16</v>
      </c>
      <c r="B33" t="s">
        <v>18</v>
      </c>
      <c r="C33" t="s">
        <v>15</v>
      </c>
      <c r="D33" t="s">
        <v>13</v>
      </c>
      <c r="E33" s="1">
        <v>0.64583333333333337</v>
      </c>
      <c r="F33" s="1">
        <v>0.70138888888888884</v>
      </c>
    </row>
    <row r="34" spans="1:6" x14ac:dyDescent="0.3">
      <c r="A34">
        <v>17</v>
      </c>
      <c r="B34" t="s">
        <v>17</v>
      </c>
      <c r="C34" t="s">
        <v>15</v>
      </c>
      <c r="D34" t="s">
        <v>24</v>
      </c>
      <c r="E34" s="1">
        <v>0.70833333333333337</v>
      </c>
      <c r="F34" s="1">
        <v>0.76388888888888884</v>
      </c>
    </row>
    <row r="35" spans="1:6" x14ac:dyDescent="0.3">
      <c r="A35">
        <v>18</v>
      </c>
      <c r="B35" t="s">
        <v>17</v>
      </c>
      <c r="C35" t="s">
        <v>15</v>
      </c>
      <c r="D35" t="s">
        <v>24</v>
      </c>
      <c r="E35" s="1">
        <v>0.70833333333333337</v>
      </c>
      <c r="F35" s="1">
        <v>0.76388888888888884</v>
      </c>
    </row>
    <row r="36" spans="1:6" x14ac:dyDescent="0.3">
      <c r="A36">
        <v>19</v>
      </c>
      <c r="B36" t="s">
        <v>17</v>
      </c>
      <c r="C36" t="s">
        <v>15</v>
      </c>
      <c r="D36" t="s">
        <v>24</v>
      </c>
      <c r="E36" s="1">
        <v>0.70833333333333337</v>
      </c>
      <c r="F36" s="1">
        <v>0.76388888888888884</v>
      </c>
    </row>
    <row r="37" spans="1:6" x14ac:dyDescent="0.3">
      <c r="A37">
        <v>20</v>
      </c>
      <c r="B37" t="s">
        <v>17</v>
      </c>
      <c r="C37" t="s">
        <v>15</v>
      </c>
      <c r="D37" t="s">
        <v>24</v>
      </c>
      <c r="E37" s="1">
        <v>0.70833333333333337</v>
      </c>
      <c r="F37" s="1">
        <v>0.76388888888888884</v>
      </c>
    </row>
    <row r="38" spans="1:6" x14ac:dyDescent="0.3">
      <c r="A38">
        <v>21</v>
      </c>
      <c r="B38" t="s">
        <v>17</v>
      </c>
      <c r="C38" t="s">
        <v>16</v>
      </c>
      <c r="D38" t="s">
        <v>28</v>
      </c>
      <c r="E38" s="1">
        <v>0.70833333333333337</v>
      </c>
      <c r="F38" s="1">
        <v>0.80555555555555547</v>
      </c>
    </row>
    <row r="39" spans="1:6" x14ac:dyDescent="0.3">
      <c r="A39">
        <v>22</v>
      </c>
      <c r="B39" t="s">
        <v>17</v>
      </c>
      <c r="C39" t="s">
        <v>16</v>
      </c>
      <c r="D39" t="s">
        <v>28</v>
      </c>
      <c r="E39" s="1">
        <v>0.70833333333333337</v>
      </c>
      <c r="F39" s="1">
        <v>0.80555555555555547</v>
      </c>
    </row>
    <row r="40" spans="1:6" x14ac:dyDescent="0.3">
      <c r="A40">
        <v>23</v>
      </c>
      <c r="B40" t="s">
        <v>17</v>
      </c>
      <c r="C40" t="s">
        <v>16</v>
      </c>
      <c r="D40" t="s">
        <v>28</v>
      </c>
      <c r="E40" s="1">
        <v>0.70833333333333337</v>
      </c>
      <c r="F40" s="1">
        <v>0.80555555555555547</v>
      </c>
    </row>
    <row r="41" spans="1:6" x14ac:dyDescent="0.3">
      <c r="A41">
        <v>24</v>
      </c>
      <c r="B41" t="s">
        <v>17</v>
      </c>
      <c r="C41" t="s">
        <v>16</v>
      </c>
      <c r="D41" t="s">
        <v>28</v>
      </c>
      <c r="E41" s="1">
        <v>0.70833333333333337</v>
      </c>
      <c r="F41" s="1">
        <v>0.80555555555555547</v>
      </c>
    </row>
    <row r="42" spans="1:6" x14ac:dyDescent="0.3">
      <c r="A42">
        <v>25</v>
      </c>
      <c r="B42" t="s">
        <v>17</v>
      </c>
      <c r="C42" t="s">
        <v>16</v>
      </c>
      <c r="D42" t="s">
        <v>29</v>
      </c>
      <c r="E42" s="1">
        <v>0.8125</v>
      </c>
      <c r="F42" s="1">
        <v>0.90972222222222221</v>
      </c>
    </row>
    <row r="43" spans="1:6" x14ac:dyDescent="0.3">
      <c r="A43">
        <v>26</v>
      </c>
      <c r="B43" t="s">
        <v>17</v>
      </c>
      <c r="C43" t="s">
        <v>16</v>
      </c>
      <c r="D43" t="s">
        <v>29</v>
      </c>
      <c r="E43" s="1">
        <v>0.8125</v>
      </c>
      <c r="F43" s="1">
        <v>0.90972222222222221</v>
      </c>
    </row>
    <row r="44" spans="1:6" x14ac:dyDescent="0.3">
      <c r="A44">
        <v>27</v>
      </c>
      <c r="B44" t="s">
        <v>17</v>
      </c>
      <c r="C44" t="s">
        <v>16</v>
      </c>
      <c r="D44" t="s">
        <v>29</v>
      </c>
      <c r="E44" s="1">
        <v>0.8125</v>
      </c>
      <c r="F44" s="1">
        <v>0.90972222222222221</v>
      </c>
    </row>
    <row r="45" spans="1:6" x14ac:dyDescent="0.3">
      <c r="A45">
        <v>28</v>
      </c>
      <c r="B45" t="s">
        <v>17</v>
      </c>
      <c r="C45" t="s">
        <v>16</v>
      </c>
      <c r="D45" t="s">
        <v>29</v>
      </c>
      <c r="E45" s="1">
        <v>0.8125</v>
      </c>
      <c r="F45" s="1">
        <v>0.90972222222222221</v>
      </c>
    </row>
  </sheetData>
  <pageMargins left="0.7" right="0.7" top="0.75" bottom="0.75" header="0.3" footer="0.3"/>
  <pageSetup orientation="portrait" horizontalDpi="4294967292" verticalDpi="4294967292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2"/>
  <sheetViews>
    <sheetView zoomScale="70" zoomScaleNormal="70" workbookViewId="0">
      <selection activeCell="M29" sqref="M29"/>
    </sheetView>
  </sheetViews>
  <sheetFormatPr defaultColWidth="8.6640625" defaultRowHeight="14.4" x14ac:dyDescent="0.3"/>
  <cols>
    <col min="1" max="1" width="13" bestFit="1" customWidth="1"/>
    <col min="2" max="2" width="17.109375" bestFit="1" customWidth="1"/>
    <col min="3" max="4" width="18.5546875" bestFit="1" customWidth="1"/>
    <col min="5" max="5" width="17.44140625" bestFit="1" customWidth="1"/>
    <col min="6" max="6" width="17.44140625" customWidth="1"/>
  </cols>
  <sheetData>
    <row r="1" spans="1:6" ht="15" thickBot="1" x14ac:dyDescent="0.35">
      <c r="A1" s="48" t="s">
        <v>69</v>
      </c>
      <c r="B1" s="48"/>
      <c r="C1" s="48"/>
      <c r="D1" s="48"/>
      <c r="E1" s="48"/>
      <c r="F1" s="48"/>
    </row>
    <row r="2" spans="1:6" x14ac:dyDescent="0.3">
      <c r="A2" s="37"/>
      <c r="B2" s="38" t="s">
        <v>70</v>
      </c>
      <c r="C2" s="39" t="s">
        <v>71</v>
      </c>
      <c r="D2" s="38" t="s">
        <v>72</v>
      </c>
      <c r="E2" s="39" t="s">
        <v>73</v>
      </c>
      <c r="F2" s="40" t="s">
        <v>74</v>
      </c>
    </row>
    <row r="3" spans="1:6" x14ac:dyDescent="0.3">
      <c r="A3" s="41" t="s">
        <v>79</v>
      </c>
      <c r="B3" s="21">
        <v>1</v>
      </c>
      <c r="C3" s="22">
        <v>2</v>
      </c>
      <c r="D3" s="21">
        <v>1</v>
      </c>
      <c r="E3" s="22">
        <v>3</v>
      </c>
      <c r="F3" s="23">
        <v>2</v>
      </c>
    </row>
    <row r="4" spans="1:6" x14ac:dyDescent="0.3">
      <c r="A4" s="41" t="s">
        <v>19</v>
      </c>
      <c r="B4" s="21" t="s">
        <v>89</v>
      </c>
      <c r="C4" s="22" t="s">
        <v>90</v>
      </c>
      <c r="D4" s="21" t="s">
        <v>89</v>
      </c>
      <c r="E4" s="22" t="s">
        <v>91</v>
      </c>
      <c r="F4" s="23" t="s">
        <v>90</v>
      </c>
    </row>
    <row r="5" spans="1:6" x14ac:dyDescent="0.3">
      <c r="A5" s="42"/>
      <c r="B5" s="24"/>
      <c r="C5" s="25"/>
      <c r="D5" s="24"/>
      <c r="E5" s="25"/>
      <c r="F5" s="26"/>
    </row>
    <row r="6" spans="1:6" x14ac:dyDescent="0.3">
      <c r="A6" s="41" t="s">
        <v>80</v>
      </c>
      <c r="B6" s="21">
        <v>4</v>
      </c>
      <c r="C6" s="22">
        <v>5</v>
      </c>
      <c r="D6" s="21">
        <v>4</v>
      </c>
      <c r="E6" s="27">
        <v>3</v>
      </c>
      <c r="F6" s="23">
        <v>5</v>
      </c>
    </row>
    <row r="7" spans="1:6" x14ac:dyDescent="0.3">
      <c r="A7" s="41" t="s">
        <v>20</v>
      </c>
      <c r="B7" s="21"/>
      <c r="C7" s="22"/>
      <c r="D7" s="21"/>
      <c r="E7" s="22"/>
      <c r="F7" s="23"/>
    </row>
    <row r="8" spans="1:6" x14ac:dyDescent="0.3">
      <c r="A8" s="42"/>
      <c r="B8" s="24"/>
      <c r="C8" s="25"/>
      <c r="D8" s="24"/>
      <c r="E8" s="25"/>
      <c r="F8" s="26"/>
    </row>
    <row r="9" spans="1:6" x14ac:dyDescent="0.3">
      <c r="A9" s="41" t="s">
        <v>81</v>
      </c>
      <c r="B9" s="21">
        <v>6</v>
      </c>
      <c r="C9" s="22">
        <v>7</v>
      </c>
      <c r="D9" s="21">
        <v>10</v>
      </c>
      <c r="E9" s="27">
        <v>6</v>
      </c>
      <c r="F9" s="23">
        <v>7</v>
      </c>
    </row>
    <row r="10" spans="1:6" x14ac:dyDescent="0.3">
      <c r="A10" s="41" t="s">
        <v>21</v>
      </c>
      <c r="B10" s="21"/>
      <c r="C10" s="22"/>
      <c r="D10" s="21"/>
      <c r="E10" s="22"/>
      <c r="F10" s="23"/>
    </row>
    <row r="11" spans="1:6" x14ac:dyDescent="0.3">
      <c r="A11" s="42"/>
      <c r="B11" s="24"/>
      <c r="C11" s="25"/>
      <c r="D11" s="24"/>
      <c r="E11" s="25"/>
      <c r="F11" s="26"/>
    </row>
    <row r="12" spans="1:6" x14ac:dyDescent="0.3">
      <c r="A12" s="41" t="s">
        <v>82</v>
      </c>
      <c r="B12" s="21">
        <v>8</v>
      </c>
      <c r="C12" s="22">
        <v>9</v>
      </c>
      <c r="D12" s="21">
        <v>10</v>
      </c>
      <c r="E12" s="27">
        <v>8</v>
      </c>
      <c r="F12" s="23">
        <v>9</v>
      </c>
    </row>
    <row r="13" spans="1:6" x14ac:dyDescent="0.3">
      <c r="A13" s="41" t="s">
        <v>22</v>
      </c>
      <c r="B13" s="21"/>
      <c r="C13" s="22"/>
      <c r="D13" s="21"/>
      <c r="E13" s="22"/>
      <c r="F13" s="23"/>
    </row>
    <row r="14" spans="1:6" x14ac:dyDescent="0.3">
      <c r="A14" s="42"/>
      <c r="B14" s="24"/>
      <c r="C14" s="25"/>
      <c r="D14" s="24"/>
      <c r="E14" s="25"/>
      <c r="F14" s="26"/>
    </row>
    <row r="15" spans="1:6" x14ac:dyDescent="0.3">
      <c r="A15" s="41" t="s">
        <v>83</v>
      </c>
      <c r="B15" s="35">
        <v>11</v>
      </c>
      <c r="C15" s="36" t="s">
        <v>96</v>
      </c>
      <c r="D15" s="36" t="s">
        <v>96</v>
      </c>
      <c r="E15" s="22">
        <v>11</v>
      </c>
      <c r="F15" s="23">
        <v>16</v>
      </c>
    </row>
    <row r="16" spans="1:6" x14ac:dyDescent="0.3">
      <c r="A16" s="41" t="s">
        <v>23</v>
      </c>
      <c r="B16" s="21"/>
      <c r="C16" s="31"/>
      <c r="D16" s="32"/>
      <c r="E16" s="22"/>
      <c r="F16" s="23"/>
    </row>
    <row r="17" spans="1:6" x14ac:dyDescent="0.3">
      <c r="A17" s="42"/>
      <c r="B17" s="24"/>
      <c r="C17" s="33"/>
      <c r="D17" s="34"/>
      <c r="E17" s="25"/>
      <c r="F17" s="26"/>
    </row>
    <row r="18" spans="1:6" x14ac:dyDescent="0.3">
      <c r="A18" s="41" t="s">
        <v>84</v>
      </c>
      <c r="B18" s="21">
        <v>12</v>
      </c>
      <c r="C18" s="22">
        <v>13</v>
      </c>
      <c r="D18" s="21">
        <v>12</v>
      </c>
      <c r="E18" s="27">
        <v>13</v>
      </c>
      <c r="F18" s="23">
        <v>16</v>
      </c>
    </row>
    <row r="19" spans="1:6" x14ac:dyDescent="0.3">
      <c r="A19" s="41" t="s">
        <v>13</v>
      </c>
      <c r="B19" s="21"/>
      <c r="C19" s="22"/>
      <c r="D19" s="21"/>
      <c r="E19" s="22"/>
      <c r="F19" s="23"/>
    </row>
    <row r="20" spans="1:6" x14ac:dyDescent="0.3">
      <c r="A20" s="42"/>
      <c r="B20" s="24"/>
      <c r="C20" s="25"/>
      <c r="D20" s="24"/>
      <c r="E20" s="25"/>
      <c r="F20" s="26"/>
    </row>
    <row r="21" spans="1:6" x14ac:dyDescent="0.3">
      <c r="A21" s="41" t="s">
        <v>85</v>
      </c>
      <c r="B21" s="21">
        <v>14</v>
      </c>
      <c r="C21" s="22">
        <v>15</v>
      </c>
      <c r="D21" s="21">
        <v>14</v>
      </c>
      <c r="E21" s="27">
        <v>15</v>
      </c>
      <c r="F21" s="23"/>
    </row>
    <row r="22" spans="1:6" x14ac:dyDescent="0.3">
      <c r="A22" s="41" t="s">
        <v>16</v>
      </c>
      <c r="B22" s="21"/>
      <c r="C22" s="22"/>
      <c r="D22" s="21"/>
      <c r="E22" s="22"/>
      <c r="F22" s="23"/>
    </row>
    <row r="23" spans="1:6" x14ac:dyDescent="0.3">
      <c r="A23" s="42"/>
      <c r="B23" s="24"/>
      <c r="C23" s="25"/>
      <c r="D23" s="24"/>
      <c r="E23" s="25"/>
      <c r="F23" s="26"/>
    </row>
    <row r="24" spans="1:6" x14ac:dyDescent="0.3">
      <c r="A24" s="41" t="s">
        <v>86</v>
      </c>
      <c r="B24" s="21">
        <v>17</v>
      </c>
      <c r="C24" s="22">
        <v>18</v>
      </c>
      <c r="D24" s="21">
        <v>19</v>
      </c>
      <c r="E24" s="27">
        <v>20</v>
      </c>
      <c r="F24" s="23"/>
    </row>
    <row r="25" spans="1:6" x14ac:dyDescent="0.3">
      <c r="A25" s="41" t="s">
        <v>77</v>
      </c>
      <c r="B25" s="21"/>
      <c r="C25" s="22"/>
      <c r="D25" s="21"/>
      <c r="E25" s="22"/>
      <c r="F25" s="23"/>
    </row>
    <row r="26" spans="1:6" x14ac:dyDescent="0.3">
      <c r="A26" s="42"/>
      <c r="B26" s="24"/>
      <c r="C26" s="25"/>
      <c r="D26" s="24"/>
      <c r="E26" s="25"/>
      <c r="F26" s="26"/>
    </row>
    <row r="27" spans="1:6" x14ac:dyDescent="0.3">
      <c r="A27" s="41" t="s">
        <v>87</v>
      </c>
      <c r="B27" s="21">
        <v>21</v>
      </c>
      <c r="C27" s="22">
        <v>22</v>
      </c>
      <c r="D27" s="21">
        <v>23</v>
      </c>
      <c r="E27" s="27">
        <v>24</v>
      </c>
      <c r="F27" s="23"/>
    </row>
    <row r="28" spans="1:6" x14ac:dyDescent="0.3">
      <c r="A28" s="41" t="s">
        <v>78</v>
      </c>
      <c r="B28" s="21" t="s">
        <v>92</v>
      </c>
      <c r="C28" s="22" t="s">
        <v>93</v>
      </c>
      <c r="D28" s="21" t="s">
        <v>94</v>
      </c>
      <c r="E28" s="22" t="s">
        <v>95</v>
      </c>
      <c r="F28" s="23"/>
    </row>
    <row r="29" spans="1:6" x14ac:dyDescent="0.3">
      <c r="A29" s="42"/>
      <c r="B29" s="24"/>
      <c r="C29" s="25"/>
      <c r="D29" s="24"/>
      <c r="E29" s="25"/>
      <c r="F29" s="26"/>
    </row>
    <row r="30" spans="1:6" x14ac:dyDescent="0.3">
      <c r="A30" s="41" t="s">
        <v>88</v>
      </c>
      <c r="B30" s="21">
        <v>25</v>
      </c>
      <c r="C30" s="22">
        <v>26</v>
      </c>
      <c r="D30" s="21">
        <v>27</v>
      </c>
      <c r="E30" s="27">
        <v>28</v>
      </c>
      <c r="F30" s="23"/>
    </row>
    <row r="31" spans="1:6" x14ac:dyDescent="0.3">
      <c r="A31" s="41" t="s">
        <v>78</v>
      </c>
      <c r="B31" s="21"/>
      <c r="C31" s="22"/>
      <c r="D31" s="21"/>
      <c r="E31" s="22"/>
      <c r="F31" s="23"/>
    </row>
    <row r="32" spans="1:6" ht="15" thickBot="1" x14ac:dyDescent="0.35">
      <c r="A32" s="43"/>
      <c r="B32" s="28"/>
      <c r="C32" s="29"/>
      <c r="D32" s="28"/>
      <c r="E32" s="29"/>
      <c r="F32" s="30"/>
    </row>
  </sheetData>
  <mergeCells count="1">
    <mergeCell ref="A1:F1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34"/>
  <sheetViews>
    <sheetView topLeftCell="A16" workbookViewId="0">
      <selection activeCell="A27" sqref="A27:B34"/>
    </sheetView>
  </sheetViews>
  <sheetFormatPr defaultRowHeight="14.4" x14ac:dyDescent="0.3"/>
  <sheetData>
    <row r="1" spans="1:10" x14ac:dyDescent="0.3">
      <c r="A1" t="s">
        <v>45</v>
      </c>
      <c r="B1" t="s">
        <v>1</v>
      </c>
      <c r="C1" t="s">
        <v>38</v>
      </c>
      <c r="D1" t="s">
        <v>39</v>
      </c>
      <c r="E1" t="s">
        <v>40</v>
      </c>
      <c r="F1" t="s">
        <v>44</v>
      </c>
      <c r="G1" t="s">
        <v>42</v>
      </c>
      <c r="H1" t="s">
        <v>43</v>
      </c>
      <c r="I1" t="s">
        <v>67</v>
      </c>
    </row>
    <row r="2" spans="1:10" x14ac:dyDescent="0.3">
      <c r="A2" t="s">
        <v>10</v>
      </c>
      <c r="B2" t="s">
        <v>13</v>
      </c>
      <c r="D2">
        <v>3</v>
      </c>
      <c r="E2">
        <v>2</v>
      </c>
      <c r="F2">
        <v>1</v>
      </c>
      <c r="I2">
        <v>4</v>
      </c>
    </row>
    <row r="3" spans="1:10" x14ac:dyDescent="0.3">
      <c r="A3" t="s">
        <v>11</v>
      </c>
      <c r="B3" t="s">
        <v>13</v>
      </c>
      <c r="C3">
        <v>4</v>
      </c>
      <c r="D3">
        <v>3</v>
      </c>
      <c r="E3">
        <v>2</v>
      </c>
    </row>
    <row r="4" spans="1:10" x14ac:dyDescent="0.3">
      <c r="A4" t="s">
        <v>12</v>
      </c>
      <c r="B4" t="s">
        <v>13</v>
      </c>
      <c r="F4">
        <v>4</v>
      </c>
      <c r="G4">
        <v>3</v>
      </c>
      <c r="H4">
        <v>2</v>
      </c>
    </row>
    <row r="6" spans="1:10" x14ac:dyDescent="0.3">
      <c r="A6" t="s">
        <v>46</v>
      </c>
      <c r="B6" t="s">
        <v>1</v>
      </c>
      <c r="C6" t="s">
        <v>38</v>
      </c>
      <c r="D6" t="s">
        <v>39</v>
      </c>
      <c r="E6" t="s">
        <v>40</v>
      </c>
      <c r="F6" t="s">
        <v>44</v>
      </c>
      <c r="G6" t="s">
        <v>42</v>
      </c>
      <c r="H6" t="s">
        <v>43</v>
      </c>
      <c r="I6" t="s">
        <v>67</v>
      </c>
    </row>
    <row r="7" spans="1:10" x14ac:dyDescent="0.3">
      <c r="A7" t="s">
        <v>10</v>
      </c>
      <c r="B7" t="s">
        <v>13</v>
      </c>
      <c r="D7">
        <v>0.30000001192092896</v>
      </c>
      <c r="E7">
        <v>0.20000000298023224</v>
      </c>
      <c r="F7">
        <v>0.10000000149011612</v>
      </c>
      <c r="I7">
        <v>0.40000000596046448</v>
      </c>
    </row>
    <row r="8" spans="1:10" x14ac:dyDescent="0.3">
      <c r="A8" t="s">
        <v>11</v>
      </c>
      <c r="B8" t="s">
        <v>13</v>
      </c>
      <c r="C8">
        <v>0.4444444477558136</v>
      </c>
      <c r="D8">
        <v>0.3333333432674408</v>
      </c>
      <c r="E8">
        <v>0.2222222238779068</v>
      </c>
    </row>
    <row r="9" spans="1:10" x14ac:dyDescent="0.3">
      <c r="A9" t="s">
        <v>12</v>
      </c>
      <c r="B9" t="s">
        <v>13</v>
      </c>
      <c r="F9">
        <v>0.4444444477558136</v>
      </c>
      <c r="G9">
        <v>0.3333333432674408</v>
      </c>
      <c r="H9">
        <v>0.2222222238779068</v>
      </c>
    </row>
    <row r="11" spans="1:10" x14ac:dyDescent="0.3">
      <c r="A11" t="s">
        <v>47</v>
      </c>
      <c r="B11" t="s">
        <v>1</v>
      </c>
      <c r="C11" t="s">
        <v>38</v>
      </c>
      <c r="D11" t="s">
        <v>39</v>
      </c>
      <c r="E11" t="s">
        <v>40</v>
      </c>
      <c r="F11" t="s">
        <v>44</v>
      </c>
      <c r="G11" t="s">
        <v>42</v>
      </c>
      <c r="H11" t="s">
        <v>43</v>
      </c>
      <c r="I11" t="s">
        <v>67</v>
      </c>
    </row>
    <row r="12" spans="1:10" x14ac:dyDescent="0.3">
      <c r="A12" t="s">
        <v>10</v>
      </c>
      <c r="B12">
        <v>1</v>
      </c>
      <c r="D12">
        <v>0</v>
      </c>
      <c r="E12">
        <v>0</v>
      </c>
      <c r="F12">
        <v>0</v>
      </c>
      <c r="I12">
        <v>1</v>
      </c>
      <c r="J12">
        <f>SUM($C$12:$I$12)</f>
        <v>1</v>
      </c>
    </row>
    <row r="13" spans="1:10" x14ac:dyDescent="0.3">
      <c r="A13" t="s">
        <v>11</v>
      </c>
      <c r="B13">
        <v>1</v>
      </c>
      <c r="C13">
        <v>1</v>
      </c>
      <c r="D13">
        <v>1</v>
      </c>
      <c r="E13">
        <v>1</v>
      </c>
      <c r="J13">
        <f>SUM($C$13:$I$13)</f>
        <v>3</v>
      </c>
    </row>
    <row r="14" spans="1:10" x14ac:dyDescent="0.3">
      <c r="A14" t="s">
        <v>12</v>
      </c>
      <c r="B14">
        <v>1</v>
      </c>
      <c r="F14">
        <v>1</v>
      </c>
      <c r="G14">
        <v>1</v>
      </c>
      <c r="H14">
        <v>1</v>
      </c>
      <c r="J14">
        <f>SUM($C$14:$I$14)</f>
        <v>3</v>
      </c>
    </row>
    <row r="15" spans="1:10" x14ac:dyDescent="0.3">
      <c r="A15" t="s">
        <v>48</v>
      </c>
      <c r="C15">
        <f>SUMPRODUCT($C$7:$I$9,$C$12:$I$14)</f>
        <v>2.4000000357627869</v>
      </c>
      <c r="D15" t="s">
        <v>49</v>
      </c>
    </row>
    <row r="17" spans="1:9" x14ac:dyDescent="0.3">
      <c r="A17" t="s">
        <v>50</v>
      </c>
      <c r="C17" t="s">
        <v>51</v>
      </c>
      <c r="F17">
        <f>IF(SUM($J$12:$J$14)=0,0,SUMPRODUCT($B$12:$B$14,$J$12:$J$14)/SUM($J$12:$J$14))</f>
        <v>1</v>
      </c>
      <c r="G17" t="s">
        <v>52</v>
      </c>
      <c r="H17">
        <v>0.75</v>
      </c>
    </row>
    <row r="18" spans="1:9" x14ac:dyDescent="0.3">
      <c r="C18" t="s">
        <v>53</v>
      </c>
    </row>
    <row r="19" spans="1:9" x14ac:dyDescent="0.3">
      <c r="C19" t="s">
        <v>54</v>
      </c>
    </row>
    <row r="20" spans="1:9" x14ac:dyDescent="0.3">
      <c r="C20">
        <f>SUM($C$12:$C$14)</f>
        <v>1</v>
      </c>
      <c r="D20">
        <f>SUM($D$12:$D$14)</f>
        <v>1</v>
      </c>
      <c r="E20">
        <f>SUM($E$12:$E$14)</f>
        <v>1</v>
      </c>
      <c r="F20">
        <f>SUM($F$12:$F$14)</f>
        <v>1</v>
      </c>
      <c r="G20">
        <f>SUM($G$12:$G$14)</f>
        <v>1</v>
      </c>
      <c r="H20">
        <f>SUM($H$12:$H$14)</f>
        <v>1</v>
      </c>
      <c r="I20">
        <f>SUM($I$12:$I$14)</f>
        <v>1</v>
      </c>
    </row>
    <row r="21" spans="1:9" x14ac:dyDescent="0.3">
      <c r="C21" t="s">
        <v>55</v>
      </c>
      <c r="D21" t="s">
        <v>55</v>
      </c>
      <c r="E21" t="s">
        <v>55</v>
      </c>
      <c r="F21" t="s">
        <v>55</v>
      </c>
      <c r="G21" t="s">
        <v>55</v>
      </c>
      <c r="H21" t="s">
        <v>55</v>
      </c>
      <c r="I21" t="s">
        <v>55</v>
      </c>
    </row>
    <row r="22" spans="1:9" x14ac:dyDescent="0.3"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4" spans="1:9" x14ac:dyDescent="0.3">
      <c r="A24" t="s">
        <v>56</v>
      </c>
      <c r="B24" t="s">
        <v>57</v>
      </c>
      <c r="C24" t="s">
        <v>38</v>
      </c>
      <c r="D24" t="s">
        <v>39</v>
      </c>
      <c r="E24" t="s">
        <v>40</v>
      </c>
      <c r="F24" t="s">
        <v>44</v>
      </c>
      <c r="G24" t="s">
        <v>42</v>
      </c>
      <c r="H24" t="s">
        <v>43</v>
      </c>
      <c r="I24" t="s">
        <v>67</v>
      </c>
    </row>
    <row r="25" spans="1:9" x14ac:dyDescent="0.3">
      <c r="B25" t="s">
        <v>58</v>
      </c>
      <c r="C25" t="str">
        <f>IFERROR(INDEX($A$12:$A$14,MATCH(1,$C$12:$C$14,0)),"TBD")</f>
        <v>C, D</v>
      </c>
      <c r="D25" t="str">
        <f>IFERROR(INDEX($A$12:$A$14,MATCH(1,$D$12:$D$14,0)),"TBD")</f>
        <v>C, D</v>
      </c>
      <c r="E25" t="str">
        <f>IFERROR(INDEX($A$12:$A$14,MATCH(1,$E$12:$E$14,0)),"TBD")</f>
        <v>C, D</v>
      </c>
      <c r="F25" t="str">
        <f>IFERROR(INDEX($A$12:$A$14,MATCH(1,$F$12:$F$14,0)),"TBD")</f>
        <v>E, F</v>
      </c>
      <c r="G25" t="str">
        <f>IFERROR(INDEX($A$12:$A$14,MATCH(1,$G$12:$G$14,0)),"TBD")</f>
        <v>E, F</v>
      </c>
      <c r="H25" t="str">
        <f>IFERROR(INDEX($A$12:$A$14,MATCH(1,$H$12:$H$14,0)),"TBD")</f>
        <v>E, F</v>
      </c>
      <c r="I25" t="str">
        <f>IFERROR(INDEX($A$12:$A$14,MATCH(1,$I$12:$I$14,0)),"TBD")</f>
        <v>A, B</v>
      </c>
    </row>
    <row r="27" spans="1:9" x14ac:dyDescent="0.3">
      <c r="A27" t="s">
        <v>57</v>
      </c>
      <c r="B27" t="s">
        <v>58</v>
      </c>
    </row>
    <row r="28" spans="1:9" x14ac:dyDescent="0.3">
      <c r="A28" t="s">
        <v>38</v>
      </c>
      <c r="B28" t="s">
        <v>11</v>
      </c>
    </row>
    <row r="29" spans="1:9" x14ac:dyDescent="0.3">
      <c r="A29" t="s">
        <v>39</v>
      </c>
      <c r="B29" t="s">
        <v>11</v>
      </c>
    </row>
    <row r="30" spans="1:9" x14ac:dyDescent="0.3">
      <c r="A30" t="s">
        <v>40</v>
      </c>
      <c r="B30" t="s">
        <v>11</v>
      </c>
    </row>
    <row r="31" spans="1:9" x14ac:dyDescent="0.3">
      <c r="A31" t="s">
        <v>44</v>
      </c>
      <c r="B31" t="s">
        <v>12</v>
      </c>
    </row>
    <row r="32" spans="1:9" x14ac:dyDescent="0.3">
      <c r="A32" t="s">
        <v>42</v>
      </c>
      <c r="B32" t="s">
        <v>12</v>
      </c>
    </row>
    <row r="33" spans="1:2" x14ac:dyDescent="0.3">
      <c r="A33" t="s">
        <v>43</v>
      </c>
      <c r="B33" t="s">
        <v>12</v>
      </c>
    </row>
    <row r="34" spans="1:2" x14ac:dyDescent="0.3">
      <c r="A34" t="s">
        <v>67</v>
      </c>
      <c r="B34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</vt:lpstr>
      <vt:lpstr>Input_Professor</vt:lpstr>
      <vt:lpstr>Input_Course</vt:lpstr>
      <vt:lpstr>Block_Info</vt:lpstr>
      <vt:lpstr>PrintOut</vt:lpstr>
      <vt:lpstr>Calculator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ikaSystems</cp:lastModifiedBy>
  <dcterms:created xsi:type="dcterms:W3CDTF">2017-02-16T01:30:00Z</dcterms:created>
  <dcterms:modified xsi:type="dcterms:W3CDTF">2017-03-02T03:54:23Z</dcterms:modified>
</cp:coreProperties>
</file>