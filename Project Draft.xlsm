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yfeng\Desktop\Courses\CS620\Project\"/>
    </mc:Choice>
  </mc:AlternateContent>
  <bookViews>
    <workbookView xWindow="0" yWindow="0" windowWidth="20490" windowHeight="7905" activeTab="1"/>
  </bookViews>
  <sheets>
    <sheet name="PrintOut" sheetId="7" r:id="rId1"/>
    <sheet name="Input_Professor" sheetId="2" r:id="rId2"/>
    <sheet name="Input_Course" sheetId="3" r:id="rId3"/>
    <sheet name="Block_Info" sheetId="5" r:id="rId4"/>
    <sheet name="Calculator" sheetId="4" state="hidden" r:id="rId5"/>
    <sheet name="Solution" sheetId="6" state="hidden" r:id="rId6"/>
  </sheets>
  <definedNames>
    <definedName name="_xlnm._FilterDatabase" localSheetId="3" hidden="1">Block_Info!$A$1:$G$45</definedName>
    <definedName name="solver_adj" localSheetId="4" hidden="1">Calculator!$C$16,Calculator!$D$16,Calculator!$E$16,Calculator!$F$17,Calculator!$G$17,Calculator!$H$18,Calculator!$I$19,Calculator!$J$20,Calculator!$K$20</definedName>
    <definedName name="solver_cvg" localSheetId="4" hidden="1">0.0001</definedName>
    <definedName name="solver_drv" localSheetId="4" hidden="1">2</definedName>
    <definedName name="solver_eng" localSheetId="4" hidden="1">1</definedName>
    <definedName name="solver_eng" localSheetId="1" hidden="1">1</definedName>
    <definedName name="solver_est" localSheetId="4" hidden="1">1</definedName>
    <definedName name="solver_itr" localSheetId="4" hidden="1">2147483647</definedName>
    <definedName name="solver_lhs1" localSheetId="4" hidden="1">Calculator!$F$23</definedName>
    <definedName name="solver_lhs1" localSheetId="1" hidden="1">Input_Professor!$C$26:$K$26</definedName>
    <definedName name="solver_lhs2" localSheetId="4" hidden="1">Calculator!$C$26:$K$26</definedName>
    <definedName name="solver_lhs3" localSheetId="4" hidden="1">Calculator!$F$17:$G$17</definedName>
    <definedName name="solver_lhs4" localSheetId="4" hidden="1">Calculator!$F$23</definedName>
    <definedName name="solver_lhs5" localSheetId="4" hidden="1">Calculator!$H$18</definedName>
    <definedName name="solver_lhs6" localSheetId="4" hidden="1">Calculator!$I$19</definedName>
    <definedName name="solver_lhs7" localSheetId="4" hidden="1">Calculator!$J$20:$K$20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eg" localSheetId="1" hidden="1">1</definedName>
    <definedName name="solver_nod" localSheetId="4" hidden="1">2147483647</definedName>
    <definedName name="solver_num" localSheetId="4" hidden="1">2</definedName>
    <definedName name="solver_num" localSheetId="1" hidden="1">0</definedName>
    <definedName name="solver_nwt" localSheetId="4" hidden="1">1</definedName>
    <definedName name="solver_opt" localSheetId="4" hidden="1">Calculator!$C$21</definedName>
    <definedName name="solver_pre" localSheetId="4" hidden="1">0.00001</definedName>
    <definedName name="solver_pre" localSheetId="1" hidden="1">0.001</definedName>
    <definedName name="solver_rbv" localSheetId="4" hidden="1">2</definedName>
    <definedName name="solver_rel1" localSheetId="4" hidden="1">3</definedName>
    <definedName name="solver_rel1" localSheetId="1" hidden="1">3</definedName>
    <definedName name="solver_rel2" localSheetId="4" hidden="1">2</definedName>
    <definedName name="solver_rel3" localSheetId="4" hidden="1">5</definedName>
    <definedName name="solver_rel4" localSheetId="4" hidden="1">3</definedName>
    <definedName name="solver_rel5" localSheetId="4" hidden="1">5</definedName>
    <definedName name="solver_rel6" localSheetId="4" hidden="1">5</definedName>
    <definedName name="solver_rel7" localSheetId="4" hidden="1">5</definedName>
    <definedName name="solver_rhs1" localSheetId="4" hidden="1">Calculator!$H$23</definedName>
    <definedName name="solver_rhs1" localSheetId="1" hidden="1">Input_Professor!$C$28:$K$28</definedName>
    <definedName name="solver_rhs2" localSheetId="4" hidden="1">Calculator!$C$28:$K$28</definedName>
    <definedName name="solver_rhs3" localSheetId="4" hidden="1">binary</definedName>
    <definedName name="solver_rhs4" localSheetId="4" hidden="1">Calculator!$H$23</definedName>
    <definedName name="solver_rhs5" localSheetId="4" hidden="1">binary</definedName>
    <definedName name="solver_rhs6" localSheetId="4" hidden="1">binary</definedName>
    <definedName name="solver_rhs7" localSheetId="4" hidden="1">binary</definedName>
    <definedName name="solver_rlx" localSheetId="4" hidden="1">2</definedName>
    <definedName name="solver_rsd" localSheetId="4" hidden="1">0</definedName>
    <definedName name="solver_scl" localSheetId="4" hidden="1">2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1</definedName>
    <definedName name="solver_typ" localSheetId="1" hidden="1">1</definedName>
    <definedName name="solver_val" localSheetId="4" hidden="1">0</definedName>
    <definedName name="solver_val" localSheetId="1" hidden="1">0</definedName>
    <definedName name="solver_ver" localSheetId="4" hidden="1">3</definedName>
    <definedName name="solver_ver" localSheetId="1" hidden="1">3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6" i="4" l="1"/>
  <c r="J26" i="4"/>
  <c r="I26" i="4"/>
  <c r="H26" i="4"/>
  <c r="G26" i="4"/>
  <c r="F26" i="4"/>
  <c r="E26" i="4"/>
  <c r="D26" i="4"/>
  <c r="C26" i="4"/>
  <c r="C21" i="4"/>
  <c r="L20" i="4"/>
  <c r="L19" i="4"/>
  <c r="L18" i="4"/>
  <c r="L17" i="4"/>
  <c r="L16" i="4"/>
  <c r="F23" i="4" l="1"/>
  <c r="A10" i="3"/>
  <c r="A9" i="3"/>
  <c r="A8" i="3"/>
  <c r="A7" i="3"/>
  <c r="A6" i="3"/>
  <c r="A5" i="3"/>
  <c r="A4" i="3"/>
  <c r="A3" i="3"/>
  <c r="A2" i="3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CS+3 digits string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Pre-req: &gt;0
Non Pre-req: 0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<sst xmlns="http://schemas.openxmlformats.org/spreadsheetml/2006/main" count="406" uniqueCount="77">
  <si>
    <t>Name</t>
  </si>
  <si>
    <t>Full/Part-time</t>
  </si>
  <si>
    <t>Preference_1</t>
  </si>
  <si>
    <t>Preference_2</t>
  </si>
  <si>
    <t>Preference_3</t>
  </si>
  <si>
    <t>Preference_4</t>
  </si>
  <si>
    <t>A, B</t>
  </si>
  <si>
    <t>F</t>
  </si>
  <si>
    <t>CS100 100</t>
  </si>
  <si>
    <t>CS100 200</t>
  </si>
  <si>
    <t>CS100 300</t>
  </si>
  <si>
    <t>C, D</t>
  </si>
  <si>
    <t>CS200 100</t>
  </si>
  <si>
    <t>CS200 200</t>
  </si>
  <si>
    <t>E, F</t>
  </si>
  <si>
    <t>CS300 100</t>
  </si>
  <si>
    <t>G, H</t>
  </si>
  <si>
    <t>CS400 100</t>
  </si>
  <si>
    <t>I, J</t>
  </si>
  <si>
    <t>P</t>
  </si>
  <si>
    <t>CS500 100</t>
  </si>
  <si>
    <t>CS500 200</t>
  </si>
  <si>
    <t>ID</t>
  </si>
  <si>
    <t>Course ID</t>
  </si>
  <si>
    <t>Session ID</t>
  </si>
  <si>
    <t>Level</t>
  </si>
  <si>
    <t>Pre-req lines:</t>
  </si>
  <si>
    <t>CS100</t>
  </si>
  <si>
    <t>CS200</t>
  </si>
  <si>
    <t>CS300</t>
  </si>
  <si>
    <t>CS400</t>
  </si>
  <si>
    <t>CS500</t>
  </si>
  <si>
    <t>100</t>
  </si>
  <si>
    <t>U</t>
  </si>
  <si>
    <t>200</t>
  </si>
  <si>
    <t>300</t>
  </si>
  <si>
    <t>Block</t>
  </si>
  <si>
    <t>Session</t>
  </si>
  <si>
    <t>TimeSlot</t>
  </si>
  <si>
    <t>Start</t>
  </si>
  <si>
    <t>End</t>
  </si>
  <si>
    <t>TimePeriod</t>
  </si>
  <si>
    <t>Weekday</t>
  </si>
  <si>
    <t>a</t>
  </si>
  <si>
    <t>A</t>
  </si>
  <si>
    <t>BeforeNoon</t>
  </si>
  <si>
    <t>Monday</t>
  </si>
  <si>
    <t>b</t>
  </si>
  <si>
    <t>Wednesday</t>
  </si>
  <si>
    <t>Tuesday</t>
  </si>
  <si>
    <t>Friday</t>
  </si>
  <si>
    <t>Thursday</t>
  </si>
  <si>
    <t>B</t>
  </si>
  <si>
    <t>C</t>
  </si>
  <si>
    <t>D</t>
  </si>
  <si>
    <t>AfterNoon</t>
  </si>
  <si>
    <t>Half</t>
  </si>
  <si>
    <t>E</t>
  </si>
  <si>
    <t>G</t>
  </si>
  <si>
    <t>H</t>
  </si>
  <si>
    <t>I</t>
  </si>
  <si>
    <t>J</t>
  </si>
  <si>
    <t>Input</t>
  </si>
  <si>
    <t>Decision</t>
  </si>
  <si>
    <t>Score</t>
  </si>
  <si>
    <t>(Max)</t>
  </si>
  <si>
    <t>&gt;=</t>
  </si>
  <si>
    <t>3. Each course has one and only one professor</t>
  </si>
  <si>
    <t>=</t>
  </si>
  <si>
    <t xml:space="preserve">Objective: </t>
  </si>
  <si>
    <t>Constraints:</t>
  </si>
  <si>
    <t>1. Percentage taught by full-time faculties</t>
  </si>
  <si>
    <t>2. Binary Decision Variables</t>
  </si>
  <si>
    <t>Solution</t>
  </si>
  <si>
    <t>Course Session</t>
  </si>
  <si>
    <t>Professor Name</t>
  </si>
  <si>
    <t>Professor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</si>
</sst>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</xdr:row>
          <xdr:rowOff>104775</xdr:rowOff>
        </xdr:from>
        <xdr:to>
          <xdr:col>8</xdr:col>
          <xdr:colOff>390525</xdr:colOff>
          <xdr:row>3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Professor Assignment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F12"/>
  <sheetViews>
    <sheetView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6.28515625" bestFit="1" customWidth="1"/>
    <col min="2" max="2" width="13.7109375" bestFit="1" customWidth="1"/>
    <col min="3" max="6" width="12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5" t="s">
        <v>6</v>
      </c>
      <c r="B2" s="5" t="s">
        <v>7</v>
      </c>
      <c r="C2" s="5" t="s">
        <v>8</v>
      </c>
      <c r="D2" s="5" t="s">
        <v>9</v>
      </c>
      <c r="E2" s="5" t="s">
        <v>10</v>
      </c>
      <c r="F2" s="5"/>
    </row>
    <row r="3" spans="1:6" x14ac:dyDescent="0.25">
      <c r="A3" s="5" t="s">
        <v>11</v>
      </c>
      <c r="B3" s="5" t="s">
        <v>7</v>
      </c>
      <c r="C3" s="5" t="s">
        <v>12</v>
      </c>
      <c r="D3" s="5" t="s">
        <v>13</v>
      </c>
      <c r="E3" s="5"/>
      <c r="F3" s="5"/>
    </row>
    <row r="4" spans="1:6" x14ac:dyDescent="0.25">
      <c r="A4" s="5" t="s">
        <v>14</v>
      </c>
      <c r="B4" s="5" t="s">
        <v>7</v>
      </c>
      <c r="C4" s="5" t="s">
        <v>15</v>
      </c>
      <c r="D4" s="5"/>
      <c r="E4" s="5"/>
      <c r="F4" s="5"/>
    </row>
    <row r="5" spans="1:6" x14ac:dyDescent="0.25">
      <c r="A5" s="5" t="s">
        <v>16</v>
      </c>
      <c r="B5" s="5" t="s">
        <v>7</v>
      </c>
      <c r="C5" s="5" t="s">
        <v>17</v>
      </c>
      <c r="D5" s="5"/>
      <c r="E5" s="5"/>
      <c r="F5" s="5"/>
    </row>
    <row r="6" spans="1:6" x14ac:dyDescent="0.25">
      <c r="A6" s="5" t="s">
        <v>18</v>
      </c>
      <c r="B6" s="5" t="s">
        <v>19</v>
      </c>
      <c r="C6" s="5" t="s">
        <v>20</v>
      </c>
      <c r="D6" s="5" t="s">
        <v>21</v>
      </c>
      <c r="E6" s="5"/>
      <c r="F6" s="5"/>
    </row>
    <row r="12" spans="1:6" ht="13.5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AssignProfessor">
                <anchor moveWithCells="1">
                  <from>
                    <xdr:col>6</xdr:col>
                    <xdr:colOff>152400</xdr:colOff>
                    <xdr:row>1</xdr:row>
                    <xdr:rowOff>104775</xdr:rowOff>
                  </from>
                  <to>
                    <xdr:col>8</xdr:col>
                    <xdr:colOff>390525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Input_Course!$A$2:$A$10</xm:f>
          </x14:formula1>
          <xm:sqref>C2:F6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N1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5703125" bestFit="1" customWidth="1"/>
    <col min="2" max="2" width="9.42578125" style="1" bestFit="1" customWidth="1"/>
    <col min="3" max="3" width="10" bestFit="1" customWidth="1"/>
    <col min="4" max="4" width="5.7109375" bestFit="1" customWidth="1"/>
    <col min="7" max="7" width="13.140625" bestFit="1" customWidth="1"/>
    <col min="8" max="12" width="6.140625" bestFit="1" customWidth="1"/>
  </cols>
  <sheetData>
    <row r="1" spans="1:14" x14ac:dyDescent="0.25">
      <c r="A1" s="3" t="s">
        <v>22</v>
      </c>
      <c r="B1" s="1" t="s">
        <v>23</v>
      </c>
      <c r="C1" t="s">
        <v>24</v>
      </c>
      <c r="D1" t="s">
        <v>25</v>
      </c>
      <c r="E1" t="s">
        <v>76</v>
      </c>
      <c r="G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N1" s="2"/>
    </row>
    <row r="2" spans="1:14" x14ac:dyDescent="0.25">
      <c r="A2" t="str">
        <f>B2&amp;" "&amp;C2</f>
        <v>CS100 100</v>
      </c>
      <c r="B2" s="4" t="s">
        <v>27</v>
      </c>
      <c r="C2" s="4" t="s">
        <v>32</v>
      </c>
      <c r="D2" s="5" t="s">
        <v>33</v>
      </c>
      <c r="G2">
        <v>1</v>
      </c>
      <c r="H2" s="4">
        <v>1</v>
      </c>
      <c r="I2" s="4">
        <v>1</v>
      </c>
      <c r="J2" s="4">
        <v>0</v>
      </c>
      <c r="K2" s="4">
        <v>0</v>
      </c>
      <c r="L2" s="4">
        <v>1</v>
      </c>
    </row>
    <row r="3" spans="1:14" x14ac:dyDescent="0.25">
      <c r="A3" t="str">
        <f t="shared" ref="A3:A10" si="0">B3&amp;" "&amp;C3</f>
        <v>CS100 200</v>
      </c>
      <c r="B3" s="4" t="s">
        <v>27</v>
      </c>
      <c r="C3" s="4" t="s">
        <v>34</v>
      </c>
      <c r="D3" s="5" t="s">
        <v>33</v>
      </c>
      <c r="G3">
        <v>2</v>
      </c>
      <c r="H3" s="4">
        <v>0</v>
      </c>
      <c r="I3" s="4">
        <v>0</v>
      </c>
      <c r="J3" s="4">
        <v>2</v>
      </c>
      <c r="K3" s="4">
        <v>2</v>
      </c>
      <c r="L3" s="4">
        <v>0</v>
      </c>
    </row>
    <row r="4" spans="1:14" x14ac:dyDescent="0.25">
      <c r="A4" t="str">
        <f t="shared" si="0"/>
        <v>CS100 300</v>
      </c>
      <c r="B4" s="4" t="s">
        <v>27</v>
      </c>
      <c r="C4" s="4" t="s">
        <v>35</v>
      </c>
      <c r="D4" s="5" t="s">
        <v>33</v>
      </c>
    </row>
    <row r="5" spans="1:14" x14ac:dyDescent="0.25">
      <c r="A5" t="str">
        <f t="shared" si="0"/>
        <v>CS200 100</v>
      </c>
      <c r="B5" s="4" t="s">
        <v>28</v>
      </c>
      <c r="C5" s="4" t="s">
        <v>32</v>
      </c>
      <c r="D5" s="5" t="s">
        <v>33</v>
      </c>
    </row>
    <row r="6" spans="1:14" x14ac:dyDescent="0.25">
      <c r="A6" t="str">
        <f t="shared" si="0"/>
        <v>CS200 200</v>
      </c>
      <c r="B6" s="4" t="s">
        <v>28</v>
      </c>
      <c r="C6" s="4" t="s">
        <v>34</v>
      </c>
      <c r="D6" s="5" t="s">
        <v>33</v>
      </c>
    </row>
    <row r="7" spans="1:14" x14ac:dyDescent="0.25">
      <c r="A7" t="str">
        <f t="shared" si="0"/>
        <v>CS300 100</v>
      </c>
      <c r="B7" s="4" t="s">
        <v>29</v>
      </c>
      <c r="C7" s="4" t="s">
        <v>32</v>
      </c>
      <c r="D7" s="5" t="s">
        <v>33</v>
      </c>
    </row>
    <row r="8" spans="1:14" x14ac:dyDescent="0.25">
      <c r="A8" t="str">
        <f t="shared" si="0"/>
        <v>CS400 100</v>
      </c>
      <c r="B8" s="4" t="s">
        <v>30</v>
      </c>
      <c r="C8" s="4" t="s">
        <v>32</v>
      </c>
      <c r="D8" s="5" t="s">
        <v>33</v>
      </c>
    </row>
    <row r="9" spans="1:14" x14ac:dyDescent="0.25">
      <c r="A9" t="str">
        <f t="shared" si="0"/>
        <v>CS500 100</v>
      </c>
      <c r="B9" s="4" t="s">
        <v>31</v>
      </c>
      <c r="C9" s="4" t="s">
        <v>32</v>
      </c>
      <c r="D9" s="5" t="s">
        <v>33</v>
      </c>
    </row>
    <row r="10" spans="1:14" x14ac:dyDescent="0.25">
      <c r="A10" t="str">
        <f t="shared" si="0"/>
        <v>CS500 200</v>
      </c>
      <c r="B10" s="4" t="s">
        <v>31</v>
      </c>
      <c r="C10" s="4" t="s">
        <v>34</v>
      </c>
      <c r="D10" s="5" t="s">
        <v>33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45"/>
  <sheetViews>
    <sheetView workbookViewId="0">
      <pane ySplit="1" topLeftCell="A2" activePane="bottomLeft" state="frozen"/>
      <selection pane="bottomLeft" activeCell="D15" sqref="D15"/>
    </sheetView>
  </sheetViews>
  <sheetFormatPr defaultRowHeight="15" x14ac:dyDescent="0.25"/>
  <cols>
    <col min="1" max="1" width="5.7109375" bestFit="1" customWidth="1"/>
    <col min="2" max="2" width="7.7109375" bestFit="1" customWidth="1"/>
    <col min="3" max="3" width="5.7109375" bestFit="1" customWidth="1"/>
    <col min="4" max="4" width="8.85546875" bestFit="1" customWidth="1"/>
    <col min="5" max="6" width="5.5703125" bestFit="1" customWidth="1"/>
    <col min="7" max="7" width="13.5703125" bestFit="1" customWidth="1"/>
    <col min="8" max="8" width="11.42578125" bestFit="1" customWidth="1"/>
  </cols>
  <sheetData>
    <row r="1" spans="1:8" x14ac:dyDescent="0.25">
      <c r="A1" t="s">
        <v>36</v>
      </c>
      <c r="B1" t="s">
        <v>37</v>
      </c>
      <c r="C1" t="s">
        <v>25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</row>
    <row r="2" spans="1:8" x14ac:dyDescent="0.25">
      <c r="A2">
        <v>1</v>
      </c>
      <c r="B2" t="s">
        <v>43</v>
      </c>
      <c r="C2" t="s">
        <v>33</v>
      </c>
      <c r="D2" t="s">
        <v>44</v>
      </c>
      <c r="E2" s="6">
        <v>0.33333333333333331</v>
      </c>
      <c r="F2" s="6">
        <v>0.3888888888888889</v>
      </c>
      <c r="G2" t="s">
        <v>45</v>
      </c>
      <c r="H2" t="s">
        <v>46</v>
      </c>
    </row>
    <row r="3" spans="1:8" x14ac:dyDescent="0.25">
      <c r="A3">
        <v>1</v>
      </c>
      <c r="B3" t="s">
        <v>47</v>
      </c>
      <c r="C3" t="s">
        <v>33</v>
      </c>
      <c r="D3" t="s">
        <v>44</v>
      </c>
      <c r="E3" s="6">
        <v>0.33333333333333331</v>
      </c>
      <c r="F3" s="6">
        <v>0.3888888888888889</v>
      </c>
      <c r="G3" t="s">
        <v>45</v>
      </c>
      <c r="H3" t="s">
        <v>48</v>
      </c>
    </row>
    <row r="4" spans="1:8" x14ac:dyDescent="0.25">
      <c r="A4">
        <v>2</v>
      </c>
      <c r="B4" t="s">
        <v>43</v>
      </c>
      <c r="C4" t="s">
        <v>33</v>
      </c>
      <c r="D4" t="s">
        <v>44</v>
      </c>
      <c r="E4" s="6">
        <v>0.33333333333333331</v>
      </c>
      <c r="F4" s="6">
        <v>0.3888888888888889</v>
      </c>
      <c r="G4" t="s">
        <v>45</v>
      </c>
      <c r="H4" t="s">
        <v>49</v>
      </c>
    </row>
    <row r="5" spans="1:8" x14ac:dyDescent="0.25">
      <c r="A5">
        <v>2</v>
      </c>
      <c r="B5" t="s">
        <v>47</v>
      </c>
      <c r="C5" t="s">
        <v>33</v>
      </c>
      <c r="D5" t="s">
        <v>44</v>
      </c>
      <c r="E5" s="6">
        <v>0.33333333333333331</v>
      </c>
      <c r="F5" s="6">
        <v>0.3888888888888889</v>
      </c>
      <c r="G5" t="s">
        <v>45</v>
      </c>
      <c r="H5" t="s">
        <v>50</v>
      </c>
    </row>
    <row r="6" spans="1:8" x14ac:dyDescent="0.25">
      <c r="A6">
        <v>3</v>
      </c>
      <c r="B6" t="s">
        <v>43</v>
      </c>
      <c r="C6" t="s">
        <v>33</v>
      </c>
      <c r="D6" t="s">
        <v>44</v>
      </c>
      <c r="E6" s="6">
        <v>0.33333333333333331</v>
      </c>
      <c r="F6" s="6">
        <v>0.3888888888888889</v>
      </c>
      <c r="G6" t="s">
        <v>45</v>
      </c>
      <c r="H6" t="s">
        <v>51</v>
      </c>
    </row>
    <row r="7" spans="1:8" x14ac:dyDescent="0.25">
      <c r="A7">
        <v>3</v>
      </c>
      <c r="B7" t="s">
        <v>47</v>
      </c>
      <c r="C7" t="s">
        <v>33</v>
      </c>
      <c r="D7" t="s">
        <v>52</v>
      </c>
      <c r="E7" s="6">
        <v>0.39583333333333331</v>
      </c>
      <c r="F7" s="6">
        <v>0.4513888888888889</v>
      </c>
      <c r="G7" t="s">
        <v>45</v>
      </c>
      <c r="H7" t="s">
        <v>51</v>
      </c>
    </row>
    <row r="8" spans="1:8" x14ac:dyDescent="0.25">
      <c r="A8">
        <v>4</v>
      </c>
      <c r="B8" t="s">
        <v>43</v>
      </c>
      <c r="C8" t="s">
        <v>33</v>
      </c>
      <c r="D8" t="s">
        <v>52</v>
      </c>
      <c r="E8" s="6">
        <v>0.39583333333333331</v>
      </c>
      <c r="F8" s="6">
        <v>0.4513888888888889</v>
      </c>
      <c r="G8" t="s">
        <v>45</v>
      </c>
      <c r="H8" t="s">
        <v>46</v>
      </c>
    </row>
    <row r="9" spans="1:8" x14ac:dyDescent="0.25">
      <c r="A9">
        <v>4</v>
      </c>
      <c r="B9" t="s">
        <v>47</v>
      </c>
      <c r="C9" t="s">
        <v>33</v>
      </c>
      <c r="D9" t="s">
        <v>52</v>
      </c>
      <c r="E9" s="6">
        <v>0.39583333333333331</v>
      </c>
      <c r="F9" s="6">
        <v>0.4513888888888889</v>
      </c>
      <c r="G9" t="s">
        <v>45</v>
      </c>
      <c r="H9" t="s">
        <v>48</v>
      </c>
    </row>
    <row r="10" spans="1:8" x14ac:dyDescent="0.25">
      <c r="A10">
        <v>5</v>
      </c>
      <c r="B10" t="s">
        <v>43</v>
      </c>
      <c r="C10" t="s">
        <v>33</v>
      </c>
      <c r="D10" t="s">
        <v>52</v>
      </c>
      <c r="E10" s="6">
        <v>0.39583333333333331</v>
      </c>
      <c r="F10" s="6">
        <v>0.4513888888888889</v>
      </c>
      <c r="G10" t="s">
        <v>45</v>
      </c>
      <c r="H10" t="s">
        <v>49</v>
      </c>
    </row>
    <row r="11" spans="1:8" x14ac:dyDescent="0.25">
      <c r="A11">
        <v>5</v>
      </c>
      <c r="B11" t="s">
        <v>47</v>
      </c>
      <c r="C11" t="s">
        <v>33</v>
      </c>
      <c r="D11" t="s">
        <v>52</v>
      </c>
      <c r="E11" s="6">
        <v>0.39583333333333331</v>
      </c>
      <c r="F11" s="6">
        <v>0.4513888888888889</v>
      </c>
      <c r="G11" t="s">
        <v>45</v>
      </c>
      <c r="H11" t="s">
        <v>50</v>
      </c>
    </row>
    <row r="12" spans="1:8" x14ac:dyDescent="0.25">
      <c r="A12">
        <v>6</v>
      </c>
      <c r="B12" t="s">
        <v>43</v>
      </c>
      <c r="C12" t="s">
        <v>33</v>
      </c>
      <c r="D12" t="s">
        <v>53</v>
      </c>
      <c r="E12" s="6">
        <v>0.45833333333333331</v>
      </c>
      <c r="F12" s="6">
        <v>0.51388888888888895</v>
      </c>
      <c r="G12" t="s">
        <v>45</v>
      </c>
      <c r="H12" t="s">
        <v>46</v>
      </c>
    </row>
    <row r="13" spans="1:8" x14ac:dyDescent="0.25">
      <c r="A13">
        <v>6</v>
      </c>
      <c r="B13" t="s">
        <v>47</v>
      </c>
      <c r="C13" t="s">
        <v>33</v>
      </c>
      <c r="D13" t="s">
        <v>53</v>
      </c>
      <c r="E13" s="6">
        <v>0.45833333333333331</v>
      </c>
      <c r="F13" s="6">
        <v>0.51388888888888895</v>
      </c>
      <c r="G13" t="s">
        <v>45</v>
      </c>
      <c r="H13" t="s">
        <v>51</v>
      </c>
    </row>
    <row r="14" spans="1:8" x14ac:dyDescent="0.25">
      <c r="A14">
        <v>7</v>
      </c>
      <c r="B14" t="s">
        <v>43</v>
      </c>
      <c r="C14" t="s">
        <v>33</v>
      </c>
      <c r="D14" t="s">
        <v>53</v>
      </c>
      <c r="E14" s="6">
        <v>0.45833333333333331</v>
      </c>
      <c r="F14" s="6">
        <v>0.51388888888888895</v>
      </c>
      <c r="G14" t="s">
        <v>45</v>
      </c>
      <c r="H14" t="s">
        <v>49</v>
      </c>
    </row>
    <row r="15" spans="1:8" x14ac:dyDescent="0.25">
      <c r="A15">
        <v>7</v>
      </c>
      <c r="B15" t="s">
        <v>47</v>
      </c>
      <c r="C15" t="s">
        <v>33</v>
      </c>
      <c r="D15" t="s">
        <v>53</v>
      </c>
      <c r="E15" s="6">
        <v>0.45833333333333331</v>
      </c>
      <c r="F15" s="6">
        <v>0.51388888888888895</v>
      </c>
      <c r="G15" t="s">
        <v>45</v>
      </c>
      <c r="H15" t="s">
        <v>50</v>
      </c>
    </row>
    <row r="16" spans="1:8" x14ac:dyDescent="0.25">
      <c r="A16">
        <v>8</v>
      </c>
      <c r="B16" t="s">
        <v>43</v>
      </c>
      <c r="C16" t="s">
        <v>33</v>
      </c>
      <c r="D16" t="s">
        <v>54</v>
      </c>
      <c r="E16" s="6">
        <v>0.52083333333333337</v>
      </c>
      <c r="F16" s="6">
        <v>0.57638888888888895</v>
      </c>
      <c r="G16" t="s">
        <v>55</v>
      </c>
      <c r="H16" t="s">
        <v>46</v>
      </c>
    </row>
    <row r="17" spans="1:8" x14ac:dyDescent="0.25">
      <c r="A17">
        <v>8</v>
      </c>
      <c r="B17" t="s">
        <v>47</v>
      </c>
      <c r="C17" t="s">
        <v>33</v>
      </c>
      <c r="D17" t="s">
        <v>54</v>
      </c>
      <c r="E17" s="6">
        <v>0.52083333333333337</v>
      </c>
      <c r="F17" s="6">
        <v>0.57638888888888895</v>
      </c>
      <c r="G17" t="s">
        <v>55</v>
      </c>
      <c r="H17" t="s">
        <v>51</v>
      </c>
    </row>
    <row r="18" spans="1:8" x14ac:dyDescent="0.25">
      <c r="A18">
        <v>9</v>
      </c>
      <c r="B18" t="s">
        <v>43</v>
      </c>
      <c r="C18" t="s">
        <v>33</v>
      </c>
      <c r="D18" t="s">
        <v>54</v>
      </c>
      <c r="E18" s="6">
        <v>0.52083333333333337</v>
      </c>
      <c r="F18" s="6">
        <v>0.57638888888888895</v>
      </c>
      <c r="G18" t="s">
        <v>55</v>
      </c>
      <c r="H18" t="s">
        <v>49</v>
      </c>
    </row>
    <row r="19" spans="1:8" x14ac:dyDescent="0.25">
      <c r="A19">
        <v>9</v>
      </c>
      <c r="B19" t="s">
        <v>47</v>
      </c>
      <c r="C19" t="s">
        <v>33</v>
      </c>
      <c r="D19" t="s">
        <v>54</v>
      </c>
      <c r="E19" s="6">
        <v>0.52083333333333337</v>
      </c>
      <c r="F19" s="6">
        <v>0.57638888888888895</v>
      </c>
      <c r="G19" t="s">
        <v>55</v>
      </c>
      <c r="H19" t="s">
        <v>50</v>
      </c>
    </row>
    <row r="20" spans="1:8" x14ac:dyDescent="0.25">
      <c r="A20">
        <v>10</v>
      </c>
      <c r="B20" t="s">
        <v>43</v>
      </c>
      <c r="C20" t="s">
        <v>33</v>
      </c>
      <c r="D20" t="s">
        <v>53</v>
      </c>
      <c r="E20" s="6">
        <v>0.45833333333333331</v>
      </c>
      <c r="F20" s="6">
        <v>0.51388888888888895</v>
      </c>
      <c r="G20" t="s">
        <v>56</v>
      </c>
      <c r="H20" t="s">
        <v>48</v>
      </c>
    </row>
    <row r="21" spans="1:8" x14ac:dyDescent="0.25">
      <c r="A21">
        <v>10</v>
      </c>
      <c r="B21" t="s">
        <v>47</v>
      </c>
      <c r="C21" t="s">
        <v>33</v>
      </c>
      <c r="D21" t="s">
        <v>54</v>
      </c>
      <c r="E21" s="6">
        <v>0.52083333333333337</v>
      </c>
      <c r="F21" s="6">
        <v>0.57638888888888895</v>
      </c>
      <c r="G21" t="s">
        <v>56</v>
      </c>
      <c r="H21" t="s">
        <v>48</v>
      </c>
    </row>
    <row r="22" spans="1:8" x14ac:dyDescent="0.25">
      <c r="A22">
        <v>11</v>
      </c>
      <c r="B22" t="s">
        <v>43</v>
      </c>
      <c r="C22" t="s">
        <v>33</v>
      </c>
      <c r="D22" t="s">
        <v>57</v>
      </c>
      <c r="E22" s="6">
        <v>0.58333333333333337</v>
      </c>
      <c r="F22" s="6">
        <v>0.55555555555555558</v>
      </c>
      <c r="G22" t="s">
        <v>55</v>
      </c>
      <c r="H22" t="s">
        <v>46</v>
      </c>
    </row>
    <row r="23" spans="1:8" x14ac:dyDescent="0.25">
      <c r="A23">
        <v>11</v>
      </c>
      <c r="B23" t="s">
        <v>47</v>
      </c>
      <c r="C23" t="s">
        <v>33</v>
      </c>
      <c r="D23" t="s">
        <v>57</v>
      </c>
      <c r="E23" s="6">
        <v>0.58333333333333337</v>
      </c>
      <c r="F23" s="6">
        <v>0.55555555555555558</v>
      </c>
      <c r="G23" t="s">
        <v>55</v>
      </c>
      <c r="H23" t="s">
        <v>51</v>
      </c>
    </row>
    <row r="24" spans="1:8" x14ac:dyDescent="0.25">
      <c r="A24">
        <v>12</v>
      </c>
      <c r="B24" t="s">
        <v>43</v>
      </c>
      <c r="C24" t="s">
        <v>33</v>
      </c>
      <c r="D24" t="s">
        <v>7</v>
      </c>
      <c r="E24" s="6">
        <v>0.64583333333333337</v>
      </c>
      <c r="F24" s="6">
        <v>0.70138888888888884</v>
      </c>
      <c r="G24" t="s">
        <v>55</v>
      </c>
      <c r="H24" t="s">
        <v>46</v>
      </c>
    </row>
    <row r="25" spans="1:8" x14ac:dyDescent="0.25">
      <c r="A25">
        <v>12</v>
      </c>
      <c r="B25" t="s">
        <v>47</v>
      </c>
      <c r="C25" t="s">
        <v>33</v>
      </c>
      <c r="D25" t="s">
        <v>7</v>
      </c>
      <c r="E25" s="6">
        <v>0.64583333333333337</v>
      </c>
      <c r="F25" s="6">
        <v>0.70138888888888884</v>
      </c>
      <c r="G25" t="s">
        <v>55</v>
      </c>
      <c r="H25" t="s">
        <v>48</v>
      </c>
    </row>
    <row r="26" spans="1:8" x14ac:dyDescent="0.25">
      <c r="A26">
        <v>13</v>
      </c>
      <c r="B26" t="s">
        <v>43</v>
      </c>
      <c r="C26" t="s">
        <v>33</v>
      </c>
      <c r="D26" t="s">
        <v>7</v>
      </c>
      <c r="E26" s="6">
        <v>0.64583333333333337</v>
      </c>
      <c r="F26" s="6">
        <v>0.70138888888888884</v>
      </c>
      <c r="G26" t="s">
        <v>55</v>
      </c>
      <c r="H26" t="s">
        <v>49</v>
      </c>
    </row>
    <row r="27" spans="1:8" x14ac:dyDescent="0.25">
      <c r="A27">
        <v>13</v>
      </c>
      <c r="B27" t="s">
        <v>47</v>
      </c>
      <c r="C27" t="s">
        <v>33</v>
      </c>
      <c r="D27" t="s">
        <v>7</v>
      </c>
      <c r="E27" s="6">
        <v>0.64583333333333337</v>
      </c>
      <c r="F27" s="6">
        <v>0.70138888888888884</v>
      </c>
      <c r="G27" t="s">
        <v>55</v>
      </c>
      <c r="H27" t="s">
        <v>51</v>
      </c>
    </row>
    <row r="28" spans="1:8" x14ac:dyDescent="0.25">
      <c r="A28">
        <v>14</v>
      </c>
      <c r="B28" t="s">
        <v>43</v>
      </c>
      <c r="C28" t="s">
        <v>33</v>
      </c>
      <c r="D28" t="s">
        <v>58</v>
      </c>
      <c r="E28" s="6">
        <v>0.70833333333333337</v>
      </c>
      <c r="F28" s="6">
        <v>0.76388888888888884</v>
      </c>
      <c r="G28" t="s">
        <v>55</v>
      </c>
      <c r="H28" t="s">
        <v>46</v>
      </c>
    </row>
    <row r="29" spans="1:8" x14ac:dyDescent="0.25">
      <c r="A29">
        <v>14</v>
      </c>
      <c r="B29" t="s">
        <v>47</v>
      </c>
      <c r="C29" t="s">
        <v>33</v>
      </c>
      <c r="D29" t="s">
        <v>58</v>
      </c>
      <c r="E29" s="6">
        <v>0.70833333333333337</v>
      </c>
      <c r="F29" s="6">
        <v>0.76388888888888884</v>
      </c>
      <c r="G29" t="s">
        <v>55</v>
      </c>
      <c r="H29" t="s">
        <v>48</v>
      </c>
    </row>
    <row r="30" spans="1:8" x14ac:dyDescent="0.25">
      <c r="A30">
        <v>15</v>
      </c>
      <c r="B30" t="s">
        <v>43</v>
      </c>
      <c r="C30" t="s">
        <v>33</v>
      </c>
      <c r="D30" t="s">
        <v>58</v>
      </c>
      <c r="E30" s="6">
        <v>0.70833333333333337</v>
      </c>
      <c r="F30" s="6">
        <v>0.76388888888888884</v>
      </c>
      <c r="G30" t="s">
        <v>55</v>
      </c>
      <c r="H30" t="s">
        <v>49</v>
      </c>
    </row>
    <row r="31" spans="1:8" x14ac:dyDescent="0.25">
      <c r="A31">
        <v>15</v>
      </c>
      <c r="B31" t="s">
        <v>47</v>
      </c>
      <c r="C31" t="s">
        <v>33</v>
      </c>
      <c r="D31" t="s">
        <v>58</v>
      </c>
      <c r="E31" s="6">
        <v>0.70833333333333337</v>
      </c>
      <c r="F31" s="6">
        <v>0.76388888888888884</v>
      </c>
      <c r="G31" t="s">
        <v>55</v>
      </c>
      <c r="H31" t="s">
        <v>51</v>
      </c>
    </row>
    <row r="32" spans="1:8" x14ac:dyDescent="0.25">
      <c r="A32">
        <v>16</v>
      </c>
      <c r="B32" t="s">
        <v>43</v>
      </c>
      <c r="C32" t="s">
        <v>33</v>
      </c>
      <c r="D32" t="s">
        <v>57</v>
      </c>
      <c r="E32" s="6">
        <v>0.58333333333333337</v>
      </c>
      <c r="F32" s="6">
        <v>0.55555555555555558</v>
      </c>
      <c r="G32" t="s">
        <v>55</v>
      </c>
      <c r="H32" t="s">
        <v>50</v>
      </c>
    </row>
    <row r="33" spans="1:8" x14ac:dyDescent="0.25">
      <c r="A33">
        <v>16</v>
      </c>
      <c r="B33" t="s">
        <v>47</v>
      </c>
      <c r="C33" t="s">
        <v>33</v>
      </c>
      <c r="D33" t="s">
        <v>7</v>
      </c>
      <c r="E33" s="6">
        <v>0.64583333333333337</v>
      </c>
      <c r="F33" s="6">
        <v>0.70138888888888884</v>
      </c>
      <c r="G33" t="s">
        <v>55</v>
      </c>
      <c r="H33" t="s">
        <v>50</v>
      </c>
    </row>
    <row r="34" spans="1:8" x14ac:dyDescent="0.25">
      <c r="A34">
        <v>17</v>
      </c>
      <c r="B34" t="s">
        <v>43</v>
      </c>
      <c r="C34" t="s">
        <v>33</v>
      </c>
      <c r="D34" t="s">
        <v>59</v>
      </c>
      <c r="E34" s="6">
        <v>0.70833333333333337</v>
      </c>
      <c r="F34" s="6">
        <v>0.76388888888888884</v>
      </c>
      <c r="G34" t="s">
        <v>55</v>
      </c>
      <c r="H34" t="s">
        <v>46</v>
      </c>
    </row>
    <row r="35" spans="1:8" x14ac:dyDescent="0.25">
      <c r="A35">
        <v>18</v>
      </c>
      <c r="B35" t="s">
        <v>43</v>
      </c>
      <c r="C35" t="s">
        <v>33</v>
      </c>
      <c r="D35" t="s">
        <v>59</v>
      </c>
      <c r="E35" s="6">
        <v>0.70833333333333337</v>
      </c>
      <c r="F35" s="6">
        <v>0.76388888888888884</v>
      </c>
      <c r="G35" t="s">
        <v>55</v>
      </c>
      <c r="H35" t="s">
        <v>49</v>
      </c>
    </row>
    <row r="36" spans="1:8" x14ac:dyDescent="0.25">
      <c r="A36">
        <v>19</v>
      </c>
      <c r="B36" t="s">
        <v>43</v>
      </c>
      <c r="C36" t="s">
        <v>33</v>
      </c>
      <c r="D36" t="s">
        <v>59</v>
      </c>
      <c r="E36" s="6">
        <v>0.70833333333333337</v>
      </c>
      <c r="F36" s="6">
        <v>0.76388888888888884</v>
      </c>
      <c r="G36" t="s">
        <v>55</v>
      </c>
      <c r="H36" t="s">
        <v>48</v>
      </c>
    </row>
    <row r="37" spans="1:8" x14ac:dyDescent="0.25">
      <c r="A37">
        <v>20</v>
      </c>
      <c r="B37" t="s">
        <v>43</v>
      </c>
      <c r="C37" t="s">
        <v>33</v>
      </c>
      <c r="D37" t="s">
        <v>59</v>
      </c>
      <c r="E37" s="6">
        <v>0.70833333333333337</v>
      </c>
      <c r="F37" s="6">
        <v>0.76388888888888884</v>
      </c>
      <c r="G37" t="s">
        <v>55</v>
      </c>
      <c r="H37" t="s">
        <v>51</v>
      </c>
    </row>
    <row r="38" spans="1:8" x14ac:dyDescent="0.25">
      <c r="A38">
        <v>21</v>
      </c>
      <c r="B38" t="s">
        <v>43</v>
      </c>
      <c r="C38" t="s">
        <v>58</v>
      </c>
      <c r="D38" t="s">
        <v>60</v>
      </c>
      <c r="E38" s="6">
        <v>0.70833333333333337</v>
      </c>
      <c r="F38" s="6">
        <v>0.80555555555555547</v>
      </c>
      <c r="G38" t="s">
        <v>55</v>
      </c>
      <c r="H38" t="s">
        <v>46</v>
      </c>
    </row>
    <row r="39" spans="1:8" x14ac:dyDescent="0.25">
      <c r="A39">
        <v>22</v>
      </c>
      <c r="B39" t="s">
        <v>43</v>
      </c>
      <c r="C39" t="s">
        <v>58</v>
      </c>
      <c r="D39" t="s">
        <v>60</v>
      </c>
      <c r="E39" s="6">
        <v>0.70833333333333337</v>
      </c>
      <c r="F39" s="6">
        <v>0.80555555555555547</v>
      </c>
      <c r="G39" t="s">
        <v>55</v>
      </c>
      <c r="H39" t="s">
        <v>49</v>
      </c>
    </row>
    <row r="40" spans="1:8" x14ac:dyDescent="0.25">
      <c r="A40">
        <v>23</v>
      </c>
      <c r="B40" t="s">
        <v>43</v>
      </c>
      <c r="C40" t="s">
        <v>58</v>
      </c>
      <c r="D40" t="s">
        <v>60</v>
      </c>
      <c r="E40" s="6">
        <v>0.70833333333333337</v>
      </c>
      <c r="F40" s="6">
        <v>0.80555555555555547</v>
      </c>
      <c r="G40" t="s">
        <v>55</v>
      </c>
      <c r="H40" t="s">
        <v>48</v>
      </c>
    </row>
    <row r="41" spans="1:8" x14ac:dyDescent="0.25">
      <c r="A41">
        <v>24</v>
      </c>
      <c r="B41" t="s">
        <v>43</v>
      </c>
      <c r="C41" t="s">
        <v>58</v>
      </c>
      <c r="D41" t="s">
        <v>60</v>
      </c>
      <c r="E41" s="6">
        <v>0.70833333333333337</v>
      </c>
      <c r="F41" s="6">
        <v>0.80555555555555547</v>
      </c>
      <c r="G41" t="s">
        <v>55</v>
      </c>
      <c r="H41" t="s">
        <v>51</v>
      </c>
    </row>
    <row r="42" spans="1:8" x14ac:dyDescent="0.25">
      <c r="A42">
        <v>25</v>
      </c>
      <c r="B42" t="s">
        <v>43</v>
      </c>
      <c r="C42" t="s">
        <v>58</v>
      </c>
      <c r="D42" t="s">
        <v>61</v>
      </c>
      <c r="E42" s="6">
        <v>0.8125</v>
      </c>
      <c r="F42" s="6">
        <v>0.90972222222222221</v>
      </c>
      <c r="G42" t="s">
        <v>55</v>
      </c>
      <c r="H42" t="s">
        <v>46</v>
      </c>
    </row>
    <row r="43" spans="1:8" x14ac:dyDescent="0.25">
      <c r="A43">
        <v>26</v>
      </c>
      <c r="B43" t="s">
        <v>43</v>
      </c>
      <c r="C43" t="s">
        <v>58</v>
      </c>
      <c r="D43" t="s">
        <v>61</v>
      </c>
      <c r="E43" s="6">
        <v>0.8125</v>
      </c>
      <c r="F43" s="6">
        <v>0.90972222222222221</v>
      </c>
      <c r="G43" t="s">
        <v>55</v>
      </c>
      <c r="H43" t="s">
        <v>49</v>
      </c>
    </row>
    <row r="44" spans="1:8" x14ac:dyDescent="0.25">
      <c r="A44">
        <v>27</v>
      </c>
      <c r="B44" t="s">
        <v>43</v>
      </c>
      <c r="C44" t="s">
        <v>58</v>
      </c>
      <c r="D44" t="s">
        <v>61</v>
      </c>
      <c r="E44" s="6">
        <v>0.8125</v>
      </c>
      <c r="F44" s="6">
        <v>0.90972222222222221</v>
      </c>
      <c r="G44" t="s">
        <v>55</v>
      </c>
      <c r="H44" t="s">
        <v>48</v>
      </c>
    </row>
    <row r="45" spans="1:8" x14ac:dyDescent="0.25">
      <c r="A45">
        <v>28</v>
      </c>
      <c r="B45" t="s">
        <v>43</v>
      </c>
      <c r="C45" t="s">
        <v>58</v>
      </c>
      <c r="D45" t="s">
        <v>61</v>
      </c>
      <c r="E45" s="6">
        <v>0.8125</v>
      </c>
      <c r="F45" s="6">
        <v>0.90972222222222221</v>
      </c>
      <c r="G45" t="s">
        <v>55</v>
      </c>
      <c r="H45" t="s">
        <v>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2"/>
  <sheetViews>
    <sheetView workbookViewId="0">
      <selection activeCell="A33" sqref="A33:B42"/>
    </sheetView>
  </sheetViews>
  <sheetFormatPr defaultRowHeight="15" x14ac:dyDescent="0.25"/>
  <sheetData>
    <row r="1" spans="1:12" x14ac:dyDescent="0.25">
      <c r="A1" t="s">
        <v>62</v>
      </c>
      <c r="B1" t="s">
        <v>1</v>
      </c>
      <c r="C1" t="s">
        <v>8</v>
      </c>
      <c r="D1" t="s">
        <v>9</v>
      </c>
      <c r="E1" t="s">
        <v>10</v>
      </c>
      <c r="F1" t="s">
        <v>12</v>
      </c>
      <c r="G1" t="s">
        <v>13</v>
      </c>
      <c r="H1" t="s">
        <v>15</v>
      </c>
      <c r="I1" t="s">
        <v>17</v>
      </c>
      <c r="J1" t="s">
        <v>20</v>
      </c>
      <c r="K1" t="s">
        <v>21</v>
      </c>
    </row>
    <row r="2" spans="1:12" x14ac:dyDescent="0.25">
      <c r="A2" t="s">
        <v>6</v>
      </c>
      <c r="B2" t="s">
        <v>7</v>
      </c>
      <c r="C2">
        <v>4</v>
      </c>
      <c r="D2">
        <v>3</v>
      </c>
      <c r="E2">
        <v>2</v>
      </c>
    </row>
    <row r="3" spans="1:12" x14ac:dyDescent="0.25">
      <c r="A3" t="s">
        <v>11</v>
      </c>
      <c r="B3" t="s">
        <v>7</v>
      </c>
      <c r="F3">
        <v>4</v>
      </c>
      <c r="G3">
        <v>3</v>
      </c>
    </row>
    <row r="4" spans="1:12" x14ac:dyDescent="0.25">
      <c r="A4" t="s">
        <v>14</v>
      </c>
      <c r="B4" t="s">
        <v>7</v>
      </c>
      <c r="H4">
        <v>4</v>
      </c>
    </row>
    <row r="5" spans="1:12" x14ac:dyDescent="0.25">
      <c r="A5" t="s">
        <v>16</v>
      </c>
      <c r="B5" t="s">
        <v>7</v>
      </c>
      <c r="I5">
        <v>4</v>
      </c>
    </row>
    <row r="6" spans="1:12" x14ac:dyDescent="0.25">
      <c r="A6" t="s">
        <v>18</v>
      </c>
      <c r="B6" t="s">
        <v>19</v>
      </c>
      <c r="J6">
        <v>4</v>
      </c>
      <c r="K6">
        <v>3</v>
      </c>
    </row>
    <row r="8" spans="1:12" x14ac:dyDescent="0.25">
      <c r="A8" t="s">
        <v>64</v>
      </c>
      <c r="B8" t="s">
        <v>1</v>
      </c>
      <c r="C8" t="s">
        <v>8</v>
      </c>
      <c r="D8" t="s">
        <v>9</v>
      </c>
      <c r="E8" t="s">
        <v>10</v>
      </c>
      <c r="F8" t="s">
        <v>12</v>
      </c>
      <c r="G8" t="s">
        <v>13</v>
      </c>
      <c r="H8" t="s">
        <v>15</v>
      </c>
      <c r="I8" t="s">
        <v>17</v>
      </c>
      <c r="J8" t="s">
        <v>20</v>
      </c>
      <c r="K8" t="s">
        <v>21</v>
      </c>
    </row>
    <row r="9" spans="1:12" x14ac:dyDescent="0.25">
      <c r="A9" t="s">
        <v>6</v>
      </c>
      <c r="B9" t="s">
        <v>7</v>
      </c>
      <c r="C9">
        <v>0.4444444477558136</v>
      </c>
      <c r="D9">
        <v>0.3333333432674408</v>
      </c>
      <c r="E9">
        <v>0.2222222238779068</v>
      </c>
    </row>
    <row r="10" spans="1:12" x14ac:dyDescent="0.25">
      <c r="A10" t="s">
        <v>11</v>
      </c>
      <c r="B10" t="s">
        <v>7</v>
      </c>
      <c r="F10">
        <v>0.57142859697341919</v>
      </c>
      <c r="G10">
        <v>0.4285714328289032</v>
      </c>
    </row>
    <row r="11" spans="1:12" x14ac:dyDescent="0.25">
      <c r="A11" t="s">
        <v>14</v>
      </c>
      <c r="B11" t="s">
        <v>7</v>
      </c>
      <c r="H11">
        <v>0.57142859697341919</v>
      </c>
    </row>
    <row r="12" spans="1:12" x14ac:dyDescent="0.25">
      <c r="A12" t="s">
        <v>16</v>
      </c>
      <c r="B12" t="s">
        <v>7</v>
      </c>
      <c r="I12">
        <v>0.57142859697341919</v>
      </c>
    </row>
    <row r="13" spans="1:12" x14ac:dyDescent="0.25">
      <c r="A13" t="s">
        <v>18</v>
      </c>
      <c r="B13" t="s">
        <v>19</v>
      </c>
      <c r="J13">
        <v>0.57142859697341919</v>
      </c>
      <c r="K13">
        <v>0.4285714328289032</v>
      </c>
    </row>
    <row r="15" spans="1:12" x14ac:dyDescent="0.25">
      <c r="A15" t="s">
        <v>63</v>
      </c>
      <c r="B15" t="s">
        <v>1</v>
      </c>
      <c r="C15" t="s">
        <v>8</v>
      </c>
      <c r="D15" t="s">
        <v>9</v>
      </c>
      <c r="E15" t="s">
        <v>10</v>
      </c>
      <c r="F15" t="s">
        <v>12</v>
      </c>
      <c r="G15" t="s">
        <v>13</v>
      </c>
      <c r="H15" t="s">
        <v>15</v>
      </c>
      <c r="I15" t="s">
        <v>17</v>
      </c>
      <c r="J15" t="s">
        <v>20</v>
      </c>
      <c r="K15" t="s">
        <v>21</v>
      </c>
    </row>
    <row r="16" spans="1:12" x14ac:dyDescent="0.25">
      <c r="A16" t="s">
        <v>6</v>
      </c>
      <c r="B16">
        <v>1</v>
      </c>
      <c r="C16">
        <v>1</v>
      </c>
      <c r="D16">
        <v>1</v>
      </c>
      <c r="E16">
        <v>1</v>
      </c>
      <c r="L16">
        <f>SUM($C$16:$K$16)</f>
        <v>3</v>
      </c>
    </row>
    <row r="17" spans="1:12" x14ac:dyDescent="0.25">
      <c r="A17" t="s">
        <v>11</v>
      </c>
      <c r="B17">
        <v>1</v>
      </c>
      <c r="F17">
        <v>1</v>
      </c>
      <c r="G17">
        <v>1</v>
      </c>
      <c r="L17">
        <f>SUM($C$17:$K$17)</f>
        <v>2</v>
      </c>
    </row>
    <row r="18" spans="1:12" x14ac:dyDescent="0.25">
      <c r="A18" t="s">
        <v>14</v>
      </c>
      <c r="B18">
        <v>1</v>
      </c>
      <c r="H18">
        <v>1</v>
      </c>
      <c r="L18">
        <f>SUM($C$18:$K$18)</f>
        <v>1</v>
      </c>
    </row>
    <row r="19" spans="1:12" x14ac:dyDescent="0.25">
      <c r="A19" t="s">
        <v>16</v>
      </c>
      <c r="B19">
        <v>1</v>
      </c>
      <c r="I19">
        <v>1</v>
      </c>
      <c r="L19">
        <f>SUM($C$19:$K$19)</f>
        <v>1</v>
      </c>
    </row>
    <row r="20" spans="1:12" x14ac:dyDescent="0.25">
      <c r="A20" t="s">
        <v>18</v>
      </c>
      <c r="B20">
        <v>0</v>
      </c>
      <c r="J20">
        <v>1</v>
      </c>
      <c r="K20">
        <v>1</v>
      </c>
      <c r="L20">
        <f>SUM($C$20:$K$20)</f>
        <v>2</v>
      </c>
    </row>
    <row r="21" spans="1:12" x14ac:dyDescent="0.25">
      <c r="A21" t="s">
        <v>69</v>
      </c>
      <c r="C21">
        <f>SUMPRODUCT($C$9:$K$13,$C$16:$K$20)</f>
        <v>4.1428572684526443</v>
      </c>
      <c r="D21" t="s">
        <v>65</v>
      </c>
    </row>
    <row r="23" spans="1:12" x14ac:dyDescent="0.25">
      <c r="A23" t="s">
        <v>70</v>
      </c>
      <c r="C23" t="s">
        <v>71</v>
      </c>
      <c r="F23">
        <f>IF(SUM($L$16:$L$20)=0,0,SUMPRODUCT($B$16:$B$20,$L$16:$L$20)/SUM($L$16:$L$20))</f>
        <v>0.77777777777777779</v>
      </c>
      <c r="G23" t="s">
        <v>66</v>
      </c>
      <c r="H23">
        <v>0.75</v>
      </c>
    </row>
    <row r="24" spans="1:12" x14ac:dyDescent="0.25">
      <c r="C24" t="s">
        <v>72</v>
      </c>
    </row>
    <row r="25" spans="1:12" x14ac:dyDescent="0.25">
      <c r="C25" t="s">
        <v>67</v>
      </c>
    </row>
    <row r="26" spans="1:12" x14ac:dyDescent="0.25">
      <c r="C26">
        <f>SUM($C$16:$C$20)</f>
        <v>1</v>
      </c>
      <c r="D26">
        <f>SUM($D$16:$D$20)</f>
        <v>1</v>
      </c>
      <c r="E26">
        <f>SUM($E$16:$E$20)</f>
        <v>1</v>
      </c>
      <c r="F26">
        <f>SUM($F$16:$F$20)</f>
        <v>1</v>
      </c>
      <c r="G26">
        <f>SUM($G$16:$G$20)</f>
        <v>1</v>
      </c>
      <c r="H26">
        <f>SUM($H$16:$H$20)</f>
        <v>1</v>
      </c>
      <c r="I26">
        <f>SUM($I$16:$I$20)</f>
        <v>1</v>
      </c>
      <c r="J26">
        <f>SUM($J$16:$J$20)</f>
        <v>1</v>
      </c>
      <c r="K26">
        <f>SUM($K$16:$K$20)</f>
        <v>1</v>
      </c>
    </row>
    <row r="27" spans="1:12" x14ac:dyDescent="0.25">
      <c r="C27" t="s">
        <v>68</v>
      </c>
      <c r="D27" t="s">
        <v>68</v>
      </c>
      <c r="E27" t="s">
        <v>68</v>
      </c>
      <c r="F27" t="s">
        <v>68</v>
      </c>
      <c r="G27" t="s">
        <v>68</v>
      </c>
      <c r="H27" t="s">
        <v>68</v>
      </c>
      <c r="I27" t="s">
        <v>68</v>
      </c>
      <c r="J27" t="s">
        <v>68</v>
      </c>
      <c r="K27" t="s">
        <v>68</v>
      </c>
    </row>
    <row r="28" spans="1:12" x14ac:dyDescent="0.25"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</row>
    <row r="30" spans="1:12" x14ac:dyDescent="0.25">
      <c r="A30" t="s">
        <v>73</v>
      </c>
      <c r="B30" t="s">
        <v>74</v>
      </c>
      <c r="C30" t="s">
        <v>8</v>
      </c>
      <c r="D30" t="s">
        <v>9</v>
      </c>
      <c r="E30" t="s">
        <v>10</v>
      </c>
      <c r="F30" t="s">
        <v>12</v>
      </c>
      <c r="G30" t="s">
        <v>13</v>
      </c>
      <c r="H30" t="s">
        <v>15</v>
      </c>
      <c r="I30" t="s">
        <v>17</v>
      </c>
      <c r="J30" t="s">
        <v>20</v>
      </c>
      <c r="K30" t="s">
        <v>21</v>
      </c>
    </row>
    <row r="31" spans="1:12" x14ac:dyDescent="0.25">
      <c r="B31" t="s">
        <v>75</v>
      </c>
      <c r="C31" t="s">
        <v>6</v>
      </c>
      <c r="D31" t="s">
        <v>6</v>
      </c>
      <c r="E31" t="s">
        <v>6</v>
      </c>
      <c r="F31" t="s">
        <v>11</v>
      </c>
      <c r="G31" t="s">
        <v>11</v>
      </c>
      <c r="H31" t="s">
        <v>14</v>
      </c>
      <c r="I31" t="s">
        <v>16</v>
      </c>
      <c r="J31" t="s">
        <v>18</v>
      </c>
      <c r="K31" t="s">
        <v>18</v>
      </c>
    </row>
    <row r="33" spans="1:2" x14ac:dyDescent="0.25">
      <c r="A33" t="s">
        <v>74</v>
      </c>
      <c r="B33" t="s">
        <v>75</v>
      </c>
    </row>
    <row r="34" spans="1:2" x14ac:dyDescent="0.25">
      <c r="A34" t="s">
        <v>8</v>
      </c>
      <c r="B34" t="s">
        <v>6</v>
      </c>
    </row>
    <row r="35" spans="1:2" x14ac:dyDescent="0.25">
      <c r="A35" t="s">
        <v>9</v>
      </c>
      <c r="B35" t="s">
        <v>6</v>
      </c>
    </row>
    <row r="36" spans="1:2" x14ac:dyDescent="0.25">
      <c r="A36" t="s">
        <v>10</v>
      </c>
      <c r="B36" t="s">
        <v>6</v>
      </c>
    </row>
    <row r="37" spans="1:2" x14ac:dyDescent="0.25">
      <c r="A37" t="s">
        <v>12</v>
      </c>
      <c r="B37" t="s">
        <v>11</v>
      </c>
    </row>
    <row r="38" spans="1:2" x14ac:dyDescent="0.25">
      <c r="A38" t="s">
        <v>13</v>
      </c>
      <c r="B38" t="s">
        <v>11</v>
      </c>
    </row>
    <row r="39" spans="1:2" x14ac:dyDescent="0.25">
      <c r="A39" t="s">
        <v>15</v>
      </c>
      <c r="B39" t="s">
        <v>14</v>
      </c>
    </row>
    <row r="40" spans="1:2" x14ac:dyDescent="0.25">
      <c r="A40" t="s">
        <v>17</v>
      </c>
      <c r="B40" t="s">
        <v>16</v>
      </c>
    </row>
    <row r="41" spans="1:2" x14ac:dyDescent="0.25">
      <c r="A41" t="s">
        <v>20</v>
      </c>
      <c r="B41" t="s">
        <v>18</v>
      </c>
    </row>
    <row r="42" spans="1:2" x14ac:dyDescent="0.25">
      <c r="A42" t="s">
        <v>21</v>
      </c>
      <c r="B42" t="s">
        <v>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PrintOut</vt:lpstr>
      <vt:lpstr>Input_Professor</vt:lpstr>
      <vt:lpstr>Input_Course</vt:lpstr>
      <vt:lpstr>Block_Info</vt:lpstr>
      <vt:lpstr>Calculator</vt:lpstr>
      <vt:lpstr>Solution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2017-02-25T21:18:38Z</dcterms:created>
  <dcterms:modified xsi:type="dcterms:W3CDTF">2017-02-26T04:42:10Z</dcterms:modified>
</cp:coreProperties>
</file>