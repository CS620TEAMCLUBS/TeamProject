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mchung\Desktop\"/>
    </mc:Choice>
  </mc:AlternateContent>
  <bookViews>
    <workbookView xWindow="0" yWindow="0" windowWidth="23040" windowHeight="9048" tabRatio="685" activeTab="2"/>
  </bookViews>
  <sheets>
    <sheet name="Instruction" sheetId="11" r:id="rId1"/>
    <sheet name="Input_Course" sheetId="2" r:id="rId2"/>
    <sheet name="Input_Professor" sheetId="1" r:id="rId3"/>
    <sheet name="PrintOut" sheetId="4" r:id="rId4"/>
    <sheet name="Block_Info" sheetId="9" state="hidden" r:id="rId5"/>
    <sheet name="Calculator" sheetId="10" state="hidden" r:id="rId6"/>
  </sheets>
  <definedNames>
    <definedName name="_xlnm._FilterDatabase" localSheetId="4" hidden="1">Block_Info!$A$1:$D$45</definedName>
    <definedName name="_xlnm.Print_Area" localSheetId="3">PrintOut!$A$1:$G$12</definedName>
    <definedName name="solver_adj" localSheetId="5" hidden="1">Calculator!$I$12,Calculator!$D$12,Calculator!$E$12,Calculator!$F$12,Calculator!$C$13,Calculator!$D$13,Calculator!$E$13,Calculator!$F$14,Calculator!$G$14,Calculator!$H$14</definedName>
    <definedName name="solver_eng" localSheetId="5" hidden="1">1</definedName>
    <definedName name="solver_eng" localSheetId="1" hidden="1">1</definedName>
    <definedName name="solver_eng" localSheetId="3" hidden="1">1</definedName>
    <definedName name="solver_lhs1" localSheetId="5" hidden="1">Calculator!$I$12</definedName>
    <definedName name="solver_lhs10" localSheetId="5" hidden="1">Calculator!$H$14</definedName>
    <definedName name="solver_lhs11" localSheetId="5" hidden="1">Calculator!$F$17</definedName>
    <definedName name="solver_lhs12" localSheetId="5" hidden="1">Calculator!$C$20:$I$20</definedName>
    <definedName name="solver_lhs2" localSheetId="5" hidden="1">Calculator!$D$12</definedName>
    <definedName name="solver_lhs3" localSheetId="5" hidden="1">Calculator!$E$12</definedName>
    <definedName name="solver_lhs4" localSheetId="5" hidden="1">Calculator!$I$12</definedName>
    <definedName name="solver_lhs5" localSheetId="5" hidden="1">Calculator!$C$13</definedName>
    <definedName name="solver_lhs6" localSheetId="5" hidden="1">Calculator!$D$13</definedName>
    <definedName name="solver_lhs7" localSheetId="5" hidden="1">Calculator!$E$13</definedName>
    <definedName name="solver_lhs8" localSheetId="5" hidden="1">Calculator!$F$14</definedName>
    <definedName name="solver_lhs9" localSheetId="5" hidden="1">Calculator!$G$14</definedName>
    <definedName name="solver_lin" localSheetId="1" hidden="1">2</definedName>
    <definedName name="solver_neg" localSheetId="5" hidden="1">1</definedName>
    <definedName name="solver_neg" localSheetId="1" hidden="1">1</definedName>
    <definedName name="solver_neg" localSheetId="3" hidden="1">1</definedName>
    <definedName name="solver_num" localSheetId="5" hidden="1">12</definedName>
    <definedName name="solver_num" localSheetId="1" hidden="1">0</definedName>
    <definedName name="solver_num" localSheetId="3" hidden="1">0</definedName>
    <definedName name="solver_opt" localSheetId="5" hidden="1">Calculator!$C$15</definedName>
    <definedName name="solver_opt" localSheetId="1" hidden="1">Input_Course!$J$83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3</definedName>
    <definedName name="solver_rel12" localSheetId="5" hidden="1">2</definedName>
    <definedName name="solver_rel2" localSheetId="5" hidden="1">5</definedName>
    <definedName name="solver_rel3" localSheetId="5" hidden="1">5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Calculator!$H$17</definedName>
    <definedName name="solver_rhs12" localSheetId="5" hidden="1">Calculator!$C$22:$I$22</definedName>
    <definedName name="solver_rhs2" localSheetId="5" hidden="1">binary</definedName>
    <definedName name="solver_rhs3" localSheetId="5" hidden="1">binary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1" hidden="1">1</definedName>
    <definedName name="solver_typ" localSheetId="3" hidden="1">1</definedName>
    <definedName name="solver_val" localSheetId="5" hidden="1">0</definedName>
    <definedName name="solver_val" localSheetId="1" hidden="1">0</definedName>
    <definedName name="solver_val" localSheetId="3" hidden="1">0</definedName>
    <definedName name="solver_ver" localSheetId="5" hidden="1">3</definedName>
    <definedName name="solver_ver" localSheetId="1" hidden="1">2</definedName>
    <definedName name="solver_ver" localSheetId="3" hidden="1">3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9" i="2" l="1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I25" i="10"/>
  <c r="H25" i="10"/>
  <c r="G25" i="10"/>
  <c r="F25" i="10"/>
  <c r="E25" i="10"/>
  <c r="D25" i="10"/>
  <c r="C25" i="10"/>
  <c r="I20" i="10"/>
  <c r="H20" i="10"/>
  <c r="G20" i="10"/>
  <c r="F20" i="10"/>
  <c r="E20" i="10"/>
  <c r="D20" i="10"/>
  <c r="C20" i="10"/>
  <c r="J12" i="10"/>
  <c r="J13" i="10"/>
  <c r="J14" i="10"/>
  <c r="F17" i="10"/>
  <c r="C15" i="10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sharedStrings.xml><?xml version="1.0" encoding="utf-8"?>
<sst xmlns="http://schemas.openxmlformats.org/spreadsheetml/2006/main" count="564" uniqueCount="230">
  <si>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</si>
  <si>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</si>
  <si>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</si>
  <si>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</si>
  <si>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</si>
  <si>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</si>
  <si>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</si>
  <si>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</si>
  <si>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</si>
  <si>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</si>
  <si>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</si>
  <si>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</si>
  <si>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</si>
  <si>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</si>
  <si>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</si>
  <si>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</si>
  <si>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</si>
  <si>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</si>
  <si>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</si>
  <si>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</si>
  <si>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</si>
  <si>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</si>
  <si>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</si>
  <si>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</si>
  <si>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</si>
  <si>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</si>
  <si>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</si>
  <si>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</si>
  <si>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</si>
  <si>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</si>
  <si>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</si>
  <si>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</si>
  <si>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</si>
  <si>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</si>
  <si>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</si>
  <si>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</si>
  <si>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</si>
  <si>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</si>
  <si>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</si>
  <si>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</si>
  <si>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</si>
  <si>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 xml:space="preserve">FIN200 </t>
  </si>
  <si>
    <t>FIN200 200</t>
  </si>
  <si>
    <t>FIN200 300</t>
  </si>
  <si>
    <t>FIN200 100</t>
  </si>
  <si>
    <t>Input</t>
  </si>
  <si>
    <t>Score</t>
  </si>
  <si>
    <t>Decision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</si>
  <si>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</si>
  <si>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</si>
  <si>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</si>
  <si>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</si>
  <si>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</si>
  <si>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</si>
  <si>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</si>
  <si>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</si>
  <si>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Solution</t>
  </si>
  <si>
    <t>Course Session</t>
  </si>
  <si>
    <t>Professor 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</si>
  <si>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</si>
  <si>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</si>
  <si>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</si>
  <si>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</si>
  <si>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</si>
  <si>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</si>
  <si>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</si>
  <si>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</si>
  <si>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</si>
  <si>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</si>
  <si>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</si>
  <si>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</si>
  <si>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</si>
  <si>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</si>
  <si>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</si>
  <si>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</si>
  <si>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</si>
  <si>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</si>
  <si>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</si>
  <si>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</si>
  <si>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</si>
  <si>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</si>
  <si>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</si>
  <si>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</si>
  <si>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</si>
  <si>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</si>
  <si>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</si>
  <si>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</si>
  <si>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</si>
  <si>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</si>
  <si>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</si>
  <si>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</si>
  <si>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</si>
  <si>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</si>
  <si>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</si>
  <si>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</si>
  <si>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</si>
  <si>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</si>
  <si>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</si>
  <si>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</si>
  <si>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</si>
  <si>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</si>
  <si>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</si>
  <si>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</si>
  <si>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</si>
  <si>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</si>
  <si>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</si>
  <si>
    <t>FIN201</t>
  </si>
  <si>
    <t>FIN202</t>
  </si>
  <si>
    <t>ACC100</t>
  </si>
  <si>
    <t>ACC101</t>
  </si>
  <si>
    <t>ACC102</t>
  </si>
  <si>
    <t>ACC103</t>
  </si>
  <si>
    <t>ACC104</t>
  </si>
  <si>
    <t>ACC105</t>
  </si>
  <si>
    <t>ACC106</t>
  </si>
  <si>
    <t>ACC107</t>
  </si>
  <si>
    <t>ACC108</t>
  </si>
  <si>
    <t>ACC109</t>
  </si>
  <si>
    <t>ACC110</t>
  </si>
  <si>
    <t>ACC111</t>
  </si>
  <si>
    <t>ACC112</t>
  </si>
  <si>
    <t>ACC113</t>
  </si>
  <si>
    <t>ACC114</t>
  </si>
  <si>
    <t>ACC115</t>
  </si>
  <si>
    <t>ACC116</t>
  </si>
  <si>
    <t>ACC117</t>
  </si>
  <si>
    <t>ACC118</t>
  </si>
  <si>
    <t>CS200</t>
  </si>
  <si>
    <t>CS201</t>
  </si>
  <si>
    <t>CS202</t>
  </si>
  <si>
    <t>CS203</t>
  </si>
  <si>
    <t>CS204</t>
  </si>
  <si>
    <t>CS205</t>
  </si>
  <si>
    <t>CS206</t>
  </si>
  <si>
    <t>CS207</t>
  </si>
  <si>
    <t>CS208</t>
  </si>
  <si>
    <t>CS209</t>
  </si>
  <si>
    <t>CS210</t>
  </si>
  <si>
    <t>CS211</t>
  </si>
  <si>
    <t>CS212</t>
  </si>
  <si>
    <t>CS213</t>
  </si>
  <si>
    <t>CS214</t>
  </si>
  <si>
    <t>CS215</t>
  </si>
  <si>
    <t>CS216</t>
  </si>
  <si>
    <t>MGT100</t>
  </si>
  <si>
    <t>MGT101</t>
  </si>
  <si>
    <t>MGT102</t>
  </si>
  <si>
    <t>MGT103</t>
  </si>
  <si>
    <t>MGT104</t>
  </si>
  <si>
    <t>MGT105</t>
  </si>
  <si>
    <t>MGT106</t>
  </si>
  <si>
    <t>MGT107</t>
  </si>
  <si>
    <t>MGT108</t>
  </si>
  <si>
    <t>MGT109</t>
  </si>
  <si>
    <t>MGT110</t>
  </si>
  <si>
    <t>MGT111</t>
  </si>
  <si>
    <t>MGT112</t>
  </si>
  <si>
    <t>MGT113</t>
  </si>
  <si>
    <t>MGT114</t>
  </si>
  <si>
    <t>MGT115</t>
  </si>
  <si>
    <t>MGT116</t>
  </si>
  <si>
    <t>MGT117</t>
  </si>
  <si>
    <t>MGT118</t>
  </si>
  <si>
    <t>MGT119</t>
  </si>
  <si>
    <t>MGT120</t>
  </si>
  <si>
    <t>MGT121</t>
  </si>
  <si>
    <t>MGT122</t>
  </si>
  <si>
    <t>MGT123</t>
  </si>
  <si>
    <t>MGT124</t>
  </si>
  <si>
    <t>ACCT100</t>
  </si>
  <si>
    <t>ACCT101</t>
  </si>
  <si>
    <t>ACCT102</t>
  </si>
  <si>
    <t>ACCT103</t>
  </si>
  <si>
    <t>ACCT104</t>
  </si>
  <si>
    <t>ACCT105</t>
  </si>
  <si>
    <t>ACCT106</t>
  </si>
  <si>
    <t>ACCT107</t>
  </si>
  <si>
    <t>ACCT108</t>
  </si>
  <si>
    <t>ACCT109</t>
  </si>
  <si>
    <t>ACCT110</t>
  </si>
  <si>
    <t>ACCT111</t>
  </si>
  <si>
    <t>ACCT112</t>
  </si>
  <si>
    <t>ACCT113</t>
  </si>
  <si>
    <t>ACCT114</t>
  </si>
  <si>
    <t>ACCT115</t>
  </si>
  <si>
    <t>ACCT116</t>
  </si>
  <si>
    <t>ACCT117</t>
  </si>
  <si>
    <t>ACCT118</t>
  </si>
  <si>
    <t>ACCT119</t>
  </si>
  <si>
    <t>ACCT120</t>
  </si>
  <si>
    <t>ACCT121</t>
  </si>
  <si>
    <t>ACCT122</t>
  </si>
  <si>
    <t>ACCT123</t>
  </si>
  <si>
    <t>ACCT124</t>
  </si>
  <si>
    <t>ACCT125</t>
  </si>
  <si>
    <t>ACCT126</t>
  </si>
  <si>
    <t>ACCT127</t>
  </si>
  <si>
    <t>ACCT128</t>
  </si>
  <si>
    <t>ACCT129</t>
  </si>
  <si>
    <t>ACCT130</t>
  </si>
  <si>
    <t>ACCT131</t>
  </si>
  <si>
    <t>ACCT132</t>
  </si>
  <si>
    <t>ACCT133</t>
  </si>
  <si>
    <t xml:space="preserve">1_x000D_
CS200  - _x000D_
CS201  - _x000D_
CS202  - _x000D_
CS203  - </t>
  </si>
  <si>
    <t xml:space="preserve">2_x000D_
CS204  - _x000D_
CS205  - _x000D_
CS206  - _x000D_
CS207  - </t>
  </si>
  <si>
    <t xml:space="preserve">3_x000D_
CS208  - _x000D_
CS209  - _x000D_
CS210  - _x000D_
CS211  - </t>
  </si>
  <si>
    <t xml:space="preserve">4_x000D_
CS212  - _x000D_
CS213  - _x000D_
CS214  - _x000D_
CS215  - </t>
  </si>
  <si>
    <t xml:space="preserve">5_x000D_
FIN100 100 - C, D_x000D_
CS216  - _x000D_
MGT100  - _x000D_
MGT101  - </t>
  </si>
  <si>
    <t xml:space="preserve">6_x000D_
MGT102  - _x000D_
MGT103  - _x000D_
MGT104  - _x000D_
MGT105  - </t>
  </si>
  <si>
    <t xml:space="preserve">7_x000D_
MGT106  - _x000D_
MGT107  - _x000D_
MGT108  - _x000D_
MGT109  - </t>
  </si>
  <si>
    <t xml:space="preserve">8_x000D_
MGT110  - _x000D_
MGT111  - _x000D_
MGT112  - _x000D_
MGT113  - </t>
  </si>
  <si>
    <t xml:space="preserve">9_x000D_
MGT114  - _x000D_
MGT115  - _x000D_
MGT116  - _x000D_
MGT117  - </t>
  </si>
  <si>
    <t xml:space="preserve">10_x000D_
MGT118  - _x000D_
MGT119  - _x000D_
MGT120  - _x000D_
MGT121  - </t>
  </si>
  <si>
    <t xml:space="preserve">11_x000D_
MGT122  - _x000D_
MGT123  - _x000D_
MGT124  - _x000D_
ACCT100  - </t>
  </si>
  <si>
    <t xml:space="preserve">12_x000D_
FIN100 300 - C, D_x000D_
ACCT101  - _x000D_
ACCT102  - _x000D_
ACCT103  - </t>
  </si>
  <si>
    <t xml:space="preserve">13_x000D_
ACCT104  - _x000D_
ACCT105  - _x000D_
ACCT106  - _x000D_
ACCT107  - </t>
  </si>
  <si>
    <t xml:space="preserve">14_x000D_
ACCT108  - _x000D_
ACCT109  - _x000D_
ACCT110  - _x000D_
ACCT111  - </t>
  </si>
  <si>
    <t xml:space="preserve">15_x000D_
ACCT112  - _x000D_
ACCT113  - _x000D_
ACCT114  - _x000D_
ACCT115  - </t>
  </si>
  <si>
    <t xml:space="preserve">16_x000D_
ACCT116  - _x000D_
ACCT117  - _x000D_
ACCT118  - _x000D_
ACCT119  - </t>
  </si>
  <si>
    <t xml:space="preserve">17_x000D_
ACCT120  - _x000D_
ACCT121  - _x000D_
ACCT122  - _x000D_
ACCT123  - </t>
  </si>
  <si>
    <t xml:space="preserve">18_x000D_
FIN100 200 - C, D_x000D_
ACCT124  - _x000D_
ACCT125  - _x000D_
ACCT126  - </t>
  </si>
  <si>
    <t xml:space="preserve">19_x000D_
ACCT127  - _x000D_
ACCT128  - _x000D_
ACCT129  - _x000D_
ACCT130  - </t>
  </si>
  <si>
    <t>21_x000D_
FIN201  - E, F_x000D_
FIN202  - E, F_x000D_
FIN300  - A, B</t>
  </si>
  <si>
    <t xml:space="preserve">22_x000D_
FIN200  - E, F_x000D_
ACC100  - _x000D_
ACC101  - </t>
  </si>
  <si>
    <t xml:space="preserve">23_x000D_
ACC102  - _x000D_
ACC103  - _x000D_
ACC104  - </t>
  </si>
  <si>
    <t xml:space="preserve">24_x000D_
ACC105  - _x000D_
ACC106  - _x000D_
ACC107  - </t>
  </si>
  <si>
    <t xml:space="preserve">25_x000D_
ACC108  - _x000D_
ACC109  - _x000D_
ACC110  - </t>
  </si>
  <si>
    <t xml:space="preserve">26_x000D_
ACC111  - _x000D_
ACC112  - _x000D_
ACC113  - </t>
  </si>
  <si>
    <t xml:space="preserve">27_x000D_
ACC114  - _x000D_
ACC115  - _x000D_
ACC116  - </t>
  </si>
  <si>
    <t xml:space="preserve">28_x000D_
ACC117  - _x000D_
ACC118 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</si>
</sst>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6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2" xfId="0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  <xf numFmtId="0" fontId="9" fillId="0" borderId="0" xfId="91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/>
    </xf>
    <xf numFmtId="0" fontId="0" fillId="4" borderId="4" xfId="0" applyFill="1" applyBorder="1" applyAlignment="1">
      <alignment horizontal="left" vertical="top" wrapText="1"/>
    </xf>
    <xf numFmtId="0" fontId="0" fillId="4" borderId="8" xfId="0" applyFill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</xdr:row>
          <xdr:rowOff>0</xdr:rowOff>
        </xdr:from>
        <xdr:to>
          <xdr:col>22</xdr:col>
          <xdr:colOff>209550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387340" y="182880"/>
              <a:ext cx="1398270" cy="681990"/>
              <a:chOff x="9382125" y="152400"/>
              <a:chExt cx="1371600" cy="704850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9382125" y="15240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 bwMode="auto">
              <a:xfrm>
                <a:off x="9382125" y="390525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 bwMode="auto">
              <a:xfrm>
                <a:off x="9382125" y="62865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rse" displayName="Course" ref="A1:S103" totalsRowShown="0" headerRowDxfId="27" dataDxfId="26">
  <autoFilter ref="A1:S103"/>
  <tableColumns count="19">
    <tableColumn id="1" name="GRAD COURSE" dataDxfId="25">
      <calculatedColumnFormula>IF(F2="G", TRUE,FALSE)</calculatedColumnFormula>
    </tableColumn>
    <tableColumn id="2" name="PRE-REQ FLAG" dataDxfId="24">
      <calculatedColumnFormula>IF(ISBLANK(G2),FALSE,TRUE)</calculatedColumnFormula>
    </tableColumn>
    <tableColumn id="3" name="Course Identifier" dataDxfId="23">
      <calculatedColumnFormula>CONCATENATE(D2," ",E2)</calculatedColumnFormula>
    </tableColumn>
    <tableColumn id="4" name="Course ID" dataDxfId="22"/>
    <tableColumn id="5" name="Session ID" dataDxfId="21"/>
    <tableColumn id="6" name="Level" dataDxfId="20"/>
    <tableColumn id="7" name="Pre-req 1" dataDxfId="19"/>
    <tableColumn id="8" name="SESSION_FLAG" dataDxfId="18">
      <calculatedColumnFormula>IF(COUNTIF(Course[Course ID],Course[[#This Row],[Course ID]])&gt;1,"S","")</calculatedColumnFormula>
    </tableColumn>
    <tableColumn id="9" name="Column1" dataDxfId="17"/>
    <tableColumn id="10" name="Column2" dataDxfId="16"/>
    <tableColumn id="11" name="Column3" dataDxfId="15"/>
    <tableColumn id="12" name="Column4" dataDxfId="14"/>
    <tableColumn id="13" name="Column5" dataDxfId="13"/>
    <tableColumn id="14" name="Column6" dataDxfId="12"/>
    <tableColumn id="15" name="Column7" dataDxfId="11"/>
    <tableColumn id="16" name="Column8" dataDxfId="10"/>
    <tableColumn id="17" name="ASSIGNED_FLAG"/>
    <tableColumn id="18" name="BLOCK_ASSIGNED"/>
    <tableColumn id="19" name="PROFESSOR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Professor" displayName="Professor" ref="A1:F4" totalsRowShown="0" dataDxfId="8">
  <autoFilter ref="A1:F4"/>
  <tableColumns count="6">
    <tableColumn id="1" name="Name" dataDxfId="7"/>
    <tableColumn id="2" name="Full/Part-time" dataDxfId="6"/>
    <tableColumn id="3" name="Preference_1" dataDxfId="5"/>
    <tableColumn id="4" name="Preference_2" dataDxfId="4"/>
    <tableColumn id="5" name="Preference_3" dataDxfId="3"/>
    <tableColumn id="6" name="Preference_4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workbookViewId="0"/>
  </sheetViews>
  <sheetFormatPr defaultRowHeight="14.4" x14ac:dyDescent="0.3"/>
  <sheetData>
    <row r="1" spans="1:1" x14ac:dyDescent="0.3">
      <c r="A1" s="19" t="s">
        <v>89</v>
      </c>
    </row>
    <row r="2" spans="1:1" x14ac:dyDescent="0.3">
      <c r="A2" s="20" t="s">
        <v>80</v>
      </c>
    </row>
    <row r="3" spans="1:1" x14ac:dyDescent="0.3">
      <c r="A3" s="20" t="s">
        <v>88</v>
      </c>
    </row>
    <row r="4" spans="1:1" x14ac:dyDescent="0.3">
      <c r="A4" s="20" t="s">
        <v>81</v>
      </c>
    </row>
    <row r="5" spans="1:1" x14ac:dyDescent="0.3">
      <c r="A5" s="20" t="s">
        <v>82</v>
      </c>
    </row>
    <row r="6" spans="1:1" x14ac:dyDescent="0.3">
      <c r="A6" s="20" t="s">
        <v>84</v>
      </c>
    </row>
    <row r="7" spans="1:1" x14ac:dyDescent="0.3">
      <c r="A7" s="21" t="s">
        <v>83</v>
      </c>
    </row>
    <row r="8" spans="1:1" x14ac:dyDescent="0.3">
      <c r="A8" s="22" t="s">
        <v>90</v>
      </c>
    </row>
    <row r="9" spans="1:1" x14ac:dyDescent="0.3">
      <c r="A9" s="20" t="s">
        <v>85</v>
      </c>
    </row>
    <row r="10" spans="1:1" x14ac:dyDescent="0.3">
      <c r="A10" s="21" t="s">
        <v>83</v>
      </c>
    </row>
    <row r="11" spans="1:1" x14ac:dyDescent="0.3">
      <c r="A11" s="22" t="s">
        <v>91</v>
      </c>
    </row>
    <row r="12" spans="1:1" x14ac:dyDescent="0.3">
      <c r="A12" s="22" t="s">
        <v>86</v>
      </c>
    </row>
    <row r="13" spans="1:1" x14ac:dyDescent="0.3">
      <c r="A13" s="22" t="s">
        <v>87</v>
      </c>
    </row>
    <row r="14" spans="1:1" x14ac:dyDescent="0.3">
      <c r="A14" s="20" t="s">
        <v>102</v>
      </c>
    </row>
    <row r="15" spans="1:1" x14ac:dyDescent="0.3">
      <c r="A15" s="20" t="s">
        <v>103</v>
      </c>
    </row>
    <row r="16" spans="1:1" x14ac:dyDescent="0.3">
      <c r="A16" s="20" t="s">
        <v>104</v>
      </c>
    </row>
    <row r="17" spans="1:1" x14ac:dyDescent="0.3">
      <c r="A17" s="20" t="s">
        <v>105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B117"/>
  <sheetViews>
    <sheetView zoomScaleNormal="100" zoomScalePageLayoutView="115" workbookViewId="0">
      <pane ySplit="1" topLeftCell="A5" activePane="bottomLeft" state="frozen"/>
      <selection activeCell="F22" sqref="F22"/>
      <selection pane="bottomLeft" activeCell="W11" sqref="W11"/>
    </sheetView>
  </sheetViews>
  <sheetFormatPr defaultColWidth="8.6640625" defaultRowHeight="14.4" x14ac:dyDescent="0.3"/>
  <cols>
    <col min="1" max="1" width="15.5546875" style="2" hidden="1" customWidth="1"/>
    <col min="2" max="2" width="15.44140625" style="2" hidden="1" customWidth="1"/>
    <col min="3" max="3" width="18.6640625" style="2" hidden="1" customWidth="1"/>
    <col min="4" max="4" width="12" style="4" customWidth="1"/>
    <col min="5" max="5" width="13" style="2" customWidth="1"/>
    <col min="6" max="6" width="7.88671875" style="2" customWidth="1"/>
    <col min="7" max="7" width="11.33203125" style="2" customWidth="1"/>
    <col min="8" max="8" width="16" style="2" hidden="1" customWidth="1"/>
    <col min="9" max="15" width="11.109375" style="2" hidden="1" customWidth="1"/>
    <col min="16" max="16" width="11.109375" style="5" hidden="1" customWidth="1"/>
    <col min="17" max="17" width="2.5546875" hidden="1" customWidth="1"/>
    <col min="18" max="18" width="19.109375" bestFit="1" customWidth="1"/>
    <col min="19" max="19" width="13.33203125" style="2" customWidth="1"/>
    <col min="20" max="20" width="1.88671875" style="2" customWidth="1"/>
    <col min="21" max="25" width="8.6640625" style="2"/>
    <col min="26" max="26" width="9.44140625" style="2" customWidth="1"/>
    <col min="27" max="16384" width="8.6640625" style="2"/>
  </cols>
  <sheetData>
    <row r="1" spans="1:28" x14ac:dyDescent="0.3">
      <c r="A1" s="6" t="s">
        <v>32</v>
      </c>
      <c r="B1" s="6" t="s">
        <v>31</v>
      </c>
      <c r="C1" s="6" t="s">
        <v>36</v>
      </c>
      <c r="D1" s="7" t="s">
        <v>6</v>
      </c>
      <c r="E1" s="6" t="s">
        <v>7</v>
      </c>
      <c r="F1" s="6" t="s">
        <v>8</v>
      </c>
      <c r="G1" s="6" t="s">
        <v>9</v>
      </c>
      <c r="H1" s="6" t="s">
        <v>35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t="s">
        <v>75</v>
      </c>
      <c r="R1" t="s">
        <v>76</v>
      </c>
      <c r="S1" s="10" t="s">
        <v>37</v>
      </c>
      <c r="Z1"/>
      <c r="AA1"/>
      <c r="AB1"/>
    </row>
    <row r="2" spans="1:28" x14ac:dyDescent="0.3">
      <c r="A2" s="9" t="b">
        <f t="shared" ref="A2:A8" si="0">IF(F2="G", TRUE,FALSE)</f>
        <v>0</v>
      </c>
      <c r="B2" s="9" t="b">
        <f t="shared" ref="B2:B8" si="1">IF(ISBLANK(G2),FALSE,TRUE)</f>
        <v>0</v>
      </c>
      <c r="C2" s="8" t="str">
        <f>CONCATENATE(D2," ",E2)</f>
        <v>FIN100 100</v>
      </c>
      <c r="D2" s="13" t="s">
        <v>33</v>
      </c>
      <c r="E2" s="13">
        <v>100</v>
      </c>
      <c r="F2" s="14" t="s">
        <v>15</v>
      </c>
      <c r="G2" s="14"/>
      <c r="H2" s="9" t="str">
        <f>IF(COUNTIF(Course[Course ID],Course[[#This Row],[Course ID]])&gt;1,"S","")</f>
        <v>S</v>
      </c>
      <c r="I2" s="8"/>
      <c r="J2" s="8"/>
      <c r="K2" s="8"/>
      <c r="L2" s="8"/>
      <c r="M2" s="8"/>
      <c r="N2" s="8"/>
      <c r="O2" s="8"/>
      <c r="P2" s="8"/>
      <c r="Q2" t="b">
        <v>1</v>
      </c>
      <c r="R2">
        <v>5</v>
      </c>
      <c r="S2" s="8" t="s">
        <v>11</v>
      </c>
      <c r="Z2" s="18"/>
      <c r="AA2"/>
      <c r="AB2"/>
    </row>
    <row r="3" spans="1:28" x14ac:dyDescent="0.3">
      <c r="A3" s="9" t="b">
        <f t="shared" si="0"/>
        <v>0</v>
      </c>
      <c r="B3" s="9" t="b">
        <f t="shared" si="1"/>
        <v>0</v>
      </c>
      <c r="C3" s="8" t="str">
        <f t="shared" ref="C3:C7" si="2">CONCATENATE(D3," ",E3)</f>
        <v>FIN100 200</v>
      </c>
      <c r="D3" s="13" t="s">
        <v>33</v>
      </c>
      <c r="E3" s="13">
        <v>200</v>
      </c>
      <c r="F3" s="14" t="s">
        <v>15</v>
      </c>
      <c r="G3" s="14"/>
      <c r="H3" s="9" t="str">
        <f>IF(COUNTIF(Course[Course ID],Course[[#This Row],[Course ID]])&gt;1,"S","")</f>
        <v>S</v>
      </c>
      <c r="I3" s="8"/>
      <c r="J3" s="8"/>
      <c r="K3" s="8"/>
      <c r="L3" s="8"/>
      <c r="M3" s="8"/>
      <c r="N3" s="8"/>
      <c r="O3" s="8"/>
      <c r="P3" s="8"/>
      <c r="Q3" t="b">
        <v>1</v>
      </c>
      <c r="R3">
        <v>18</v>
      </c>
      <c r="S3" s="8" t="s">
        <v>11</v>
      </c>
      <c r="Z3" s="18"/>
      <c r="AA3"/>
      <c r="AB3"/>
    </row>
    <row r="4" spans="1:28" x14ac:dyDescent="0.3">
      <c r="A4" s="9" t="b">
        <f t="shared" si="0"/>
        <v>0</v>
      </c>
      <c r="B4" s="9" t="b">
        <f t="shared" si="1"/>
        <v>0</v>
      </c>
      <c r="C4" s="8" t="str">
        <f t="shared" si="2"/>
        <v>FIN100 300</v>
      </c>
      <c r="D4" s="13" t="s">
        <v>33</v>
      </c>
      <c r="E4" s="13">
        <v>300</v>
      </c>
      <c r="F4" s="14" t="s">
        <v>15</v>
      </c>
      <c r="G4" s="14"/>
      <c r="H4" s="9" t="str">
        <f>IF(COUNTIF(Course[Course ID],Course[[#This Row],[Course ID]])&gt;1,"S","")</f>
        <v>S</v>
      </c>
      <c r="I4" s="8"/>
      <c r="J4" s="8"/>
      <c r="K4" s="8"/>
      <c r="L4" s="8"/>
      <c r="M4" s="8"/>
      <c r="N4" s="8"/>
      <c r="O4" s="8"/>
      <c r="P4" s="8"/>
      <c r="Q4" t="b">
        <v>1</v>
      </c>
      <c r="R4">
        <v>12</v>
      </c>
      <c r="S4" s="8" t="s">
        <v>11</v>
      </c>
      <c r="Z4" s="18"/>
      <c r="AA4"/>
      <c r="AB4"/>
    </row>
    <row r="5" spans="1:28" x14ac:dyDescent="0.3">
      <c r="A5" s="9" t="b">
        <f t="shared" si="0"/>
        <v>1</v>
      </c>
      <c r="B5" s="9" t="b">
        <f t="shared" si="1"/>
        <v>0</v>
      </c>
      <c r="C5" s="8" t="str">
        <f t="shared" si="2"/>
        <v xml:space="preserve">FIN200 </v>
      </c>
      <c r="D5" s="13" t="s">
        <v>34</v>
      </c>
      <c r="E5" s="13"/>
      <c r="F5" s="14" t="s">
        <v>16</v>
      </c>
      <c r="G5" s="14"/>
      <c r="H5" s="9" t="str">
        <f>IF(COUNTIF(Course[Course ID],Course[[#This Row],[Course ID]])&gt;1,"S","")</f>
        <v/>
      </c>
      <c r="I5" s="8"/>
      <c r="J5" s="8"/>
      <c r="K5" s="8"/>
      <c r="L5" s="8"/>
      <c r="M5" s="8"/>
      <c r="N5" s="8"/>
      <c r="O5" s="8"/>
      <c r="P5" s="8"/>
      <c r="Q5" t="b">
        <v>1</v>
      </c>
      <c r="R5">
        <v>22</v>
      </c>
      <c r="S5" s="8" t="s">
        <v>12</v>
      </c>
      <c r="Z5"/>
      <c r="AA5"/>
      <c r="AB5"/>
    </row>
    <row r="6" spans="1:28" x14ac:dyDescent="0.3">
      <c r="A6" s="9" t="b">
        <f t="shared" si="0"/>
        <v>1</v>
      </c>
      <c r="B6" s="9" t="b">
        <f t="shared" si="1"/>
        <v>0</v>
      </c>
      <c r="C6" s="8" t="str">
        <f t="shared" si="2"/>
        <v xml:space="preserve">FIN201 </v>
      </c>
      <c r="D6" s="13" t="s">
        <v>106</v>
      </c>
      <c r="E6" s="13"/>
      <c r="F6" s="14" t="s">
        <v>16</v>
      </c>
      <c r="G6" s="14"/>
      <c r="H6" s="9" t="str">
        <f>IF(COUNTIF(Course[Course ID],Course[[#This Row],[Course ID]])&gt;1,"S","")</f>
        <v/>
      </c>
      <c r="I6" s="8"/>
      <c r="J6" s="8"/>
      <c r="K6" s="8"/>
      <c r="L6" s="8"/>
      <c r="M6" s="8"/>
      <c r="N6" s="8"/>
      <c r="O6" s="8"/>
      <c r="P6" s="8"/>
      <c r="Q6" t="b">
        <v>1</v>
      </c>
      <c r="R6">
        <v>21</v>
      </c>
      <c r="S6" s="8" t="s">
        <v>12</v>
      </c>
      <c r="Z6"/>
      <c r="AA6"/>
      <c r="AB6"/>
    </row>
    <row r="7" spans="1:28" x14ac:dyDescent="0.3">
      <c r="A7" s="9" t="b">
        <f t="shared" si="0"/>
        <v>1</v>
      </c>
      <c r="B7" s="9" t="b">
        <f t="shared" si="1"/>
        <v>0</v>
      </c>
      <c r="C7" s="8" t="str">
        <f t="shared" si="2"/>
        <v xml:space="preserve">FIN202 </v>
      </c>
      <c r="D7" s="13" t="s">
        <v>107</v>
      </c>
      <c r="E7" s="13"/>
      <c r="F7" s="14" t="s">
        <v>16</v>
      </c>
      <c r="G7" s="14"/>
      <c r="H7" s="9" t="str">
        <f>IF(COUNTIF(Course[Course ID],Course[[#This Row],[Course ID]])&gt;1,"S","")</f>
        <v/>
      </c>
      <c r="I7" s="8"/>
      <c r="J7" s="8"/>
      <c r="K7" s="8"/>
      <c r="L7" s="8"/>
      <c r="M7" s="8"/>
      <c r="N7" s="8"/>
      <c r="O7" s="8"/>
      <c r="P7" s="8"/>
      <c r="Q7" t="b">
        <v>1</v>
      </c>
      <c r="R7">
        <v>21</v>
      </c>
      <c r="S7" s="8" t="s">
        <v>12</v>
      </c>
      <c r="Z7"/>
      <c r="AA7"/>
      <c r="AB7"/>
    </row>
    <row r="8" spans="1:28" s="3" customFormat="1" x14ac:dyDescent="0.3">
      <c r="A8" s="11" t="b">
        <f t="shared" si="0"/>
        <v>1</v>
      </c>
      <c r="B8" s="11" t="b">
        <f t="shared" si="1"/>
        <v>1</v>
      </c>
      <c r="C8" s="12" t="str">
        <f>CONCATENATE(D8," ",E8)</f>
        <v xml:space="preserve">FIN300 </v>
      </c>
      <c r="D8" s="15" t="s">
        <v>68</v>
      </c>
      <c r="E8" s="15"/>
      <c r="F8" s="16" t="s">
        <v>16</v>
      </c>
      <c r="G8" s="16" t="s">
        <v>34</v>
      </c>
      <c r="H8" s="11" t="str">
        <f>IF(COUNTIF(Course[Course ID],Course[[#This Row],[Course ID]])&gt;1,"S","")</f>
        <v/>
      </c>
      <c r="I8" s="12"/>
      <c r="J8" s="12"/>
      <c r="K8" s="12"/>
      <c r="L8" s="12"/>
      <c r="M8" s="12"/>
      <c r="N8" s="12"/>
      <c r="O8" s="12"/>
      <c r="P8" s="12"/>
      <c r="Q8" t="b">
        <v>1</v>
      </c>
      <c r="R8">
        <v>21</v>
      </c>
      <c r="S8" s="12" t="s">
        <v>10</v>
      </c>
      <c r="Z8"/>
      <c r="AA8"/>
      <c r="AB8"/>
    </row>
    <row r="9" spans="1:28" s="3" customFormat="1" x14ac:dyDescent="0.3">
      <c r="A9" s="41" t="b">
        <f t="shared" ref="A9:A40" si="3">IF(F9="G", TRUE,FALSE)</f>
        <v>1</v>
      </c>
      <c r="B9" s="41" t="b">
        <f t="shared" ref="B9:B40" si="4">IF(ISBLANK(G9),FALSE,TRUE)</f>
        <v>0</v>
      </c>
      <c r="C9" s="12" t="str">
        <f t="shared" ref="C9:C40" si="5">CONCATENATE(D9," ",E9)</f>
        <v xml:space="preserve">ACC100 </v>
      </c>
      <c r="D9" s="15" t="s">
        <v>108</v>
      </c>
      <c r="E9" s="15"/>
      <c r="F9" s="16" t="s">
        <v>16</v>
      </c>
      <c r="G9" s="16"/>
      <c r="H9" s="41" t="str">
        <f>IF(COUNTIF(Course[Course ID],Course[[#This Row],[Course ID]])&gt;1,"S","")</f>
        <v/>
      </c>
      <c r="I9" s="12"/>
      <c r="J9" s="12"/>
      <c r="K9" s="12"/>
      <c r="L9" s="12"/>
      <c r="M9" s="12"/>
      <c r="N9" s="12"/>
      <c r="O9" s="12"/>
      <c r="P9" s="12"/>
      <c r="Q9" t="b">
        <v>1</v>
      </c>
      <c r="R9">
        <v>22</v>
      </c>
      <c r="S9" s="12"/>
      <c r="Z9"/>
      <c r="AA9"/>
      <c r="AB9"/>
    </row>
    <row r="10" spans="1:28" x14ac:dyDescent="0.3">
      <c r="A10" s="42" t="b">
        <f t="shared" si="3"/>
        <v>1</v>
      </c>
      <c r="B10" s="42" t="b">
        <f t="shared" si="4"/>
        <v>0</v>
      </c>
      <c r="C10" s="8" t="str">
        <f t="shared" si="5"/>
        <v xml:space="preserve">ACC101 </v>
      </c>
      <c r="D10" s="13" t="s">
        <v>109</v>
      </c>
      <c r="E10" s="13"/>
      <c r="F10" s="14" t="s">
        <v>16</v>
      </c>
      <c r="G10" s="14"/>
      <c r="H10" s="42" t="str">
        <f>IF(COUNTIF(Course[Course ID],Course[[#This Row],[Course ID]])&gt;1,"S","")</f>
        <v/>
      </c>
      <c r="I10" s="8"/>
      <c r="J10" s="8"/>
      <c r="K10" s="8"/>
      <c r="L10" s="8"/>
      <c r="M10" s="8"/>
      <c r="N10" s="8"/>
      <c r="O10" s="8"/>
      <c r="P10" s="8"/>
      <c r="Q10" t="b">
        <v>1</v>
      </c>
      <c r="R10">
        <v>22</v>
      </c>
      <c r="S10" s="8"/>
      <c r="Z10"/>
      <c r="AA10"/>
      <c r="AB10"/>
    </row>
    <row r="11" spans="1:28" s="3" customFormat="1" x14ac:dyDescent="0.3">
      <c r="A11" s="41" t="b">
        <f t="shared" si="3"/>
        <v>1</v>
      </c>
      <c r="B11" s="41" t="b">
        <f t="shared" si="4"/>
        <v>0</v>
      </c>
      <c r="C11" s="12" t="str">
        <f t="shared" si="5"/>
        <v xml:space="preserve">ACC102 </v>
      </c>
      <c r="D11" s="15" t="s">
        <v>110</v>
      </c>
      <c r="E11" s="15"/>
      <c r="F11" s="16" t="s">
        <v>16</v>
      </c>
      <c r="G11" s="16"/>
      <c r="H11" s="41" t="str">
        <f>IF(COUNTIF(Course[Course ID],Course[[#This Row],[Course ID]])&gt;1,"S","")</f>
        <v/>
      </c>
      <c r="I11" s="12"/>
      <c r="J11" s="12"/>
      <c r="K11" s="12"/>
      <c r="L11" s="12"/>
      <c r="M11" s="12"/>
      <c r="N11" s="12"/>
      <c r="O11" s="12"/>
      <c r="P11" s="12"/>
      <c r="Q11" t="b">
        <v>1</v>
      </c>
      <c r="R11">
        <v>23</v>
      </c>
      <c r="S11" s="12"/>
      <c r="Z11"/>
      <c r="AA11"/>
      <c r="AB11"/>
    </row>
    <row r="12" spans="1:28" s="3" customFormat="1" x14ac:dyDescent="0.3">
      <c r="A12" s="41" t="b">
        <f t="shared" si="3"/>
        <v>1</v>
      </c>
      <c r="B12" s="41" t="b">
        <f t="shared" si="4"/>
        <v>0</v>
      </c>
      <c r="C12" s="12" t="str">
        <f t="shared" si="5"/>
        <v xml:space="preserve">ACC103 </v>
      </c>
      <c r="D12" s="15" t="s">
        <v>111</v>
      </c>
      <c r="E12" s="15"/>
      <c r="F12" s="16" t="s">
        <v>16</v>
      </c>
      <c r="G12" s="16"/>
      <c r="H12" s="41" t="str">
        <f>IF(COUNTIF(Course[Course ID],Course[[#This Row],[Course ID]])&gt;1,"S","")</f>
        <v/>
      </c>
      <c r="I12" s="12"/>
      <c r="J12" s="12"/>
      <c r="K12" s="12"/>
      <c r="L12" s="12"/>
      <c r="M12" s="12"/>
      <c r="N12" s="12"/>
      <c r="O12" s="12"/>
      <c r="P12" s="12"/>
      <c r="Q12" t="b">
        <v>1</v>
      </c>
      <c r="R12">
        <v>23</v>
      </c>
      <c r="S12" s="12"/>
      <c r="Z12"/>
      <c r="AA12"/>
      <c r="AB12"/>
    </row>
    <row r="13" spans="1:28" x14ac:dyDescent="0.3">
      <c r="A13" s="42" t="b">
        <f t="shared" si="3"/>
        <v>1</v>
      </c>
      <c r="B13" s="42" t="b">
        <f t="shared" si="4"/>
        <v>0</v>
      </c>
      <c r="C13" s="8" t="str">
        <f t="shared" si="5"/>
        <v xml:space="preserve">ACC104 </v>
      </c>
      <c r="D13" s="13" t="s">
        <v>112</v>
      </c>
      <c r="E13" s="13"/>
      <c r="F13" s="14" t="s">
        <v>16</v>
      </c>
      <c r="G13" s="14"/>
      <c r="H13" s="42" t="str">
        <f>IF(COUNTIF(Course[Course ID],Course[[#This Row],[Course ID]])&gt;1,"S","")</f>
        <v/>
      </c>
      <c r="I13" s="8"/>
      <c r="J13" s="8"/>
      <c r="K13" s="8"/>
      <c r="L13" s="8"/>
      <c r="M13" s="8"/>
      <c r="N13" s="8"/>
      <c r="O13" s="8"/>
      <c r="P13" s="8"/>
      <c r="Q13" t="b">
        <v>1</v>
      </c>
      <c r="R13">
        <v>23</v>
      </c>
      <c r="S13" s="8"/>
      <c r="Z13"/>
      <c r="AA13"/>
      <c r="AB13"/>
    </row>
    <row r="14" spans="1:28" x14ac:dyDescent="0.3">
      <c r="A14" s="42" t="b">
        <f t="shared" si="3"/>
        <v>1</v>
      </c>
      <c r="B14" s="42" t="b">
        <f t="shared" si="4"/>
        <v>0</v>
      </c>
      <c r="C14" s="8" t="str">
        <f t="shared" si="5"/>
        <v xml:space="preserve">ACC105 </v>
      </c>
      <c r="D14" s="13" t="s">
        <v>113</v>
      </c>
      <c r="E14" s="13"/>
      <c r="F14" s="14" t="s">
        <v>16</v>
      </c>
      <c r="G14" s="14"/>
      <c r="H14" s="42" t="str">
        <f>IF(COUNTIF(Course[Course ID],Course[[#This Row],[Course ID]])&gt;1,"S","")</f>
        <v/>
      </c>
      <c r="I14" s="8"/>
      <c r="J14" s="8"/>
      <c r="K14" s="8"/>
      <c r="L14" s="8"/>
      <c r="M14" s="8"/>
      <c r="N14" s="8"/>
      <c r="O14" s="8"/>
      <c r="P14" s="8"/>
      <c r="Q14" t="b">
        <v>1</v>
      </c>
      <c r="R14">
        <v>24</v>
      </c>
      <c r="S14" s="8"/>
      <c r="Z14"/>
      <c r="AA14"/>
      <c r="AB14"/>
    </row>
    <row r="15" spans="1:28" s="3" customFormat="1" x14ac:dyDescent="0.3">
      <c r="A15" s="41" t="b">
        <f t="shared" si="3"/>
        <v>1</v>
      </c>
      <c r="B15" s="41" t="b">
        <f t="shared" si="4"/>
        <v>0</v>
      </c>
      <c r="C15" s="12" t="str">
        <f t="shared" si="5"/>
        <v xml:space="preserve">ACC106 </v>
      </c>
      <c r="D15" s="15" t="s">
        <v>114</v>
      </c>
      <c r="E15" s="15"/>
      <c r="F15" s="16" t="s">
        <v>16</v>
      </c>
      <c r="G15" s="16"/>
      <c r="H15" s="41" t="str">
        <f>IF(COUNTIF(Course[Course ID],Course[[#This Row],[Course ID]])&gt;1,"S","")</f>
        <v/>
      </c>
      <c r="I15" s="12"/>
      <c r="J15" s="12"/>
      <c r="K15" s="12"/>
      <c r="L15" s="12"/>
      <c r="M15" s="12"/>
      <c r="N15" s="12"/>
      <c r="O15" s="12"/>
      <c r="P15" s="12"/>
      <c r="Q15" t="b">
        <v>1</v>
      </c>
      <c r="R15">
        <v>24</v>
      </c>
      <c r="S15" s="12"/>
      <c r="Z15"/>
      <c r="AA15"/>
      <c r="AB15"/>
    </row>
    <row r="16" spans="1:28" s="3" customFormat="1" x14ac:dyDescent="0.3">
      <c r="A16" s="41" t="b">
        <f t="shared" si="3"/>
        <v>1</v>
      </c>
      <c r="B16" s="41" t="b">
        <f t="shared" si="4"/>
        <v>0</v>
      </c>
      <c r="C16" s="12" t="str">
        <f t="shared" si="5"/>
        <v xml:space="preserve">ACC107 </v>
      </c>
      <c r="D16" s="15" t="s">
        <v>115</v>
      </c>
      <c r="E16" s="15"/>
      <c r="F16" s="16" t="s">
        <v>16</v>
      </c>
      <c r="G16" s="16"/>
      <c r="H16" s="41" t="str">
        <f>IF(COUNTIF(Course[Course ID],Course[[#This Row],[Course ID]])&gt;1,"S","")</f>
        <v/>
      </c>
      <c r="I16" s="12"/>
      <c r="J16" s="12"/>
      <c r="K16" s="12"/>
      <c r="L16" s="12"/>
      <c r="M16" s="12"/>
      <c r="N16" s="12"/>
      <c r="O16" s="12"/>
      <c r="P16" s="12"/>
      <c r="Q16" t="b">
        <v>1</v>
      </c>
      <c r="R16">
        <v>24</v>
      </c>
      <c r="S16" s="12"/>
      <c r="Z16"/>
      <c r="AA16"/>
      <c r="AB16"/>
    </row>
    <row r="17" spans="1:28" x14ac:dyDescent="0.3">
      <c r="A17" s="42" t="b">
        <f t="shared" si="3"/>
        <v>1</v>
      </c>
      <c r="B17" s="42" t="b">
        <f t="shared" si="4"/>
        <v>0</v>
      </c>
      <c r="C17" s="8" t="str">
        <f t="shared" si="5"/>
        <v xml:space="preserve">ACC108 </v>
      </c>
      <c r="D17" s="13" t="s">
        <v>116</v>
      </c>
      <c r="E17" s="13"/>
      <c r="F17" s="14" t="s">
        <v>16</v>
      </c>
      <c r="G17" s="14"/>
      <c r="H17" s="42" t="str">
        <f>IF(COUNTIF(Course[Course ID],Course[[#This Row],[Course ID]])&gt;1,"S","")</f>
        <v/>
      </c>
      <c r="I17" s="8"/>
      <c r="J17" s="8"/>
      <c r="K17" s="8"/>
      <c r="L17" s="8"/>
      <c r="M17" s="8"/>
      <c r="N17" s="8"/>
      <c r="O17" s="8"/>
      <c r="P17" s="8"/>
      <c r="Q17" t="b">
        <v>1</v>
      </c>
      <c r="R17">
        <v>25</v>
      </c>
      <c r="S17" s="8"/>
      <c r="Z17"/>
      <c r="AA17"/>
      <c r="AB17"/>
    </row>
    <row r="18" spans="1:28" x14ac:dyDescent="0.3">
      <c r="A18" s="42" t="b">
        <f t="shared" si="3"/>
        <v>1</v>
      </c>
      <c r="B18" s="42" t="b">
        <f t="shared" si="4"/>
        <v>0</v>
      </c>
      <c r="C18" s="8" t="str">
        <f t="shared" si="5"/>
        <v xml:space="preserve">ACC109 </v>
      </c>
      <c r="D18" s="13" t="s">
        <v>117</v>
      </c>
      <c r="E18" s="13"/>
      <c r="F18" s="14" t="s">
        <v>16</v>
      </c>
      <c r="G18" s="14"/>
      <c r="H18" s="42" t="str">
        <f>IF(COUNTIF(Course[Course ID],Course[[#This Row],[Course ID]])&gt;1,"S","")</f>
        <v/>
      </c>
      <c r="I18" s="8"/>
      <c r="J18" s="8"/>
      <c r="K18" s="8"/>
      <c r="L18" s="8"/>
      <c r="M18" s="8"/>
      <c r="N18" s="8"/>
      <c r="O18" s="8"/>
      <c r="P18" s="8"/>
      <c r="Q18" t="b">
        <v>1</v>
      </c>
      <c r="R18">
        <v>25</v>
      </c>
      <c r="S18" s="8"/>
      <c r="Z18"/>
      <c r="AA18"/>
      <c r="AB18"/>
    </row>
    <row r="19" spans="1:28" x14ac:dyDescent="0.3">
      <c r="A19" s="42" t="b">
        <f t="shared" si="3"/>
        <v>1</v>
      </c>
      <c r="B19" s="42" t="b">
        <f t="shared" si="4"/>
        <v>0</v>
      </c>
      <c r="C19" s="8" t="str">
        <f t="shared" si="5"/>
        <v xml:space="preserve">ACC110 </v>
      </c>
      <c r="D19" s="13" t="s">
        <v>118</v>
      </c>
      <c r="E19" s="13"/>
      <c r="F19" s="14" t="s">
        <v>16</v>
      </c>
      <c r="G19" s="14"/>
      <c r="H19" s="42" t="str">
        <f>IF(COUNTIF(Course[Course ID],Course[[#This Row],[Course ID]])&gt;1,"S","")</f>
        <v/>
      </c>
      <c r="I19" s="8"/>
      <c r="J19" s="8"/>
      <c r="K19" s="8"/>
      <c r="L19" s="8"/>
      <c r="M19" s="8"/>
      <c r="N19" s="8"/>
      <c r="O19" s="8"/>
      <c r="P19" s="8"/>
      <c r="Q19" t="b">
        <v>1</v>
      </c>
      <c r="R19">
        <v>25</v>
      </c>
      <c r="S19" s="8"/>
    </row>
    <row r="20" spans="1:28" x14ac:dyDescent="0.3">
      <c r="A20" s="42" t="b">
        <f t="shared" si="3"/>
        <v>1</v>
      </c>
      <c r="B20" s="42" t="b">
        <f t="shared" si="4"/>
        <v>0</v>
      </c>
      <c r="C20" s="8" t="str">
        <f t="shared" si="5"/>
        <v xml:space="preserve">ACC111 </v>
      </c>
      <c r="D20" s="13" t="s">
        <v>119</v>
      </c>
      <c r="E20" s="13"/>
      <c r="F20" s="14" t="s">
        <v>16</v>
      </c>
      <c r="G20" s="14"/>
      <c r="H20" s="42" t="str">
        <f>IF(COUNTIF(Course[Course ID],Course[[#This Row],[Course ID]])&gt;1,"S","")</f>
        <v/>
      </c>
      <c r="I20" s="8"/>
      <c r="J20" s="8"/>
      <c r="K20" s="8"/>
      <c r="L20" s="8"/>
      <c r="M20" s="8"/>
      <c r="N20" s="8"/>
      <c r="O20" s="8"/>
      <c r="P20" s="8"/>
      <c r="Q20" t="b">
        <v>1</v>
      </c>
      <c r="R20">
        <v>26</v>
      </c>
      <c r="S20" s="8"/>
    </row>
    <row r="21" spans="1:28" x14ac:dyDescent="0.3">
      <c r="A21" s="42" t="b">
        <f t="shared" si="3"/>
        <v>1</v>
      </c>
      <c r="B21" s="42" t="b">
        <f t="shared" si="4"/>
        <v>0</v>
      </c>
      <c r="C21" s="8" t="str">
        <f t="shared" si="5"/>
        <v xml:space="preserve">ACC112 </v>
      </c>
      <c r="D21" s="13" t="s">
        <v>120</v>
      </c>
      <c r="E21" s="13"/>
      <c r="F21" s="14" t="s">
        <v>16</v>
      </c>
      <c r="G21" s="14"/>
      <c r="H21" s="42" t="str">
        <f>IF(COUNTIF(Course[Course ID],Course[[#This Row],[Course ID]])&gt;1,"S","")</f>
        <v/>
      </c>
      <c r="I21" s="8"/>
      <c r="J21" s="8"/>
      <c r="K21" s="8"/>
      <c r="L21" s="8"/>
      <c r="M21" s="8"/>
      <c r="N21" s="8"/>
      <c r="O21" s="8"/>
      <c r="P21" s="8"/>
      <c r="Q21" t="b">
        <v>1</v>
      </c>
      <c r="R21">
        <v>26</v>
      </c>
      <c r="S21" s="8"/>
    </row>
    <row r="22" spans="1:28" x14ac:dyDescent="0.3">
      <c r="A22" s="42" t="b">
        <f t="shared" si="3"/>
        <v>1</v>
      </c>
      <c r="B22" s="42" t="b">
        <f t="shared" si="4"/>
        <v>0</v>
      </c>
      <c r="C22" s="8" t="str">
        <f t="shared" si="5"/>
        <v xml:space="preserve">ACC113 </v>
      </c>
      <c r="D22" s="13" t="s">
        <v>121</v>
      </c>
      <c r="E22" s="13"/>
      <c r="F22" s="14" t="s">
        <v>16</v>
      </c>
      <c r="G22" s="14"/>
      <c r="H22" s="42" t="str">
        <f>IF(COUNTIF(Course[Course ID],Course[[#This Row],[Course ID]])&gt;1,"S","")</f>
        <v/>
      </c>
      <c r="I22" s="8"/>
      <c r="J22" s="8"/>
      <c r="K22" s="8"/>
      <c r="L22" s="8"/>
      <c r="M22" s="8"/>
      <c r="N22" s="8"/>
      <c r="O22" s="8"/>
      <c r="P22" s="8"/>
      <c r="Q22" t="b">
        <v>1</v>
      </c>
      <c r="R22">
        <v>26</v>
      </c>
      <c r="S22" s="8"/>
    </row>
    <row r="23" spans="1:28" x14ac:dyDescent="0.3">
      <c r="A23" s="42" t="b">
        <f t="shared" si="3"/>
        <v>1</v>
      </c>
      <c r="B23" s="42" t="b">
        <f t="shared" si="4"/>
        <v>0</v>
      </c>
      <c r="C23" s="8" t="str">
        <f t="shared" si="5"/>
        <v xml:space="preserve">ACC114 </v>
      </c>
      <c r="D23" s="13" t="s">
        <v>122</v>
      </c>
      <c r="E23" s="13"/>
      <c r="F23" s="14" t="s">
        <v>16</v>
      </c>
      <c r="G23" s="14"/>
      <c r="H23" s="42" t="str">
        <f>IF(COUNTIF(Course[Course ID],Course[[#This Row],[Course ID]])&gt;1,"S","")</f>
        <v/>
      </c>
      <c r="I23" s="8"/>
      <c r="J23" s="8"/>
      <c r="K23" s="8"/>
      <c r="L23" s="8"/>
      <c r="M23" s="8"/>
      <c r="N23" s="8"/>
      <c r="O23" s="8"/>
      <c r="P23" s="8"/>
      <c r="Q23" t="b">
        <v>1</v>
      </c>
      <c r="R23">
        <v>27</v>
      </c>
      <c r="S23" s="8"/>
    </row>
    <row r="24" spans="1:28" x14ac:dyDescent="0.3">
      <c r="A24" s="42" t="b">
        <f t="shared" si="3"/>
        <v>1</v>
      </c>
      <c r="B24" s="42" t="b">
        <f t="shared" si="4"/>
        <v>0</v>
      </c>
      <c r="C24" s="8" t="str">
        <f t="shared" si="5"/>
        <v xml:space="preserve">ACC115 </v>
      </c>
      <c r="D24" s="13" t="s">
        <v>123</v>
      </c>
      <c r="E24" s="13"/>
      <c r="F24" s="14" t="s">
        <v>16</v>
      </c>
      <c r="G24" s="14"/>
      <c r="H24" s="42" t="str">
        <f>IF(COUNTIF(Course[Course ID],Course[[#This Row],[Course ID]])&gt;1,"S","")</f>
        <v/>
      </c>
      <c r="I24" s="8"/>
      <c r="J24" s="8"/>
      <c r="K24" s="8"/>
      <c r="L24" s="8"/>
      <c r="M24" s="8"/>
      <c r="N24" s="8"/>
      <c r="O24" s="8"/>
      <c r="P24" s="8"/>
      <c r="Q24" t="b">
        <v>1</v>
      </c>
      <c r="R24">
        <v>27</v>
      </c>
      <c r="S24" s="8"/>
    </row>
    <row r="25" spans="1:28" x14ac:dyDescent="0.3">
      <c r="A25" s="42" t="b">
        <f t="shared" si="3"/>
        <v>1</v>
      </c>
      <c r="B25" s="42" t="b">
        <f t="shared" si="4"/>
        <v>0</v>
      </c>
      <c r="C25" s="8" t="str">
        <f t="shared" si="5"/>
        <v xml:space="preserve">ACC116 </v>
      </c>
      <c r="D25" s="13" t="s">
        <v>124</v>
      </c>
      <c r="E25" s="13"/>
      <c r="F25" s="14" t="s">
        <v>16</v>
      </c>
      <c r="G25" s="14"/>
      <c r="H25" s="42" t="str">
        <f>IF(COUNTIF(Course[Course ID],Course[[#This Row],[Course ID]])&gt;1,"S","")</f>
        <v/>
      </c>
      <c r="I25" s="8"/>
      <c r="J25" s="8"/>
      <c r="K25" s="8"/>
      <c r="L25" s="8"/>
      <c r="M25" s="8"/>
      <c r="N25" s="8"/>
      <c r="O25" s="8"/>
      <c r="P25" s="8"/>
      <c r="Q25" t="b">
        <v>1</v>
      </c>
      <c r="R25">
        <v>27</v>
      </c>
      <c r="S25" s="8"/>
    </row>
    <row r="26" spans="1:28" x14ac:dyDescent="0.3">
      <c r="A26" s="42" t="b">
        <f t="shared" si="3"/>
        <v>1</v>
      </c>
      <c r="B26" s="42" t="b">
        <f t="shared" si="4"/>
        <v>0</v>
      </c>
      <c r="C26" s="8" t="str">
        <f t="shared" si="5"/>
        <v xml:space="preserve">ACC117 </v>
      </c>
      <c r="D26" s="13" t="s">
        <v>125</v>
      </c>
      <c r="E26" s="13"/>
      <c r="F26" s="14" t="s">
        <v>16</v>
      </c>
      <c r="G26" s="14"/>
      <c r="H26" s="42" t="str">
        <f>IF(COUNTIF(Course[Course ID],Course[[#This Row],[Course ID]])&gt;1,"S","")</f>
        <v/>
      </c>
      <c r="I26" s="8"/>
      <c r="J26" s="8"/>
      <c r="K26" s="8"/>
      <c r="L26" s="8"/>
      <c r="M26" s="8"/>
      <c r="N26" s="8"/>
      <c r="O26" s="8"/>
      <c r="P26" s="8"/>
      <c r="Q26" t="b">
        <v>1</v>
      </c>
      <c r="R26">
        <v>28</v>
      </c>
      <c r="S26" s="8"/>
    </row>
    <row r="27" spans="1:28" x14ac:dyDescent="0.3">
      <c r="A27" s="42" t="b">
        <f t="shared" si="3"/>
        <v>1</v>
      </c>
      <c r="B27" s="42" t="b">
        <f t="shared" si="4"/>
        <v>0</v>
      </c>
      <c r="C27" s="8" t="str">
        <f t="shared" si="5"/>
        <v xml:space="preserve">ACC118 </v>
      </c>
      <c r="D27" s="13" t="s">
        <v>126</v>
      </c>
      <c r="E27" s="13"/>
      <c r="F27" s="14" t="s">
        <v>16</v>
      </c>
      <c r="G27" s="14"/>
      <c r="H27" s="42" t="str">
        <f>IF(COUNTIF(Course[Course ID],Course[[#This Row],[Course ID]])&gt;1,"S","")</f>
        <v/>
      </c>
      <c r="I27" s="8"/>
      <c r="J27" s="8"/>
      <c r="K27" s="8"/>
      <c r="L27" s="8"/>
      <c r="M27" s="8"/>
      <c r="N27" s="8"/>
      <c r="O27" s="8"/>
      <c r="P27" s="8"/>
      <c r="Q27" t="b">
        <v>1</v>
      </c>
      <c r="R27">
        <v>28</v>
      </c>
      <c r="S27" s="8"/>
    </row>
    <row r="28" spans="1:28" x14ac:dyDescent="0.3">
      <c r="A28" s="42" t="b">
        <f t="shared" si="3"/>
        <v>0</v>
      </c>
      <c r="B28" s="42" t="b">
        <f t="shared" si="4"/>
        <v>0</v>
      </c>
      <c r="C28" s="8" t="str">
        <f t="shared" si="5"/>
        <v xml:space="preserve">CS200 </v>
      </c>
      <c r="D28" s="13" t="s">
        <v>127</v>
      </c>
      <c r="E28" s="13"/>
      <c r="F28" s="14" t="s">
        <v>15</v>
      </c>
      <c r="G28" s="14"/>
      <c r="H28" s="42" t="str">
        <f>IF(COUNTIF(Course[Course ID],Course[[#This Row],[Course ID]])&gt;1,"S","")</f>
        <v/>
      </c>
      <c r="I28" s="8"/>
      <c r="J28" s="8"/>
      <c r="K28" s="8"/>
      <c r="L28" s="8"/>
      <c r="M28" s="8"/>
      <c r="N28" s="8"/>
      <c r="O28" s="8"/>
      <c r="P28" s="8"/>
      <c r="Q28" t="b">
        <v>1</v>
      </c>
      <c r="R28">
        <v>1</v>
      </c>
      <c r="S28" s="8"/>
    </row>
    <row r="29" spans="1:28" x14ac:dyDescent="0.3">
      <c r="A29" s="42" t="b">
        <f t="shared" si="3"/>
        <v>0</v>
      </c>
      <c r="B29" s="42" t="b">
        <f t="shared" si="4"/>
        <v>0</v>
      </c>
      <c r="C29" s="8" t="str">
        <f t="shared" si="5"/>
        <v xml:space="preserve">CS201 </v>
      </c>
      <c r="D29" s="13" t="s">
        <v>128</v>
      </c>
      <c r="E29" s="13"/>
      <c r="F29" s="14" t="s">
        <v>15</v>
      </c>
      <c r="G29" s="14"/>
      <c r="H29" s="42" t="str">
        <f>IF(COUNTIF(Course[Course ID],Course[[#This Row],[Course ID]])&gt;1,"S","")</f>
        <v/>
      </c>
      <c r="I29" s="8"/>
      <c r="J29" s="8"/>
      <c r="K29" s="8"/>
      <c r="L29" s="8"/>
      <c r="M29" s="8"/>
      <c r="N29" s="8"/>
      <c r="O29" s="8"/>
      <c r="P29" s="8"/>
      <c r="Q29" t="b">
        <v>1</v>
      </c>
      <c r="R29">
        <v>1</v>
      </c>
      <c r="S29" s="8"/>
    </row>
    <row r="30" spans="1:28" x14ac:dyDescent="0.3">
      <c r="A30" s="42" t="b">
        <f t="shared" si="3"/>
        <v>0</v>
      </c>
      <c r="B30" s="42" t="b">
        <f t="shared" si="4"/>
        <v>0</v>
      </c>
      <c r="C30" s="8" t="str">
        <f t="shared" si="5"/>
        <v xml:space="preserve">CS202 </v>
      </c>
      <c r="D30" s="13" t="s">
        <v>129</v>
      </c>
      <c r="E30" s="13"/>
      <c r="F30" s="14" t="s">
        <v>15</v>
      </c>
      <c r="G30" s="14"/>
      <c r="H30" s="42" t="str">
        <f>IF(COUNTIF(Course[Course ID],Course[[#This Row],[Course ID]])&gt;1,"S","")</f>
        <v/>
      </c>
      <c r="I30" s="8"/>
      <c r="J30" s="8"/>
      <c r="K30" s="8"/>
      <c r="L30" s="8"/>
      <c r="M30" s="8"/>
      <c r="N30" s="8"/>
      <c r="O30" s="8"/>
      <c r="P30" s="8"/>
      <c r="Q30" t="b">
        <v>1</v>
      </c>
      <c r="R30">
        <v>1</v>
      </c>
      <c r="S30" s="8"/>
    </row>
    <row r="31" spans="1:28" x14ac:dyDescent="0.3">
      <c r="A31" s="42" t="b">
        <f t="shared" si="3"/>
        <v>0</v>
      </c>
      <c r="B31" s="42" t="b">
        <f t="shared" si="4"/>
        <v>0</v>
      </c>
      <c r="C31" s="8" t="str">
        <f t="shared" si="5"/>
        <v xml:space="preserve">CS203 </v>
      </c>
      <c r="D31" s="13" t="s">
        <v>130</v>
      </c>
      <c r="E31" s="13"/>
      <c r="F31" s="14" t="s">
        <v>15</v>
      </c>
      <c r="G31" s="14"/>
      <c r="H31" s="42" t="str">
        <f>IF(COUNTIF(Course[Course ID],Course[[#This Row],[Course ID]])&gt;1,"S","")</f>
        <v/>
      </c>
      <c r="I31" s="8"/>
      <c r="J31" s="8"/>
      <c r="K31" s="8"/>
      <c r="L31" s="8"/>
      <c r="M31" s="8"/>
      <c r="N31" s="8"/>
      <c r="O31" s="8"/>
      <c r="P31" s="8"/>
      <c r="Q31" t="b">
        <v>1</v>
      </c>
      <c r="R31">
        <v>1</v>
      </c>
      <c r="S31" s="8"/>
    </row>
    <row r="32" spans="1:28" x14ac:dyDescent="0.3">
      <c r="A32" s="42" t="b">
        <f t="shared" si="3"/>
        <v>0</v>
      </c>
      <c r="B32" s="42" t="b">
        <f t="shared" si="4"/>
        <v>0</v>
      </c>
      <c r="C32" s="8" t="str">
        <f t="shared" si="5"/>
        <v xml:space="preserve">CS204 </v>
      </c>
      <c r="D32" s="13" t="s">
        <v>131</v>
      </c>
      <c r="E32" s="13"/>
      <c r="F32" s="14" t="s">
        <v>15</v>
      </c>
      <c r="G32" s="14"/>
      <c r="H32" s="42" t="str">
        <f>IF(COUNTIF(Course[Course ID],Course[[#This Row],[Course ID]])&gt;1,"S","")</f>
        <v/>
      </c>
      <c r="I32" s="8"/>
      <c r="J32" s="8"/>
      <c r="K32" s="8"/>
      <c r="L32" s="8"/>
      <c r="M32" s="8"/>
      <c r="N32" s="8"/>
      <c r="O32" s="8"/>
      <c r="P32" s="8"/>
      <c r="Q32" t="b">
        <v>1</v>
      </c>
      <c r="R32">
        <v>2</v>
      </c>
      <c r="S32" s="8"/>
    </row>
    <row r="33" spans="1:19" x14ac:dyDescent="0.3">
      <c r="A33" s="42" t="b">
        <f t="shared" si="3"/>
        <v>0</v>
      </c>
      <c r="B33" s="42" t="b">
        <f t="shared" si="4"/>
        <v>0</v>
      </c>
      <c r="C33" s="8" t="str">
        <f t="shared" si="5"/>
        <v xml:space="preserve">CS205 </v>
      </c>
      <c r="D33" s="13" t="s">
        <v>132</v>
      </c>
      <c r="E33" s="13"/>
      <c r="F33" s="14" t="s">
        <v>15</v>
      </c>
      <c r="G33" s="14"/>
      <c r="H33" s="42" t="str">
        <f>IF(COUNTIF(Course[Course ID],Course[[#This Row],[Course ID]])&gt;1,"S","")</f>
        <v/>
      </c>
      <c r="I33" s="8"/>
      <c r="J33" s="8"/>
      <c r="K33" s="8"/>
      <c r="L33" s="8"/>
      <c r="M33" s="8"/>
      <c r="N33" s="8"/>
      <c r="O33" s="8"/>
      <c r="P33" s="8"/>
      <c r="Q33" t="b">
        <v>1</v>
      </c>
      <c r="R33">
        <v>2</v>
      </c>
      <c r="S33" s="8"/>
    </row>
    <row r="34" spans="1:19" x14ac:dyDescent="0.3">
      <c r="A34" s="42" t="b">
        <f t="shared" si="3"/>
        <v>0</v>
      </c>
      <c r="B34" s="42" t="b">
        <f t="shared" si="4"/>
        <v>0</v>
      </c>
      <c r="C34" s="8" t="str">
        <f t="shared" si="5"/>
        <v xml:space="preserve">CS206 </v>
      </c>
      <c r="D34" s="13" t="s">
        <v>133</v>
      </c>
      <c r="E34" s="13"/>
      <c r="F34" s="14" t="s">
        <v>15</v>
      </c>
      <c r="G34" s="14"/>
      <c r="H34" s="42" t="str">
        <f>IF(COUNTIF(Course[Course ID],Course[[#This Row],[Course ID]])&gt;1,"S","")</f>
        <v/>
      </c>
      <c r="I34" s="8"/>
      <c r="J34" s="8"/>
      <c r="K34" s="8"/>
      <c r="L34" s="8"/>
      <c r="M34" s="8"/>
      <c r="N34" s="8"/>
      <c r="O34" s="8"/>
      <c r="P34" s="8"/>
      <c r="Q34" t="b">
        <v>1</v>
      </c>
      <c r="R34">
        <v>2</v>
      </c>
      <c r="S34" s="8"/>
    </row>
    <row r="35" spans="1:19" x14ac:dyDescent="0.3">
      <c r="A35" s="42" t="b">
        <f t="shared" si="3"/>
        <v>0</v>
      </c>
      <c r="B35" s="42" t="b">
        <f t="shared" si="4"/>
        <v>0</v>
      </c>
      <c r="C35" s="8" t="str">
        <f t="shared" si="5"/>
        <v xml:space="preserve">CS207 </v>
      </c>
      <c r="D35" s="13" t="s">
        <v>134</v>
      </c>
      <c r="E35" s="13"/>
      <c r="F35" s="14" t="s">
        <v>15</v>
      </c>
      <c r="G35" s="14"/>
      <c r="H35" s="42" t="str">
        <f>IF(COUNTIF(Course[Course ID],Course[[#This Row],[Course ID]])&gt;1,"S","")</f>
        <v/>
      </c>
      <c r="I35" s="8"/>
      <c r="J35" s="8"/>
      <c r="K35" s="8"/>
      <c r="L35" s="8"/>
      <c r="M35" s="8"/>
      <c r="N35" s="8"/>
      <c r="O35" s="8"/>
      <c r="P35" s="8"/>
      <c r="Q35" t="b">
        <v>1</v>
      </c>
      <c r="R35">
        <v>2</v>
      </c>
      <c r="S35" s="8"/>
    </row>
    <row r="36" spans="1:19" x14ac:dyDescent="0.3">
      <c r="A36" s="42" t="b">
        <f t="shared" si="3"/>
        <v>0</v>
      </c>
      <c r="B36" s="42" t="b">
        <f t="shared" si="4"/>
        <v>0</v>
      </c>
      <c r="C36" s="8" t="str">
        <f t="shared" si="5"/>
        <v xml:space="preserve">CS208 </v>
      </c>
      <c r="D36" s="13" t="s">
        <v>135</v>
      </c>
      <c r="E36" s="13"/>
      <c r="F36" s="14" t="s">
        <v>15</v>
      </c>
      <c r="G36" s="14"/>
      <c r="H36" s="42" t="str">
        <f>IF(COUNTIF(Course[Course ID],Course[[#This Row],[Course ID]])&gt;1,"S","")</f>
        <v/>
      </c>
      <c r="I36" s="8"/>
      <c r="J36" s="8"/>
      <c r="K36" s="8"/>
      <c r="L36" s="8"/>
      <c r="M36" s="8"/>
      <c r="N36" s="8"/>
      <c r="O36" s="8"/>
      <c r="P36" s="8"/>
      <c r="Q36" t="b">
        <v>1</v>
      </c>
      <c r="R36">
        <v>3</v>
      </c>
      <c r="S36" s="8"/>
    </row>
    <row r="37" spans="1:19" x14ac:dyDescent="0.3">
      <c r="A37" s="42" t="b">
        <f t="shared" si="3"/>
        <v>0</v>
      </c>
      <c r="B37" s="42" t="b">
        <f t="shared" si="4"/>
        <v>0</v>
      </c>
      <c r="C37" s="8" t="str">
        <f t="shared" si="5"/>
        <v xml:space="preserve">CS209 </v>
      </c>
      <c r="D37" s="13" t="s">
        <v>136</v>
      </c>
      <c r="E37" s="13"/>
      <c r="F37" s="14" t="s">
        <v>15</v>
      </c>
      <c r="G37" s="14"/>
      <c r="H37" s="42" t="str">
        <f>IF(COUNTIF(Course[Course ID],Course[[#This Row],[Course ID]])&gt;1,"S","")</f>
        <v/>
      </c>
      <c r="I37" s="8"/>
      <c r="J37" s="8"/>
      <c r="K37" s="8"/>
      <c r="L37" s="8"/>
      <c r="M37" s="8"/>
      <c r="N37" s="8"/>
      <c r="O37" s="8"/>
      <c r="P37" s="8"/>
      <c r="Q37" t="b">
        <v>1</v>
      </c>
      <c r="R37">
        <v>3</v>
      </c>
      <c r="S37" s="8"/>
    </row>
    <row r="38" spans="1:19" x14ac:dyDescent="0.3">
      <c r="A38" s="42" t="b">
        <f t="shared" si="3"/>
        <v>0</v>
      </c>
      <c r="B38" s="42" t="b">
        <f t="shared" si="4"/>
        <v>0</v>
      </c>
      <c r="C38" s="8" t="str">
        <f t="shared" si="5"/>
        <v xml:space="preserve">CS210 </v>
      </c>
      <c r="D38" s="13" t="s">
        <v>137</v>
      </c>
      <c r="E38" s="13"/>
      <c r="F38" s="14" t="s">
        <v>15</v>
      </c>
      <c r="G38" s="14"/>
      <c r="H38" s="42" t="str">
        <f>IF(COUNTIF(Course[Course ID],Course[[#This Row],[Course ID]])&gt;1,"S","")</f>
        <v/>
      </c>
      <c r="I38" s="8"/>
      <c r="J38" s="8"/>
      <c r="K38" s="8"/>
      <c r="L38" s="8"/>
      <c r="M38" s="8"/>
      <c r="N38" s="8"/>
      <c r="O38" s="8"/>
      <c r="P38" s="8"/>
      <c r="Q38" t="b">
        <v>1</v>
      </c>
      <c r="R38">
        <v>3</v>
      </c>
      <c r="S38" s="8"/>
    </row>
    <row r="39" spans="1:19" x14ac:dyDescent="0.3">
      <c r="A39" s="42" t="b">
        <f t="shared" si="3"/>
        <v>0</v>
      </c>
      <c r="B39" s="42" t="b">
        <f t="shared" si="4"/>
        <v>0</v>
      </c>
      <c r="C39" s="8" t="str">
        <f t="shared" si="5"/>
        <v xml:space="preserve">CS211 </v>
      </c>
      <c r="D39" s="13" t="s">
        <v>138</v>
      </c>
      <c r="E39" s="13"/>
      <c r="F39" s="14" t="s">
        <v>15</v>
      </c>
      <c r="G39" s="14"/>
      <c r="H39" s="42" t="str">
        <f>IF(COUNTIF(Course[Course ID],Course[[#This Row],[Course ID]])&gt;1,"S","")</f>
        <v/>
      </c>
      <c r="I39" s="8"/>
      <c r="J39" s="8"/>
      <c r="K39" s="8"/>
      <c r="L39" s="8"/>
      <c r="M39" s="8"/>
      <c r="N39" s="8"/>
      <c r="O39" s="8"/>
      <c r="P39" s="8"/>
      <c r="Q39" t="b">
        <v>1</v>
      </c>
      <c r="R39">
        <v>3</v>
      </c>
      <c r="S39" s="8"/>
    </row>
    <row r="40" spans="1:19" x14ac:dyDescent="0.3">
      <c r="A40" s="42" t="b">
        <f t="shared" si="3"/>
        <v>0</v>
      </c>
      <c r="B40" s="42" t="b">
        <f t="shared" si="4"/>
        <v>0</v>
      </c>
      <c r="C40" s="8" t="str">
        <f t="shared" si="5"/>
        <v xml:space="preserve">CS212 </v>
      </c>
      <c r="D40" s="13" t="s">
        <v>139</v>
      </c>
      <c r="E40" s="13"/>
      <c r="F40" s="14" t="s">
        <v>15</v>
      </c>
      <c r="G40" s="14"/>
      <c r="H40" s="42" t="str">
        <f>IF(COUNTIF(Course[Course ID],Course[[#This Row],[Course ID]])&gt;1,"S","")</f>
        <v/>
      </c>
      <c r="I40" s="8"/>
      <c r="J40" s="8"/>
      <c r="K40" s="8"/>
      <c r="L40" s="8"/>
      <c r="M40" s="8"/>
      <c r="N40" s="8"/>
      <c r="O40" s="8"/>
      <c r="P40" s="8"/>
      <c r="Q40" t="b">
        <v>1</v>
      </c>
      <c r="R40">
        <v>4</v>
      </c>
      <c r="S40" s="8"/>
    </row>
    <row r="41" spans="1:19" x14ac:dyDescent="0.3">
      <c r="A41" s="42" t="b">
        <f t="shared" ref="A41:A72" si="6">IF(F41="G", TRUE,FALSE)</f>
        <v>0</v>
      </c>
      <c r="B41" s="42" t="b">
        <f t="shared" ref="B41:B72" si="7">IF(ISBLANK(G41),FALSE,TRUE)</f>
        <v>0</v>
      </c>
      <c r="C41" s="8" t="str">
        <f t="shared" ref="C41:C72" si="8">CONCATENATE(D41," ",E41)</f>
        <v xml:space="preserve">CS213 </v>
      </c>
      <c r="D41" s="13" t="s">
        <v>140</v>
      </c>
      <c r="E41" s="13"/>
      <c r="F41" s="14" t="s">
        <v>15</v>
      </c>
      <c r="G41" s="14"/>
      <c r="H41" s="42" t="str">
        <f>IF(COUNTIF(Course[Course ID],Course[[#This Row],[Course ID]])&gt;1,"S","")</f>
        <v/>
      </c>
      <c r="I41" s="8"/>
      <c r="J41" s="8"/>
      <c r="K41" s="8"/>
      <c r="L41" s="8"/>
      <c r="M41" s="8"/>
      <c r="N41" s="8"/>
      <c r="O41" s="8"/>
      <c r="P41" s="8"/>
      <c r="Q41" t="b">
        <v>1</v>
      </c>
      <c r="R41">
        <v>4</v>
      </c>
      <c r="S41" s="8"/>
    </row>
    <row r="42" spans="1:19" x14ac:dyDescent="0.3">
      <c r="A42" s="42" t="b">
        <f t="shared" si="6"/>
        <v>0</v>
      </c>
      <c r="B42" s="42" t="b">
        <f t="shared" si="7"/>
        <v>0</v>
      </c>
      <c r="C42" s="8" t="str">
        <f t="shared" si="8"/>
        <v xml:space="preserve">CS214 </v>
      </c>
      <c r="D42" s="13" t="s">
        <v>141</v>
      </c>
      <c r="E42" s="13"/>
      <c r="F42" s="14" t="s">
        <v>15</v>
      </c>
      <c r="G42" s="14"/>
      <c r="H42" s="42" t="str">
        <f>IF(COUNTIF(Course[Course ID],Course[[#This Row],[Course ID]])&gt;1,"S","")</f>
        <v/>
      </c>
      <c r="I42" s="8"/>
      <c r="J42" s="8"/>
      <c r="K42" s="8"/>
      <c r="L42" s="8"/>
      <c r="M42" s="8"/>
      <c r="N42" s="8"/>
      <c r="O42" s="8"/>
      <c r="P42" s="8"/>
      <c r="Q42" t="b">
        <v>1</v>
      </c>
      <c r="R42">
        <v>4</v>
      </c>
      <c r="S42" s="8"/>
    </row>
    <row r="43" spans="1:19" x14ac:dyDescent="0.3">
      <c r="A43" s="42" t="b">
        <f t="shared" si="6"/>
        <v>0</v>
      </c>
      <c r="B43" s="42" t="b">
        <f t="shared" si="7"/>
        <v>0</v>
      </c>
      <c r="C43" s="8" t="str">
        <f t="shared" si="8"/>
        <v xml:space="preserve">CS215 </v>
      </c>
      <c r="D43" s="13" t="s">
        <v>142</v>
      </c>
      <c r="E43" s="13"/>
      <c r="F43" s="14" t="s">
        <v>15</v>
      </c>
      <c r="G43" s="14"/>
      <c r="H43" s="42" t="str">
        <f>IF(COUNTIF(Course[Course ID],Course[[#This Row],[Course ID]])&gt;1,"S","")</f>
        <v/>
      </c>
      <c r="I43" s="8"/>
      <c r="J43" s="8"/>
      <c r="K43" s="8"/>
      <c r="L43" s="8"/>
      <c r="M43" s="8"/>
      <c r="N43" s="8"/>
      <c r="O43" s="8"/>
      <c r="P43" s="8"/>
      <c r="Q43" t="b">
        <v>1</v>
      </c>
      <c r="R43">
        <v>4</v>
      </c>
      <c r="S43" s="8"/>
    </row>
    <row r="44" spans="1:19" x14ac:dyDescent="0.3">
      <c r="A44" s="42" t="b">
        <f t="shared" si="6"/>
        <v>0</v>
      </c>
      <c r="B44" s="42" t="b">
        <f t="shared" si="7"/>
        <v>0</v>
      </c>
      <c r="C44" s="8" t="str">
        <f t="shared" si="8"/>
        <v xml:space="preserve">CS216 </v>
      </c>
      <c r="D44" s="13" t="s">
        <v>143</v>
      </c>
      <c r="E44" s="13"/>
      <c r="F44" s="14" t="s">
        <v>15</v>
      </c>
      <c r="G44" s="14"/>
      <c r="H44" s="42" t="str">
        <f>IF(COUNTIF(Course[Course ID],Course[[#This Row],[Course ID]])&gt;1,"S","")</f>
        <v/>
      </c>
      <c r="I44" s="8"/>
      <c r="J44" s="8"/>
      <c r="K44" s="8"/>
      <c r="L44" s="8"/>
      <c r="M44" s="8"/>
      <c r="N44" s="8"/>
      <c r="O44" s="8"/>
      <c r="P44" s="8"/>
      <c r="Q44" t="b">
        <v>1</v>
      </c>
      <c r="R44">
        <v>5</v>
      </c>
      <c r="S44" s="8"/>
    </row>
    <row r="45" spans="1:19" x14ac:dyDescent="0.3">
      <c r="A45" s="42" t="b">
        <f t="shared" si="6"/>
        <v>0</v>
      </c>
      <c r="B45" s="42" t="b">
        <f t="shared" si="7"/>
        <v>0</v>
      </c>
      <c r="C45" s="8" t="str">
        <f t="shared" si="8"/>
        <v xml:space="preserve">MGT100 </v>
      </c>
      <c r="D45" s="13" t="s">
        <v>144</v>
      </c>
      <c r="E45" s="13"/>
      <c r="F45" s="14" t="s">
        <v>15</v>
      </c>
      <c r="G45" s="14"/>
      <c r="H45" s="42" t="str">
        <f>IF(COUNTIF(Course[Course ID],Course[[#This Row],[Course ID]])&gt;1,"S","")</f>
        <v/>
      </c>
      <c r="I45" s="8"/>
      <c r="J45" s="8"/>
      <c r="K45" s="8"/>
      <c r="L45" s="8"/>
      <c r="M45" s="8"/>
      <c r="N45" s="8"/>
      <c r="O45" s="8"/>
      <c r="P45" s="8"/>
      <c r="Q45" t="b">
        <v>1</v>
      </c>
      <c r="R45">
        <v>5</v>
      </c>
      <c r="S45" s="8"/>
    </row>
    <row r="46" spans="1:19" x14ac:dyDescent="0.3">
      <c r="A46" s="42" t="b">
        <f t="shared" si="6"/>
        <v>0</v>
      </c>
      <c r="B46" s="42" t="b">
        <f t="shared" si="7"/>
        <v>0</v>
      </c>
      <c r="C46" s="8" t="str">
        <f t="shared" si="8"/>
        <v xml:space="preserve">MGT101 </v>
      </c>
      <c r="D46" s="13" t="s">
        <v>145</v>
      </c>
      <c r="E46" s="13"/>
      <c r="F46" s="14" t="s">
        <v>15</v>
      </c>
      <c r="G46" s="14"/>
      <c r="H46" s="42" t="str">
        <f>IF(COUNTIF(Course[Course ID],Course[[#This Row],[Course ID]])&gt;1,"S","")</f>
        <v/>
      </c>
      <c r="I46" s="8"/>
      <c r="J46" s="8"/>
      <c r="K46" s="8"/>
      <c r="L46" s="8"/>
      <c r="M46" s="8"/>
      <c r="N46" s="8"/>
      <c r="O46" s="8"/>
      <c r="P46" s="8"/>
      <c r="Q46" t="b">
        <v>1</v>
      </c>
      <c r="R46">
        <v>5</v>
      </c>
      <c r="S46" s="8"/>
    </row>
    <row r="47" spans="1:19" x14ac:dyDescent="0.3">
      <c r="A47" s="42" t="b">
        <f t="shared" si="6"/>
        <v>0</v>
      </c>
      <c r="B47" s="42" t="b">
        <f t="shared" si="7"/>
        <v>0</v>
      </c>
      <c r="C47" s="8" t="str">
        <f t="shared" si="8"/>
        <v xml:space="preserve">MGT102 </v>
      </c>
      <c r="D47" s="13" t="s">
        <v>146</v>
      </c>
      <c r="E47" s="13"/>
      <c r="F47" s="14" t="s">
        <v>15</v>
      </c>
      <c r="G47" s="14"/>
      <c r="H47" s="42" t="str">
        <f>IF(COUNTIF(Course[Course ID],Course[[#This Row],[Course ID]])&gt;1,"S","")</f>
        <v/>
      </c>
      <c r="I47" s="8"/>
      <c r="J47" s="8"/>
      <c r="K47" s="8"/>
      <c r="L47" s="8"/>
      <c r="M47" s="8"/>
      <c r="N47" s="8"/>
      <c r="O47" s="8"/>
      <c r="P47" s="8"/>
      <c r="Q47" t="b">
        <v>1</v>
      </c>
      <c r="R47">
        <v>6</v>
      </c>
      <c r="S47" s="8"/>
    </row>
    <row r="48" spans="1:19" x14ac:dyDescent="0.3">
      <c r="A48" s="42" t="b">
        <f t="shared" si="6"/>
        <v>0</v>
      </c>
      <c r="B48" s="42" t="b">
        <f t="shared" si="7"/>
        <v>0</v>
      </c>
      <c r="C48" s="8" t="str">
        <f t="shared" si="8"/>
        <v xml:space="preserve">MGT103 </v>
      </c>
      <c r="D48" s="13" t="s">
        <v>147</v>
      </c>
      <c r="E48" s="13"/>
      <c r="F48" s="14" t="s">
        <v>15</v>
      </c>
      <c r="G48" s="14"/>
      <c r="H48" s="42" t="str">
        <f>IF(COUNTIF(Course[Course ID],Course[[#This Row],[Course ID]])&gt;1,"S","")</f>
        <v/>
      </c>
      <c r="I48" s="8"/>
      <c r="J48" s="8"/>
      <c r="K48" s="8"/>
      <c r="L48" s="8"/>
      <c r="M48" s="8"/>
      <c r="N48" s="8"/>
      <c r="O48" s="8"/>
      <c r="P48" s="8"/>
      <c r="Q48" t="b">
        <v>1</v>
      </c>
      <c r="R48">
        <v>6</v>
      </c>
      <c r="S48" s="8"/>
    </row>
    <row r="49" spans="1:19" x14ac:dyDescent="0.3">
      <c r="A49" s="42" t="b">
        <f t="shared" si="6"/>
        <v>0</v>
      </c>
      <c r="B49" s="42" t="b">
        <f t="shared" si="7"/>
        <v>0</v>
      </c>
      <c r="C49" s="8" t="str">
        <f t="shared" si="8"/>
        <v xml:space="preserve">MGT104 </v>
      </c>
      <c r="D49" s="13" t="s">
        <v>148</v>
      </c>
      <c r="E49" s="13"/>
      <c r="F49" s="14" t="s">
        <v>15</v>
      </c>
      <c r="G49" s="14"/>
      <c r="H49" s="42" t="str">
        <f>IF(COUNTIF(Course[Course ID],Course[[#This Row],[Course ID]])&gt;1,"S","")</f>
        <v/>
      </c>
      <c r="I49" s="8"/>
      <c r="J49" s="8"/>
      <c r="K49" s="8"/>
      <c r="L49" s="8"/>
      <c r="M49" s="8"/>
      <c r="N49" s="8"/>
      <c r="O49" s="8"/>
      <c r="P49" s="8"/>
      <c r="Q49" t="b">
        <v>1</v>
      </c>
      <c r="R49">
        <v>6</v>
      </c>
      <c r="S49" s="8"/>
    </row>
    <row r="50" spans="1:19" x14ac:dyDescent="0.3">
      <c r="A50" s="42" t="b">
        <f t="shared" si="6"/>
        <v>0</v>
      </c>
      <c r="B50" s="42" t="b">
        <f t="shared" si="7"/>
        <v>0</v>
      </c>
      <c r="C50" s="8" t="str">
        <f t="shared" si="8"/>
        <v xml:space="preserve">MGT105 </v>
      </c>
      <c r="D50" s="13" t="s">
        <v>149</v>
      </c>
      <c r="E50" s="13"/>
      <c r="F50" s="14" t="s">
        <v>15</v>
      </c>
      <c r="G50" s="14"/>
      <c r="H50" s="42" t="str">
        <f>IF(COUNTIF(Course[Course ID],Course[[#This Row],[Course ID]])&gt;1,"S","")</f>
        <v/>
      </c>
      <c r="I50" s="8"/>
      <c r="J50" s="8"/>
      <c r="K50" s="8"/>
      <c r="L50" s="8"/>
      <c r="M50" s="8"/>
      <c r="N50" s="8"/>
      <c r="O50" s="8"/>
      <c r="P50" s="8"/>
      <c r="Q50" t="b">
        <v>1</v>
      </c>
      <c r="R50">
        <v>6</v>
      </c>
      <c r="S50" s="8"/>
    </row>
    <row r="51" spans="1:19" x14ac:dyDescent="0.3">
      <c r="A51" s="42" t="b">
        <f t="shared" si="6"/>
        <v>0</v>
      </c>
      <c r="B51" s="42" t="b">
        <f t="shared" si="7"/>
        <v>0</v>
      </c>
      <c r="C51" s="8" t="str">
        <f t="shared" si="8"/>
        <v xml:space="preserve">MGT106 </v>
      </c>
      <c r="D51" s="13" t="s">
        <v>150</v>
      </c>
      <c r="E51" s="13"/>
      <c r="F51" s="14" t="s">
        <v>15</v>
      </c>
      <c r="G51" s="14"/>
      <c r="H51" s="42" t="str">
        <f>IF(COUNTIF(Course[Course ID],Course[[#This Row],[Course ID]])&gt;1,"S","")</f>
        <v/>
      </c>
      <c r="I51" s="8"/>
      <c r="J51" s="8"/>
      <c r="K51" s="8"/>
      <c r="L51" s="8"/>
      <c r="M51" s="8"/>
      <c r="N51" s="8"/>
      <c r="O51" s="8"/>
      <c r="P51" s="8"/>
      <c r="Q51" t="b">
        <v>1</v>
      </c>
      <c r="R51">
        <v>7</v>
      </c>
      <c r="S51" s="8"/>
    </row>
    <row r="52" spans="1:19" x14ac:dyDescent="0.3">
      <c r="A52" s="42" t="b">
        <f t="shared" si="6"/>
        <v>0</v>
      </c>
      <c r="B52" s="42" t="b">
        <f t="shared" si="7"/>
        <v>0</v>
      </c>
      <c r="C52" s="8" t="str">
        <f t="shared" si="8"/>
        <v xml:space="preserve">MGT107 </v>
      </c>
      <c r="D52" s="13" t="s">
        <v>151</v>
      </c>
      <c r="E52" s="13"/>
      <c r="F52" s="14" t="s">
        <v>15</v>
      </c>
      <c r="G52" s="14"/>
      <c r="H52" s="42" t="str">
        <f>IF(COUNTIF(Course[Course ID],Course[[#This Row],[Course ID]])&gt;1,"S","")</f>
        <v/>
      </c>
      <c r="I52" s="8"/>
      <c r="J52" s="8"/>
      <c r="K52" s="8"/>
      <c r="L52" s="8"/>
      <c r="M52" s="8"/>
      <c r="N52" s="8"/>
      <c r="O52" s="8"/>
      <c r="P52" s="8"/>
      <c r="Q52" t="b">
        <v>1</v>
      </c>
      <c r="R52">
        <v>7</v>
      </c>
      <c r="S52" s="8"/>
    </row>
    <row r="53" spans="1:19" x14ac:dyDescent="0.3">
      <c r="A53" s="42" t="b">
        <f t="shared" si="6"/>
        <v>0</v>
      </c>
      <c r="B53" s="42" t="b">
        <f t="shared" si="7"/>
        <v>0</v>
      </c>
      <c r="C53" s="8" t="str">
        <f t="shared" si="8"/>
        <v xml:space="preserve">MGT108 </v>
      </c>
      <c r="D53" s="13" t="s">
        <v>152</v>
      </c>
      <c r="E53" s="13"/>
      <c r="F53" s="14" t="s">
        <v>15</v>
      </c>
      <c r="G53" s="14"/>
      <c r="H53" s="42" t="str">
        <f>IF(COUNTIF(Course[Course ID],Course[[#This Row],[Course ID]])&gt;1,"S","")</f>
        <v/>
      </c>
      <c r="I53" s="8"/>
      <c r="J53" s="8"/>
      <c r="K53" s="8"/>
      <c r="L53" s="8"/>
      <c r="M53" s="8"/>
      <c r="N53" s="8"/>
      <c r="O53" s="8"/>
      <c r="P53" s="8"/>
      <c r="Q53" t="b">
        <v>1</v>
      </c>
      <c r="R53">
        <v>7</v>
      </c>
      <c r="S53" s="8"/>
    </row>
    <row r="54" spans="1:19" x14ac:dyDescent="0.3">
      <c r="A54" s="42" t="b">
        <f t="shared" si="6"/>
        <v>0</v>
      </c>
      <c r="B54" s="42" t="b">
        <f t="shared" si="7"/>
        <v>0</v>
      </c>
      <c r="C54" s="8" t="str">
        <f t="shared" si="8"/>
        <v xml:space="preserve">MGT109 </v>
      </c>
      <c r="D54" s="13" t="s">
        <v>153</v>
      </c>
      <c r="E54" s="13"/>
      <c r="F54" s="14" t="s">
        <v>15</v>
      </c>
      <c r="G54" s="14"/>
      <c r="H54" s="42" t="str">
        <f>IF(COUNTIF(Course[Course ID],Course[[#This Row],[Course ID]])&gt;1,"S","")</f>
        <v/>
      </c>
      <c r="I54" s="8"/>
      <c r="J54" s="8"/>
      <c r="K54" s="8"/>
      <c r="L54" s="8"/>
      <c r="M54" s="8"/>
      <c r="N54" s="8"/>
      <c r="O54" s="8"/>
      <c r="P54" s="8"/>
      <c r="Q54" t="b">
        <v>1</v>
      </c>
      <c r="R54">
        <v>7</v>
      </c>
      <c r="S54" s="8"/>
    </row>
    <row r="55" spans="1:19" x14ac:dyDescent="0.3">
      <c r="A55" s="42" t="b">
        <f t="shared" si="6"/>
        <v>0</v>
      </c>
      <c r="B55" s="42" t="b">
        <f t="shared" si="7"/>
        <v>0</v>
      </c>
      <c r="C55" s="8" t="str">
        <f t="shared" si="8"/>
        <v xml:space="preserve">MGT110 </v>
      </c>
      <c r="D55" s="13" t="s">
        <v>154</v>
      </c>
      <c r="E55" s="13"/>
      <c r="F55" s="14" t="s">
        <v>15</v>
      </c>
      <c r="G55" s="14"/>
      <c r="H55" s="42" t="str">
        <f>IF(COUNTIF(Course[Course ID],Course[[#This Row],[Course ID]])&gt;1,"S","")</f>
        <v/>
      </c>
      <c r="I55" s="8"/>
      <c r="J55" s="8"/>
      <c r="K55" s="8"/>
      <c r="L55" s="8"/>
      <c r="M55" s="8"/>
      <c r="N55" s="8"/>
      <c r="O55" s="8"/>
      <c r="P55" s="8"/>
      <c r="Q55" t="b">
        <v>1</v>
      </c>
      <c r="R55">
        <v>8</v>
      </c>
      <c r="S55" s="8"/>
    </row>
    <row r="56" spans="1:19" x14ac:dyDescent="0.3">
      <c r="A56" s="42" t="b">
        <f t="shared" si="6"/>
        <v>0</v>
      </c>
      <c r="B56" s="42" t="b">
        <f t="shared" si="7"/>
        <v>0</v>
      </c>
      <c r="C56" s="8" t="str">
        <f t="shared" si="8"/>
        <v xml:space="preserve">MGT111 </v>
      </c>
      <c r="D56" s="13" t="s">
        <v>155</v>
      </c>
      <c r="E56" s="13"/>
      <c r="F56" s="14" t="s">
        <v>15</v>
      </c>
      <c r="G56" s="14"/>
      <c r="H56" s="42" t="str">
        <f>IF(COUNTIF(Course[Course ID],Course[[#This Row],[Course ID]])&gt;1,"S","")</f>
        <v/>
      </c>
      <c r="I56" s="8"/>
      <c r="J56" s="8"/>
      <c r="K56" s="8"/>
      <c r="L56" s="8"/>
      <c r="M56" s="8"/>
      <c r="N56" s="8"/>
      <c r="O56" s="8"/>
      <c r="P56" s="8"/>
      <c r="Q56" t="b">
        <v>1</v>
      </c>
      <c r="R56">
        <v>8</v>
      </c>
      <c r="S56" s="8"/>
    </row>
    <row r="57" spans="1:19" x14ac:dyDescent="0.3">
      <c r="A57" s="42" t="b">
        <f t="shared" si="6"/>
        <v>0</v>
      </c>
      <c r="B57" s="42" t="b">
        <f t="shared" si="7"/>
        <v>0</v>
      </c>
      <c r="C57" s="8" t="str">
        <f t="shared" si="8"/>
        <v xml:space="preserve">MGT112 </v>
      </c>
      <c r="D57" s="13" t="s">
        <v>156</v>
      </c>
      <c r="E57" s="13"/>
      <c r="F57" s="14" t="s">
        <v>15</v>
      </c>
      <c r="G57" s="14"/>
      <c r="H57" s="42" t="str">
        <f>IF(COUNTIF(Course[Course ID],Course[[#This Row],[Course ID]])&gt;1,"S","")</f>
        <v/>
      </c>
      <c r="I57" s="8"/>
      <c r="J57" s="8"/>
      <c r="K57" s="8"/>
      <c r="L57" s="8"/>
      <c r="M57" s="8"/>
      <c r="N57" s="8"/>
      <c r="O57" s="8"/>
      <c r="P57" s="8"/>
      <c r="Q57" t="b">
        <v>1</v>
      </c>
      <c r="R57">
        <v>8</v>
      </c>
      <c r="S57" s="8"/>
    </row>
    <row r="58" spans="1:19" x14ac:dyDescent="0.3">
      <c r="A58" s="42" t="b">
        <f t="shared" si="6"/>
        <v>0</v>
      </c>
      <c r="B58" s="42" t="b">
        <f t="shared" si="7"/>
        <v>0</v>
      </c>
      <c r="C58" s="8" t="str">
        <f t="shared" si="8"/>
        <v xml:space="preserve">MGT113 </v>
      </c>
      <c r="D58" s="13" t="s">
        <v>157</v>
      </c>
      <c r="E58" s="13"/>
      <c r="F58" s="14" t="s">
        <v>15</v>
      </c>
      <c r="G58" s="14"/>
      <c r="H58" s="42" t="str">
        <f>IF(COUNTIF(Course[Course ID],Course[[#This Row],[Course ID]])&gt;1,"S","")</f>
        <v/>
      </c>
      <c r="I58" s="8"/>
      <c r="J58" s="8"/>
      <c r="K58" s="8"/>
      <c r="L58" s="8"/>
      <c r="M58" s="8"/>
      <c r="N58" s="8"/>
      <c r="O58" s="8"/>
      <c r="P58" s="8"/>
      <c r="Q58" t="b">
        <v>1</v>
      </c>
      <c r="R58">
        <v>8</v>
      </c>
      <c r="S58" s="8"/>
    </row>
    <row r="59" spans="1:19" x14ac:dyDescent="0.3">
      <c r="A59" s="42" t="b">
        <f t="shared" si="6"/>
        <v>0</v>
      </c>
      <c r="B59" s="42" t="b">
        <f t="shared" si="7"/>
        <v>0</v>
      </c>
      <c r="C59" s="8" t="str">
        <f t="shared" si="8"/>
        <v xml:space="preserve">MGT114 </v>
      </c>
      <c r="D59" s="13" t="s">
        <v>158</v>
      </c>
      <c r="E59" s="13"/>
      <c r="F59" s="14" t="s">
        <v>15</v>
      </c>
      <c r="G59" s="14"/>
      <c r="H59" s="42" t="str">
        <f>IF(COUNTIF(Course[Course ID],Course[[#This Row],[Course ID]])&gt;1,"S","")</f>
        <v/>
      </c>
      <c r="I59" s="8"/>
      <c r="J59" s="8"/>
      <c r="K59" s="8"/>
      <c r="L59" s="8"/>
      <c r="M59" s="8"/>
      <c r="N59" s="8"/>
      <c r="O59" s="8"/>
      <c r="P59" s="8"/>
      <c r="Q59" t="b">
        <v>1</v>
      </c>
      <c r="R59">
        <v>9</v>
      </c>
      <c r="S59" s="8"/>
    </row>
    <row r="60" spans="1:19" x14ac:dyDescent="0.3">
      <c r="A60" s="42" t="b">
        <f t="shared" si="6"/>
        <v>0</v>
      </c>
      <c r="B60" s="42" t="b">
        <f t="shared" si="7"/>
        <v>0</v>
      </c>
      <c r="C60" s="8" t="str">
        <f t="shared" si="8"/>
        <v xml:space="preserve">MGT115 </v>
      </c>
      <c r="D60" s="13" t="s">
        <v>159</v>
      </c>
      <c r="E60" s="13"/>
      <c r="F60" s="14" t="s">
        <v>15</v>
      </c>
      <c r="G60" s="14"/>
      <c r="H60" s="42" t="str">
        <f>IF(COUNTIF(Course[Course ID],Course[[#This Row],[Course ID]])&gt;1,"S","")</f>
        <v/>
      </c>
      <c r="I60" s="8"/>
      <c r="J60" s="8"/>
      <c r="K60" s="8"/>
      <c r="L60" s="8"/>
      <c r="M60" s="8"/>
      <c r="N60" s="8"/>
      <c r="O60" s="8"/>
      <c r="P60" s="8"/>
      <c r="Q60" t="b">
        <v>1</v>
      </c>
      <c r="R60">
        <v>9</v>
      </c>
      <c r="S60" s="8"/>
    </row>
    <row r="61" spans="1:19" x14ac:dyDescent="0.3">
      <c r="A61" s="42" t="b">
        <f t="shared" si="6"/>
        <v>0</v>
      </c>
      <c r="B61" s="42" t="b">
        <f t="shared" si="7"/>
        <v>0</v>
      </c>
      <c r="C61" s="8" t="str">
        <f t="shared" si="8"/>
        <v xml:space="preserve">MGT116 </v>
      </c>
      <c r="D61" s="13" t="s">
        <v>160</v>
      </c>
      <c r="E61" s="13"/>
      <c r="F61" s="14" t="s">
        <v>15</v>
      </c>
      <c r="G61" s="14"/>
      <c r="H61" s="42" t="str">
        <f>IF(COUNTIF(Course[Course ID],Course[[#This Row],[Course ID]])&gt;1,"S","")</f>
        <v/>
      </c>
      <c r="I61" s="8"/>
      <c r="J61" s="8"/>
      <c r="K61" s="8"/>
      <c r="L61" s="8"/>
      <c r="M61" s="8"/>
      <c r="N61" s="8"/>
      <c r="O61" s="8"/>
      <c r="P61" s="8"/>
      <c r="Q61" t="b">
        <v>1</v>
      </c>
      <c r="R61">
        <v>9</v>
      </c>
      <c r="S61" s="8"/>
    </row>
    <row r="62" spans="1:19" x14ac:dyDescent="0.3">
      <c r="A62" s="42" t="b">
        <f t="shared" si="6"/>
        <v>0</v>
      </c>
      <c r="B62" s="42" t="b">
        <f t="shared" si="7"/>
        <v>0</v>
      </c>
      <c r="C62" s="8" t="str">
        <f t="shared" si="8"/>
        <v xml:space="preserve">MGT117 </v>
      </c>
      <c r="D62" s="13" t="s">
        <v>161</v>
      </c>
      <c r="E62" s="13"/>
      <c r="F62" s="14" t="s">
        <v>15</v>
      </c>
      <c r="G62" s="14"/>
      <c r="H62" s="42" t="str">
        <f>IF(COUNTIF(Course[Course ID],Course[[#This Row],[Course ID]])&gt;1,"S","")</f>
        <v/>
      </c>
      <c r="I62" s="8"/>
      <c r="J62" s="8"/>
      <c r="K62" s="8"/>
      <c r="L62" s="8"/>
      <c r="M62" s="8"/>
      <c r="N62" s="8"/>
      <c r="O62" s="8"/>
      <c r="P62" s="8"/>
      <c r="Q62" t="b">
        <v>1</v>
      </c>
      <c r="R62">
        <v>9</v>
      </c>
      <c r="S62" s="8"/>
    </row>
    <row r="63" spans="1:19" x14ac:dyDescent="0.3">
      <c r="A63" s="42" t="b">
        <f t="shared" si="6"/>
        <v>0</v>
      </c>
      <c r="B63" s="42" t="b">
        <f t="shared" si="7"/>
        <v>0</v>
      </c>
      <c r="C63" s="8" t="str">
        <f t="shared" si="8"/>
        <v xml:space="preserve">MGT118 </v>
      </c>
      <c r="D63" s="13" t="s">
        <v>162</v>
      </c>
      <c r="E63" s="13"/>
      <c r="F63" s="14" t="s">
        <v>15</v>
      </c>
      <c r="G63" s="14"/>
      <c r="H63" s="42" t="str">
        <f>IF(COUNTIF(Course[Course ID],Course[[#This Row],[Course ID]])&gt;1,"S","")</f>
        <v/>
      </c>
      <c r="I63" s="8"/>
      <c r="J63" s="8"/>
      <c r="K63" s="8"/>
      <c r="L63" s="8"/>
      <c r="M63" s="8"/>
      <c r="N63" s="8"/>
      <c r="O63" s="8"/>
      <c r="P63" s="8"/>
      <c r="Q63" t="b">
        <v>1</v>
      </c>
      <c r="R63">
        <v>10</v>
      </c>
      <c r="S63" s="8"/>
    </row>
    <row r="64" spans="1:19" x14ac:dyDescent="0.3">
      <c r="A64" s="42" t="b">
        <f t="shared" si="6"/>
        <v>0</v>
      </c>
      <c r="B64" s="42" t="b">
        <f t="shared" si="7"/>
        <v>0</v>
      </c>
      <c r="C64" s="8" t="str">
        <f t="shared" si="8"/>
        <v xml:space="preserve">MGT119 </v>
      </c>
      <c r="D64" s="13" t="s">
        <v>163</v>
      </c>
      <c r="E64" s="13"/>
      <c r="F64" s="14" t="s">
        <v>15</v>
      </c>
      <c r="G64" s="14"/>
      <c r="H64" s="42" t="str">
        <f>IF(COUNTIF(Course[Course ID],Course[[#This Row],[Course ID]])&gt;1,"S","")</f>
        <v/>
      </c>
      <c r="I64" s="8"/>
      <c r="J64" s="8"/>
      <c r="K64" s="8"/>
      <c r="L64" s="8"/>
      <c r="M64" s="8"/>
      <c r="N64" s="8"/>
      <c r="O64" s="8"/>
      <c r="P64" s="8"/>
      <c r="Q64" t="b">
        <v>1</v>
      </c>
      <c r="R64">
        <v>10</v>
      </c>
      <c r="S64" s="8"/>
    </row>
    <row r="65" spans="1:19" x14ac:dyDescent="0.3">
      <c r="A65" s="42" t="b">
        <f t="shared" si="6"/>
        <v>0</v>
      </c>
      <c r="B65" s="42" t="b">
        <f t="shared" si="7"/>
        <v>0</v>
      </c>
      <c r="C65" s="8" t="str">
        <f t="shared" si="8"/>
        <v xml:space="preserve">MGT120 </v>
      </c>
      <c r="D65" s="13" t="s">
        <v>164</v>
      </c>
      <c r="E65" s="13"/>
      <c r="F65" s="14" t="s">
        <v>15</v>
      </c>
      <c r="G65" s="14"/>
      <c r="H65" s="42" t="str">
        <f>IF(COUNTIF(Course[Course ID],Course[[#This Row],[Course ID]])&gt;1,"S","")</f>
        <v/>
      </c>
      <c r="I65" s="8"/>
      <c r="J65" s="8"/>
      <c r="K65" s="8"/>
      <c r="L65" s="8"/>
      <c r="M65" s="8"/>
      <c r="N65" s="8"/>
      <c r="O65" s="8"/>
      <c r="P65" s="8"/>
      <c r="Q65" t="b">
        <v>1</v>
      </c>
      <c r="R65">
        <v>10</v>
      </c>
      <c r="S65" s="8"/>
    </row>
    <row r="66" spans="1:19" x14ac:dyDescent="0.3">
      <c r="A66" s="42" t="b">
        <f t="shared" si="6"/>
        <v>0</v>
      </c>
      <c r="B66" s="42" t="b">
        <f t="shared" si="7"/>
        <v>0</v>
      </c>
      <c r="C66" s="8" t="str">
        <f t="shared" si="8"/>
        <v xml:space="preserve">MGT121 </v>
      </c>
      <c r="D66" s="13" t="s">
        <v>165</v>
      </c>
      <c r="E66" s="13"/>
      <c r="F66" s="14" t="s">
        <v>15</v>
      </c>
      <c r="G66" s="14"/>
      <c r="H66" s="42" t="str">
        <f>IF(COUNTIF(Course[Course ID],Course[[#This Row],[Course ID]])&gt;1,"S","")</f>
        <v/>
      </c>
      <c r="I66" s="8"/>
      <c r="J66" s="8"/>
      <c r="K66" s="8"/>
      <c r="L66" s="8"/>
      <c r="M66" s="8"/>
      <c r="N66" s="8"/>
      <c r="O66" s="8"/>
      <c r="P66" s="8"/>
      <c r="Q66" t="b">
        <v>1</v>
      </c>
      <c r="R66">
        <v>10</v>
      </c>
      <c r="S66" s="8"/>
    </row>
    <row r="67" spans="1:19" x14ac:dyDescent="0.3">
      <c r="A67" s="42" t="b">
        <f t="shared" si="6"/>
        <v>0</v>
      </c>
      <c r="B67" s="42" t="b">
        <f t="shared" si="7"/>
        <v>0</v>
      </c>
      <c r="C67" s="8" t="str">
        <f t="shared" si="8"/>
        <v xml:space="preserve">MGT122 </v>
      </c>
      <c r="D67" s="13" t="s">
        <v>166</v>
      </c>
      <c r="E67" s="13"/>
      <c r="F67" s="14" t="s">
        <v>15</v>
      </c>
      <c r="G67" s="14"/>
      <c r="H67" s="42" t="str">
        <f>IF(COUNTIF(Course[Course ID],Course[[#This Row],[Course ID]])&gt;1,"S","")</f>
        <v/>
      </c>
      <c r="I67" s="8"/>
      <c r="J67" s="8"/>
      <c r="K67" s="8"/>
      <c r="L67" s="8"/>
      <c r="M67" s="8"/>
      <c r="N67" s="8"/>
      <c r="O67" s="8"/>
      <c r="P67" s="8"/>
      <c r="Q67" t="b">
        <v>1</v>
      </c>
      <c r="R67">
        <v>11</v>
      </c>
      <c r="S67" s="8"/>
    </row>
    <row r="68" spans="1:19" x14ac:dyDescent="0.3">
      <c r="A68" s="42" t="b">
        <f t="shared" si="6"/>
        <v>0</v>
      </c>
      <c r="B68" s="42" t="b">
        <f t="shared" si="7"/>
        <v>0</v>
      </c>
      <c r="C68" s="8" t="str">
        <f t="shared" si="8"/>
        <v xml:space="preserve">MGT123 </v>
      </c>
      <c r="D68" s="13" t="s">
        <v>167</v>
      </c>
      <c r="E68" s="13"/>
      <c r="F68" s="14" t="s">
        <v>15</v>
      </c>
      <c r="G68" s="14"/>
      <c r="H68" s="42" t="str">
        <f>IF(COUNTIF(Course[Course ID],Course[[#This Row],[Course ID]])&gt;1,"S","")</f>
        <v/>
      </c>
      <c r="I68" s="8"/>
      <c r="J68" s="8"/>
      <c r="K68" s="8"/>
      <c r="L68" s="8"/>
      <c r="M68" s="8"/>
      <c r="N68" s="8"/>
      <c r="O68" s="8"/>
      <c r="P68" s="8"/>
      <c r="Q68" t="b">
        <v>1</v>
      </c>
      <c r="R68">
        <v>11</v>
      </c>
      <c r="S68" s="8"/>
    </row>
    <row r="69" spans="1:19" x14ac:dyDescent="0.3">
      <c r="A69" s="42" t="b">
        <f t="shared" si="6"/>
        <v>0</v>
      </c>
      <c r="B69" s="42" t="b">
        <f t="shared" si="7"/>
        <v>0</v>
      </c>
      <c r="C69" s="8" t="str">
        <f t="shared" si="8"/>
        <v xml:space="preserve">MGT124 </v>
      </c>
      <c r="D69" s="13" t="s">
        <v>168</v>
      </c>
      <c r="E69" s="13"/>
      <c r="F69" s="14" t="s">
        <v>15</v>
      </c>
      <c r="G69" s="14"/>
      <c r="H69" s="42" t="str">
        <f>IF(COUNTIF(Course[Course ID],Course[[#This Row],[Course ID]])&gt;1,"S","")</f>
        <v/>
      </c>
      <c r="I69" s="8"/>
      <c r="J69" s="8"/>
      <c r="K69" s="8"/>
      <c r="L69" s="8"/>
      <c r="M69" s="8"/>
      <c r="N69" s="8"/>
      <c r="O69" s="8"/>
      <c r="P69" s="8"/>
      <c r="Q69" t="b">
        <v>1</v>
      </c>
      <c r="R69">
        <v>11</v>
      </c>
      <c r="S69" s="8"/>
    </row>
    <row r="70" spans="1:19" x14ac:dyDescent="0.3">
      <c r="A70" s="42" t="b">
        <f t="shared" si="6"/>
        <v>0</v>
      </c>
      <c r="B70" s="42" t="b">
        <f t="shared" si="7"/>
        <v>0</v>
      </c>
      <c r="C70" s="8" t="str">
        <f t="shared" si="8"/>
        <v xml:space="preserve">ACCT100 </v>
      </c>
      <c r="D70" s="13" t="s">
        <v>169</v>
      </c>
      <c r="E70" s="13"/>
      <c r="F70" s="14" t="s">
        <v>15</v>
      </c>
      <c r="G70" s="14"/>
      <c r="H70" s="42" t="str">
        <f>IF(COUNTIF(Course[Course ID],Course[[#This Row],[Course ID]])&gt;1,"S","")</f>
        <v/>
      </c>
      <c r="I70" s="8"/>
      <c r="J70" s="8"/>
      <c r="K70" s="8"/>
      <c r="L70" s="8"/>
      <c r="M70" s="8"/>
      <c r="N70" s="8"/>
      <c r="O70" s="8"/>
      <c r="P70" s="8"/>
      <c r="Q70" t="b">
        <v>1</v>
      </c>
      <c r="R70">
        <v>11</v>
      </c>
      <c r="S70" s="8"/>
    </row>
    <row r="71" spans="1:19" x14ac:dyDescent="0.3">
      <c r="A71" s="42" t="b">
        <f t="shared" si="6"/>
        <v>0</v>
      </c>
      <c r="B71" s="42" t="b">
        <f t="shared" si="7"/>
        <v>0</v>
      </c>
      <c r="C71" s="8" t="str">
        <f t="shared" si="8"/>
        <v xml:space="preserve">ACCT101 </v>
      </c>
      <c r="D71" s="13" t="s">
        <v>170</v>
      </c>
      <c r="E71" s="13"/>
      <c r="F71" s="14" t="s">
        <v>15</v>
      </c>
      <c r="G71" s="14"/>
      <c r="H71" s="42" t="str">
        <f>IF(COUNTIF(Course[Course ID],Course[[#This Row],[Course ID]])&gt;1,"S","")</f>
        <v/>
      </c>
      <c r="I71" s="8"/>
      <c r="J71" s="8"/>
      <c r="K71" s="8"/>
      <c r="L71" s="8"/>
      <c r="M71" s="8"/>
      <c r="N71" s="8"/>
      <c r="O71" s="8"/>
      <c r="P71" s="8"/>
      <c r="Q71" t="b">
        <v>1</v>
      </c>
      <c r="R71">
        <v>12</v>
      </c>
      <c r="S71" s="8"/>
    </row>
    <row r="72" spans="1:19" x14ac:dyDescent="0.3">
      <c r="A72" s="42" t="b">
        <f t="shared" si="6"/>
        <v>0</v>
      </c>
      <c r="B72" s="42" t="b">
        <f t="shared" si="7"/>
        <v>0</v>
      </c>
      <c r="C72" s="8" t="str">
        <f t="shared" si="8"/>
        <v xml:space="preserve">ACCT102 </v>
      </c>
      <c r="D72" s="13" t="s">
        <v>171</v>
      </c>
      <c r="E72" s="13"/>
      <c r="F72" s="14" t="s">
        <v>15</v>
      </c>
      <c r="G72" s="14"/>
      <c r="H72" s="42" t="str">
        <f>IF(COUNTIF(Course[Course ID],Course[[#This Row],[Course ID]])&gt;1,"S","")</f>
        <v/>
      </c>
      <c r="I72" s="8"/>
      <c r="J72" s="8"/>
      <c r="K72" s="8"/>
      <c r="L72" s="8"/>
      <c r="M72" s="8"/>
      <c r="N72" s="8"/>
      <c r="O72" s="8"/>
      <c r="P72" s="8"/>
      <c r="Q72" t="b">
        <v>1</v>
      </c>
      <c r="R72">
        <v>12</v>
      </c>
      <c r="S72" s="8"/>
    </row>
    <row r="73" spans="1:19" x14ac:dyDescent="0.3">
      <c r="A73" s="42" t="b">
        <f t="shared" ref="A73:A103" si="9">IF(F73="G", TRUE,FALSE)</f>
        <v>0</v>
      </c>
      <c r="B73" s="42" t="b">
        <f t="shared" ref="B73:B103" si="10">IF(ISBLANK(G73),FALSE,TRUE)</f>
        <v>0</v>
      </c>
      <c r="C73" s="8" t="str">
        <f t="shared" ref="C73:C104" si="11">CONCATENATE(D73," ",E73)</f>
        <v xml:space="preserve">ACCT103 </v>
      </c>
      <c r="D73" s="13" t="s">
        <v>172</v>
      </c>
      <c r="E73" s="13"/>
      <c r="F73" s="14" t="s">
        <v>15</v>
      </c>
      <c r="G73" s="14"/>
      <c r="H73" s="42" t="str">
        <f>IF(COUNTIF(Course[Course ID],Course[[#This Row],[Course ID]])&gt;1,"S","")</f>
        <v/>
      </c>
      <c r="I73" s="8"/>
      <c r="J73" s="8"/>
      <c r="K73" s="8"/>
      <c r="L73" s="8"/>
      <c r="M73" s="8"/>
      <c r="N73" s="8"/>
      <c r="O73" s="8"/>
      <c r="P73" s="8"/>
      <c r="Q73" t="b">
        <v>1</v>
      </c>
      <c r="R73">
        <v>12</v>
      </c>
      <c r="S73" s="8"/>
    </row>
    <row r="74" spans="1:19" x14ac:dyDescent="0.3">
      <c r="A74" s="42" t="b">
        <f t="shared" si="9"/>
        <v>0</v>
      </c>
      <c r="B74" s="42" t="b">
        <f t="shared" si="10"/>
        <v>0</v>
      </c>
      <c r="C74" s="8" t="str">
        <f t="shared" si="11"/>
        <v xml:space="preserve">ACCT104 </v>
      </c>
      <c r="D74" s="13" t="s">
        <v>173</v>
      </c>
      <c r="E74" s="13"/>
      <c r="F74" s="14" t="s">
        <v>15</v>
      </c>
      <c r="G74" s="14"/>
      <c r="H74" s="42" t="str">
        <f>IF(COUNTIF(Course[Course ID],Course[[#This Row],[Course ID]])&gt;1,"S","")</f>
        <v/>
      </c>
      <c r="I74" s="8"/>
      <c r="J74" s="8"/>
      <c r="K74" s="8"/>
      <c r="L74" s="8"/>
      <c r="M74" s="8"/>
      <c r="N74" s="8"/>
      <c r="O74" s="8"/>
      <c r="P74" s="8"/>
      <c r="Q74" t="b">
        <v>1</v>
      </c>
      <c r="R74">
        <v>13</v>
      </c>
      <c r="S74" s="8"/>
    </row>
    <row r="75" spans="1:19" x14ac:dyDescent="0.3">
      <c r="A75" s="42" t="b">
        <f t="shared" si="9"/>
        <v>0</v>
      </c>
      <c r="B75" s="42" t="b">
        <f t="shared" si="10"/>
        <v>0</v>
      </c>
      <c r="C75" s="8" t="str">
        <f t="shared" si="11"/>
        <v xml:space="preserve">ACCT105 </v>
      </c>
      <c r="D75" s="13" t="s">
        <v>174</v>
      </c>
      <c r="E75" s="13"/>
      <c r="F75" s="14" t="s">
        <v>15</v>
      </c>
      <c r="G75" s="14"/>
      <c r="H75" s="42" t="str">
        <f>IF(COUNTIF(Course[Course ID],Course[[#This Row],[Course ID]])&gt;1,"S","")</f>
        <v/>
      </c>
      <c r="I75" s="8"/>
      <c r="J75" s="8"/>
      <c r="K75" s="8"/>
      <c r="L75" s="8"/>
      <c r="M75" s="8"/>
      <c r="N75" s="8"/>
      <c r="O75" s="8"/>
      <c r="P75" s="8"/>
      <c r="Q75" t="b">
        <v>1</v>
      </c>
      <c r="R75">
        <v>13</v>
      </c>
      <c r="S75" s="8"/>
    </row>
    <row r="76" spans="1:19" x14ac:dyDescent="0.3">
      <c r="A76" s="42" t="b">
        <f t="shared" si="9"/>
        <v>0</v>
      </c>
      <c r="B76" s="42" t="b">
        <f t="shared" si="10"/>
        <v>0</v>
      </c>
      <c r="C76" s="8" t="str">
        <f t="shared" si="11"/>
        <v xml:space="preserve">ACCT106 </v>
      </c>
      <c r="D76" s="13" t="s">
        <v>175</v>
      </c>
      <c r="E76" s="13"/>
      <c r="F76" s="14" t="s">
        <v>15</v>
      </c>
      <c r="G76" s="14"/>
      <c r="H76" s="42" t="str">
        <f>IF(COUNTIF(Course[Course ID],Course[[#This Row],[Course ID]])&gt;1,"S","")</f>
        <v/>
      </c>
      <c r="I76" s="8"/>
      <c r="J76" s="8"/>
      <c r="K76" s="8"/>
      <c r="L76" s="8"/>
      <c r="M76" s="8"/>
      <c r="N76" s="8"/>
      <c r="O76" s="8"/>
      <c r="P76" s="8"/>
      <c r="Q76" t="b">
        <v>1</v>
      </c>
      <c r="R76">
        <v>13</v>
      </c>
      <c r="S76" s="8"/>
    </row>
    <row r="77" spans="1:19" x14ac:dyDescent="0.3">
      <c r="A77" s="42" t="b">
        <f t="shared" si="9"/>
        <v>0</v>
      </c>
      <c r="B77" s="42" t="b">
        <f t="shared" si="10"/>
        <v>0</v>
      </c>
      <c r="C77" s="8" t="str">
        <f t="shared" si="11"/>
        <v xml:space="preserve">ACCT107 </v>
      </c>
      <c r="D77" s="13" t="s">
        <v>176</v>
      </c>
      <c r="E77" s="13"/>
      <c r="F77" s="14" t="s">
        <v>15</v>
      </c>
      <c r="G77" s="14"/>
      <c r="H77" s="42" t="str">
        <f>IF(COUNTIF(Course[Course ID],Course[[#This Row],[Course ID]])&gt;1,"S","")</f>
        <v/>
      </c>
      <c r="I77" s="8"/>
      <c r="J77" s="8"/>
      <c r="K77" s="8"/>
      <c r="L77" s="8"/>
      <c r="M77" s="8"/>
      <c r="N77" s="8"/>
      <c r="O77" s="8"/>
      <c r="P77" s="8"/>
      <c r="Q77" t="b">
        <v>1</v>
      </c>
      <c r="R77">
        <v>13</v>
      </c>
      <c r="S77" s="8"/>
    </row>
    <row r="78" spans="1:19" x14ac:dyDescent="0.3">
      <c r="A78" s="42" t="b">
        <f t="shared" si="9"/>
        <v>0</v>
      </c>
      <c r="B78" s="42" t="b">
        <f t="shared" si="10"/>
        <v>0</v>
      </c>
      <c r="C78" s="8" t="str">
        <f t="shared" si="11"/>
        <v xml:space="preserve">ACCT108 </v>
      </c>
      <c r="D78" s="13" t="s">
        <v>177</v>
      </c>
      <c r="E78" s="13"/>
      <c r="F78" s="14" t="s">
        <v>15</v>
      </c>
      <c r="G78" s="14"/>
      <c r="H78" s="42" t="str">
        <f>IF(COUNTIF(Course[Course ID],Course[[#This Row],[Course ID]])&gt;1,"S","")</f>
        <v/>
      </c>
      <c r="I78" s="8"/>
      <c r="J78" s="8"/>
      <c r="K78" s="8"/>
      <c r="L78" s="8"/>
      <c r="M78" s="8"/>
      <c r="N78" s="8"/>
      <c r="O78" s="8"/>
      <c r="P78" s="8"/>
      <c r="Q78" t="b">
        <v>1</v>
      </c>
      <c r="R78">
        <v>14</v>
      </c>
      <c r="S78" s="8"/>
    </row>
    <row r="79" spans="1:19" x14ac:dyDescent="0.3">
      <c r="A79" s="42" t="b">
        <f t="shared" si="9"/>
        <v>0</v>
      </c>
      <c r="B79" s="42" t="b">
        <f t="shared" si="10"/>
        <v>0</v>
      </c>
      <c r="C79" s="8" t="str">
        <f t="shared" si="11"/>
        <v xml:space="preserve">ACCT109 </v>
      </c>
      <c r="D79" s="13" t="s">
        <v>178</v>
      </c>
      <c r="E79" s="13"/>
      <c r="F79" s="14" t="s">
        <v>15</v>
      </c>
      <c r="G79" s="14"/>
      <c r="H79" s="42" t="str">
        <f>IF(COUNTIF(Course[Course ID],Course[[#This Row],[Course ID]])&gt;1,"S","")</f>
        <v/>
      </c>
      <c r="I79" s="8"/>
      <c r="J79" s="8"/>
      <c r="K79" s="8"/>
      <c r="L79" s="8"/>
      <c r="M79" s="8"/>
      <c r="N79" s="8"/>
      <c r="O79" s="8"/>
      <c r="P79" s="8"/>
      <c r="Q79" t="b">
        <v>1</v>
      </c>
      <c r="R79">
        <v>14</v>
      </c>
      <c r="S79" s="8"/>
    </row>
    <row r="80" spans="1:19" x14ac:dyDescent="0.3">
      <c r="A80" s="42" t="b">
        <f t="shared" si="9"/>
        <v>0</v>
      </c>
      <c r="B80" s="42" t="b">
        <f t="shared" si="10"/>
        <v>0</v>
      </c>
      <c r="C80" s="8" t="str">
        <f t="shared" si="11"/>
        <v xml:space="preserve">ACCT110 </v>
      </c>
      <c r="D80" s="13" t="s">
        <v>179</v>
      </c>
      <c r="E80" s="13"/>
      <c r="F80" s="14" t="s">
        <v>15</v>
      </c>
      <c r="G80" s="14"/>
      <c r="H80" s="42" t="str">
        <f>IF(COUNTIF(Course[Course ID],Course[[#This Row],[Course ID]])&gt;1,"S","")</f>
        <v/>
      </c>
      <c r="I80" s="8"/>
      <c r="J80" s="8"/>
      <c r="K80" s="8"/>
      <c r="L80" s="8"/>
      <c r="M80" s="8"/>
      <c r="N80" s="8"/>
      <c r="O80" s="8"/>
      <c r="P80" s="8"/>
      <c r="Q80" t="b">
        <v>1</v>
      </c>
      <c r="R80">
        <v>14</v>
      </c>
      <c r="S80" s="8"/>
    </row>
    <row r="81" spans="1:19" x14ac:dyDescent="0.3">
      <c r="A81" s="42" t="b">
        <f t="shared" si="9"/>
        <v>0</v>
      </c>
      <c r="B81" s="42" t="b">
        <f t="shared" si="10"/>
        <v>0</v>
      </c>
      <c r="C81" s="8" t="str">
        <f t="shared" si="11"/>
        <v xml:space="preserve">ACCT111 </v>
      </c>
      <c r="D81" s="13" t="s">
        <v>180</v>
      </c>
      <c r="E81" s="13"/>
      <c r="F81" s="14" t="s">
        <v>15</v>
      </c>
      <c r="G81" s="14"/>
      <c r="H81" s="42" t="str">
        <f>IF(COUNTIF(Course[Course ID],Course[[#This Row],[Course ID]])&gt;1,"S","")</f>
        <v/>
      </c>
      <c r="I81" s="8"/>
      <c r="J81" s="8"/>
      <c r="K81" s="8"/>
      <c r="L81" s="8"/>
      <c r="M81" s="8"/>
      <c r="N81" s="8"/>
      <c r="O81" s="8"/>
      <c r="P81" s="8"/>
      <c r="Q81" t="b">
        <v>1</v>
      </c>
      <c r="R81">
        <v>14</v>
      </c>
      <c r="S81" s="8"/>
    </row>
    <row r="82" spans="1:19" x14ac:dyDescent="0.3">
      <c r="A82" s="42" t="b">
        <f t="shared" si="9"/>
        <v>0</v>
      </c>
      <c r="B82" s="42" t="b">
        <f t="shared" si="10"/>
        <v>0</v>
      </c>
      <c r="C82" s="8" t="str">
        <f t="shared" si="11"/>
        <v xml:space="preserve">ACCT112 </v>
      </c>
      <c r="D82" s="13" t="s">
        <v>181</v>
      </c>
      <c r="E82" s="13"/>
      <c r="F82" s="14" t="s">
        <v>15</v>
      </c>
      <c r="G82" s="14"/>
      <c r="H82" s="42" t="str">
        <f>IF(COUNTIF(Course[Course ID],Course[[#This Row],[Course ID]])&gt;1,"S","")</f>
        <v/>
      </c>
      <c r="I82" s="8"/>
      <c r="J82" s="8"/>
      <c r="K82" s="8"/>
      <c r="L82" s="8"/>
      <c r="M82" s="8"/>
      <c r="N82" s="8"/>
      <c r="O82" s="8"/>
      <c r="P82" s="8"/>
      <c r="Q82" t="b">
        <v>1</v>
      </c>
      <c r="R82">
        <v>15</v>
      </c>
      <c r="S82" s="8"/>
    </row>
    <row r="83" spans="1:19" x14ac:dyDescent="0.3">
      <c r="A83" s="42" t="b">
        <f t="shared" si="9"/>
        <v>0</v>
      </c>
      <c r="B83" s="42" t="b">
        <f t="shared" si="10"/>
        <v>0</v>
      </c>
      <c r="C83" s="8" t="str">
        <f t="shared" si="11"/>
        <v xml:space="preserve">ACCT113 </v>
      </c>
      <c r="D83" s="13" t="s">
        <v>182</v>
      </c>
      <c r="E83" s="13"/>
      <c r="F83" s="14" t="s">
        <v>15</v>
      </c>
      <c r="G83" s="14"/>
      <c r="H83" s="42" t="str">
        <f>IF(COUNTIF(Course[Course ID],Course[[#This Row],[Course ID]])&gt;1,"S","")</f>
        <v/>
      </c>
      <c r="I83" s="8"/>
      <c r="J83" s="8"/>
      <c r="K83" s="8"/>
      <c r="L83" s="8"/>
      <c r="M83" s="8"/>
      <c r="N83" s="8"/>
      <c r="O83" s="8"/>
      <c r="P83" s="8"/>
      <c r="Q83" t="b">
        <v>1</v>
      </c>
      <c r="R83">
        <v>15</v>
      </c>
      <c r="S83" s="8"/>
    </row>
    <row r="84" spans="1:19" x14ac:dyDescent="0.3">
      <c r="A84" s="42" t="b">
        <f t="shared" si="9"/>
        <v>0</v>
      </c>
      <c r="B84" s="42" t="b">
        <f t="shared" si="10"/>
        <v>0</v>
      </c>
      <c r="C84" s="8" t="str">
        <f t="shared" si="11"/>
        <v xml:space="preserve">ACCT114 </v>
      </c>
      <c r="D84" s="13" t="s">
        <v>183</v>
      </c>
      <c r="E84" s="13"/>
      <c r="F84" s="14" t="s">
        <v>15</v>
      </c>
      <c r="G84" s="14"/>
      <c r="H84" s="42" t="str">
        <f>IF(COUNTIF(Course[Course ID],Course[[#This Row],[Course ID]])&gt;1,"S","")</f>
        <v/>
      </c>
      <c r="I84" s="8"/>
      <c r="J84" s="8"/>
      <c r="K84" s="8"/>
      <c r="L84" s="8"/>
      <c r="M84" s="8"/>
      <c r="N84" s="8"/>
      <c r="O84" s="8"/>
      <c r="P84" s="8"/>
      <c r="Q84" t="b">
        <v>1</v>
      </c>
      <c r="R84">
        <v>15</v>
      </c>
      <c r="S84" s="8"/>
    </row>
    <row r="85" spans="1:19" x14ac:dyDescent="0.3">
      <c r="A85" s="42" t="b">
        <f t="shared" si="9"/>
        <v>0</v>
      </c>
      <c r="B85" s="42" t="b">
        <f t="shared" si="10"/>
        <v>0</v>
      </c>
      <c r="C85" s="8" t="str">
        <f t="shared" si="11"/>
        <v xml:space="preserve">ACCT115 </v>
      </c>
      <c r="D85" s="13" t="s">
        <v>184</v>
      </c>
      <c r="E85" s="13"/>
      <c r="F85" s="14" t="s">
        <v>15</v>
      </c>
      <c r="G85" s="14"/>
      <c r="H85" s="42" t="str">
        <f>IF(COUNTIF(Course[Course ID],Course[[#This Row],[Course ID]])&gt;1,"S","")</f>
        <v/>
      </c>
      <c r="I85" s="8"/>
      <c r="J85" s="8"/>
      <c r="K85" s="8"/>
      <c r="L85" s="8"/>
      <c r="M85" s="8"/>
      <c r="N85" s="8"/>
      <c r="O85" s="8"/>
      <c r="P85" s="8"/>
      <c r="Q85" t="b">
        <v>1</v>
      </c>
      <c r="R85">
        <v>15</v>
      </c>
      <c r="S85" s="8"/>
    </row>
    <row r="86" spans="1:19" x14ac:dyDescent="0.3">
      <c r="A86" s="42" t="b">
        <f t="shared" si="9"/>
        <v>0</v>
      </c>
      <c r="B86" s="42" t="b">
        <f t="shared" si="10"/>
        <v>0</v>
      </c>
      <c r="C86" s="8" t="str">
        <f t="shared" si="11"/>
        <v xml:space="preserve">ACCT116 </v>
      </c>
      <c r="D86" s="13" t="s">
        <v>185</v>
      </c>
      <c r="E86" s="13"/>
      <c r="F86" s="14" t="s">
        <v>15</v>
      </c>
      <c r="G86" s="13"/>
      <c r="H86" s="42" t="str">
        <f>IF(COUNTIF(Course[Course ID],Course[[#This Row],[Course ID]])&gt;1,"S","")</f>
        <v/>
      </c>
      <c r="I86" s="8"/>
      <c r="J86" s="8"/>
      <c r="K86" s="8"/>
      <c r="L86" s="8"/>
      <c r="M86" s="8"/>
      <c r="N86" s="8"/>
      <c r="O86" s="8"/>
      <c r="P86" s="8"/>
      <c r="Q86" t="b">
        <v>1</v>
      </c>
      <c r="R86">
        <v>16</v>
      </c>
      <c r="S86" s="8"/>
    </row>
    <row r="87" spans="1:19" x14ac:dyDescent="0.3">
      <c r="A87" s="42" t="b">
        <f t="shared" si="9"/>
        <v>0</v>
      </c>
      <c r="B87" s="42" t="b">
        <f t="shared" si="10"/>
        <v>0</v>
      </c>
      <c r="C87" s="8" t="str">
        <f t="shared" si="11"/>
        <v xml:space="preserve">ACCT117 </v>
      </c>
      <c r="D87" s="13" t="s">
        <v>186</v>
      </c>
      <c r="E87" s="13"/>
      <c r="F87" s="14" t="s">
        <v>15</v>
      </c>
      <c r="G87" s="13"/>
      <c r="H87" s="42" t="str">
        <f>IF(COUNTIF(Course[Course ID],Course[[#This Row],[Course ID]])&gt;1,"S","")</f>
        <v/>
      </c>
      <c r="I87" s="8"/>
      <c r="J87" s="8"/>
      <c r="K87" s="8"/>
      <c r="L87" s="8"/>
      <c r="M87" s="8"/>
      <c r="N87" s="8"/>
      <c r="O87" s="8"/>
      <c r="P87" s="8"/>
      <c r="Q87" t="b">
        <v>1</v>
      </c>
      <c r="R87">
        <v>16</v>
      </c>
      <c r="S87" s="8"/>
    </row>
    <row r="88" spans="1:19" x14ac:dyDescent="0.3">
      <c r="A88" s="42" t="b">
        <f t="shared" si="9"/>
        <v>0</v>
      </c>
      <c r="B88" s="42" t="b">
        <f t="shared" si="10"/>
        <v>0</v>
      </c>
      <c r="C88" s="8" t="str">
        <f t="shared" si="11"/>
        <v xml:space="preserve">ACCT118 </v>
      </c>
      <c r="D88" s="13" t="s">
        <v>187</v>
      </c>
      <c r="E88" s="13"/>
      <c r="F88" s="14" t="s">
        <v>15</v>
      </c>
      <c r="G88" s="13"/>
      <c r="H88" s="42" t="str">
        <f>IF(COUNTIF(Course[Course ID],Course[[#This Row],[Course ID]])&gt;1,"S","")</f>
        <v/>
      </c>
      <c r="I88" s="8"/>
      <c r="J88" s="8"/>
      <c r="K88" s="8"/>
      <c r="L88" s="8"/>
      <c r="M88" s="8"/>
      <c r="N88" s="8"/>
      <c r="O88" s="8"/>
      <c r="P88" s="8"/>
      <c r="Q88" t="b">
        <v>1</v>
      </c>
      <c r="R88">
        <v>16</v>
      </c>
      <c r="S88" s="8"/>
    </row>
    <row r="89" spans="1:19" x14ac:dyDescent="0.3">
      <c r="A89" s="42" t="b">
        <f t="shared" si="9"/>
        <v>0</v>
      </c>
      <c r="B89" s="42" t="b">
        <f t="shared" si="10"/>
        <v>0</v>
      </c>
      <c r="C89" s="8" t="str">
        <f t="shared" si="11"/>
        <v xml:space="preserve">ACCT119 </v>
      </c>
      <c r="D89" s="13" t="s">
        <v>188</v>
      </c>
      <c r="E89" s="13"/>
      <c r="F89" s="14" t="s">
        <v>15</v>
      </c>
      <c r="G89" s="14"/>
      <c r="H89" s="42" t="str">
        <f>IF(COUNTIF(Course[Course ID],Course[[#This Row],[Course ID]])&gt;1,"S","")</f>
        <v/>
      </c>
      <c r="I89" s="8"/>
      <c r="J89" s="8"/>
      <c r="K89" s="8"/>
      <c r="L89" s="8"/>
      <c r="M89" s="8"/>
      <c r="N89" s="8"/>
      <c r="O89" s="8"/>
      <c r="P89" s="8"/>
      <c r="Q89" t="b">
        <v>1</v>
      </c>
      <c r="R89">
        <v>16</v>
      </c>
      <c r="S89" s="8"/>
    </row>
    <row r="90" spans="1:19" x14ac:dyDescent="0.3">
      <c r="A90" s="42" t="b">
        <f t="shared" si="9"/>
        <v>0</v>
      </c>
      <c r="B90" s="42" t="b">
        <f t="shared" si="10"/>
        <v>0</v>
      </c>
      <c r="C90" s="8" t="str">
        <f t="shared" si="11"/>
        <v xml:space="preserve">ACCT120 </v>
      </c>
      <c r="D90" s="13" t="s">
        <v>189</v>
      </c>
      <c r="E90" s="13"/>
      <c r="F90" s="14" t="s">
        <v>15</v>
      </c>
      <c r="G90" s="14"/>
      <c r="H90" s="42" t="str">
        <f>IF(COUNTIF(Course[Course ID],Course[[#This Row],[Course ID]])&gt;1,"S","")</f>
        <v/>
      </c>
      <c r="I90" s="8"/>
      <c r="J90" s="8"/>
      <c r="K90" s="8"/>
      <c r="L90" s="8"/>
      <c r="M90" s="8"/>
      <c r="N90" s="8"/>
      <c r="O90" s="8"/>
      <c r="P90" s="8"/>
      <c r="Q90" t="b">
        <v>1</v>
      </c>
      <c r="R90">
        <v>17</v>
      </c>
      <c r="S90" s="8"/>
    </row>
    <row r="91" spans="1:19" x14ac:dyDescent="0.3">
      <c r="A91" s="42" t="b">
        <f t="shared" si="9"/>
        <v>0</v>
      </c>
      <c r="B91" s="42" t="b">
        <f t="shared" si="10"/>
        <v>0</v>
      </c>
      <c r="C91" s="8" t="str">
        <f t="shared" si="11"/>
        <v xml:space="preserve">ACCT121 </v>
      </c>
      <c r="D91" s="13" t="s">
        <v>190</v>
      </c>
      <c r="E91" s="13"/>
      <c r="F91" s="14" t="s">
        <v>15</v>
      </c>
      <c r="G91" s="14"/>
      <c r="H91" s="42" t="str">
        <f>IF(COUNTIF(Course[Course ID],Course[[#This Row],[Course ID]])&gt;1,"S","")</f>
        <v/>
      </c>
      <c r="I91" s="8"/>
      <c r="J91" s="8"/>
      <c r="K91" s="8"/>
      <c r="L91" s="8"/>
      <c r="M91" s="8"/>
      <c r="N91" s="8"/>
      <c r="O91" s="8"/>
      <c r="P91" s="8"/>
      <c r="Q91" t="b">
        <v>1</v>
      </c>
      <c r="R91">
        <v>17</v>
      </c>
      <c r="S91" s="8"/>
    </row>
    <row r="92" spans="1:19" x14ac:dyDescent="0.3">
      <c r="A92" s="42" t="b">
        <f t="shared" si="9"/>
        <v>0</v>
      </c>
      <c r="B92" s="42" t="b">
        <f t="shared" si="10"/>
        <v>0</v>
      </c>
      <c r="C92" s="8" t="str">
        <f t="shared" si="11"/>
        <v xml:space="preserve">ACCT122 </v>
      </c>
      <c r="D92" s="13" t="s">
        <v>191</v>
      </c>
      <c r="E92" s="13"/>
      <c r="F92" s="14" t="s">
        <v>15</v>
      </c>
      <c r="G92" s="14"/>
      <c r="H92" s="42" t="str">
        <f>IF(COUNTIF(Course[Course ID],Course[[#This Row],[Course ID]])&gt;1,"S","")</f>
        <v/>
      </c>
      <c r="I92" s="8"/>
      <c r="J92" s="8"/>
      <c r="K92" s="8"/>
      <c r="L92" s="8"/>
      <c r="M92" s="8"/>
      <c r="N92" s="8"/>
      <c r="O92" s="8"/>
      <c r="P92" s="8"/>
      <c r="Q92" t="b">
        <v>1</v>
      </c>
      <c r="R92">
        <v>17</v>
      </c>
      <c r="S92" s="8"/>
    </row>
    <row r="93" spans="1:19" x14ac:dyDescent="0.3">
      <c r="A93" s="42" t="b">
        <f t="shared" si="9"/>
        <v>0</v>
      </c>
      <c r="B93" s="42" t="b">
        <f t="shared" si="10"/>
        <v>0</v>
      </c>
      <c r="C93" s="8" t="str">
        <f t="shared" si="11"/>
        <v xml:space="preserve">ACCT123 </v>
      </c>
      <c r="D93" s="13" t="s">
        <v>192</v>
      </c>
      <c r="E93" s="13"/>
      <c r="F93" s="14" t="s">
        <v>15</v>
      </c>
      <c r="G93" s="14"/>
      <c r="H93" s="42" t="str">
        <f>IF(COUNTIF(Course[Course ID],Course[[#This Row],[Course ID]])&gt;1,"S","")</f>
        <v/>
      </c>
      <c r="I93" s="8"/>
      <c r="J93" s="8"/>
      <c r="K93" s="8"/>
      <c r="L93" s="8"/>
      <c r="M93" s="8"/>
      <c r="N93" s="8"/>
      <c r="O93" s="8"/>
      <c r="P93" s="8"/>
      <c r="Q93" t="b">
        <v>1</v>
      </c>
      <c r="R93">
        <v>17</v>
      </c>
      <c r="S93" s="8"/>
    </row>
    <row r="94" spans="1:19" x14ac:dyDescent="0.3">
      <c r="A94" s="42" t="b">
        <f t="shared" si="9"/>
        <v>0</v>
      </c>
      <c r="B94" s="42" t="b">
        <f t="shared" si="10"/>
        <v>0</v>
      </c>
      <c r="C94" s="8" t="str">
        <f t="shared" si="11"/>
        <v xml:space="preserve">ACCT124 </v>
      </c>
      <c r="D94" s="13" t="s">
        <v>193</v>
      </c>
      <c r="E94" s="13"/>
      <c r="F94" s="14" t="s">
        <v>15</v>
      </c>
      <c r="G94" s="14"/>
      <c r="H94" s="42" t="str">
        <f>IF(COUNTIF(Course[Course ID],Course[[#This Row],[Course ID]])&gt;1,"S","")</f>
        <v/>
      </c>
      <c r="I94" s="8"/>
      <c r="J94" s="8"/>
      <c r="K94" s="8"/>
      <c r="L94" s="8"/>
      <c r="M94" s="8"/>
      <c r="N94" s="8"/>
      <c r="O94" s="8"/>
      <c r="P94" s="8"/>
      <c r="Q94" t="b">
        <v>1</v>
      </c>
      <c r="R94">
        <v>18</v>
      </c>
      <c r="S94" s="8"/>
    </row>
    <row r="95" spans="1:19" x14ac:dyDescent="0.3">
      <c r="A95" s="42" t="b">
        <f t="shared" si="9"/>
        <v>0</v>
      </c>
      <c r="B95" s="42" t="b">
        <f t="shared" si="10"/>
        <v>0</v>
      </c>
      <c r="C95" s="8" t="str">
        <f t="shared" si="11"/>
        <v xml:space="preserve">ACCT125 </v>
      </c>
      <c r="D95" s="13" t="s">
        <v>194</v>
      </c>
      <c r="E95" s="13"/>
      <c r="F95" s="14" t="s">
        <v>15</v>
      </c>
      <c r="G95" s="14"/>
      <c r="H95" s="42" t="str">
        <f>IF(COUNTIF(Course[Course ID],Course[[#This Row],[Course ID]])&gt;1,"S","")</f>
        <v/>
      </c>
      <c r="I95" s="8"/>
      <c r="J95" s="8"/>
      <c r="K95" s="8"/>
      <c r="L95" s="8"/>
      <c r="M95" s="8"/>
      <c r="N95" s="8"/>
      <c r="O95" s="8"/>
      <c r="P95" s="8"/>
      <c r="Q95" t="b">
        <v>1</v>
      </c>
      <c r="R95">
        <v>18</v>
      </c>
      <c r="S95" s="8"/>
    </row>
    <row r="96" spans="1:19" x14ac:dyDescent="0.3">
      <c r="A96" s="42" t="b">
        <f t="shared" si="9"/>
        <v>0</v>
      </c>
      <c r="B96" s="42" t="b">
        <f t="shared" si="10"/>
        <v>0</v>
      </c>
      <c r="C96" s="8" t="str">
        <f t="shared" si="11"/>
        <v xml:space="preserve">ACCT126 </v>
      </c>
      <c r="D96" s="13" t="s">
        <v>195</v>
      </c>
      <c r="E96" s="13"/>
      <c r="F96" s="14" t="s">
        <v>15</v>
      </c>
      <c r="G96" s="14"/>
      <c r="H96" s="42" t="str">
        <f>IF(COUNTIF(Course[Course ID],Course[[#This Row],[Course ID]])&gt;1,"S","")</f>
        <v/>
      </c>
      <c r="I96" s="8"/>
      <c r="J96" s="8"/>
      <c r="K96" s="8"/>
      <c r="L96" s="8"/>
      <c r="M96" s="8"/>
      <c r="N96" s="8"/>
      <c r="O96" s="8"/>
      <c r="P96" s="8"/>
      <c r="Q96" t="b">
        <v>1</v>
      </c>
      <c r="R96">
        <v>18</v>
      </c>
      <c r="S96" s="8"/>
    </row>
    <row r="97" spans="1:19" x14ac:dyDescent="0.3">
      <c r="A97" s="42" t="b">
        <f t="shared" si="9"/>
        <v>0</v>
      </c>
      <c r="B97" s="42" t="b">
        <f t="shared" si="10"/>
        <v>0</v>
      </c>
      <c r="C97" s="8" t="str">
        <f t="shared" si="11"/>
        <v xml:space="preserve">ACCT127 </v>
      </c>
      <c r="D97" s="13" t="s">
        <v>196</v>
      </c>
      <c r="E97" s="13"/>
      <c r="F97" s="14" t="s">
        <v>15</v>
      </c>
      <c r="G97" s="14"/>
      <c r="H97" s="42" t="str">
        <f>IF(COUNTIF(Course[Course ID],Course[[#This Row],[Course ID]])&gt;1,"S","")</f>
        <v/>
      </c>
      <c r="I97" s="8"/>
      <c r="J97" s="8"/>
      <c r="K97" s="8"/>
      <c r="L97" s="8"/>
      <c r="M97" s="8"/>
      <c r="N97" s="8"/>
      <c r="O97" s="8"/>
      <c r="P97" s="8"/>
      <c r="Q97" t="b">
        <v>1</v>
      </c>
      <c r="R97">
        <v>19</v>
      </c>
      <c r="S97" s="8"/>
    </row>
    <row r="98" spans="1:19" x14ac:dyDescent="0.3">
      <c r="A98" s="42" t="b">
        <f t="shared" si="9"/>
        <v>0</v>
      </c>
      <c r="B98" s="42" t="b">
        <f t="shared" si="10"/>
        <v>0</v>
      </c>
      <c r="C98" s="8" t="str">
        <f t="shared" si="11"/>
        <v xml:space="preserve">ACCT128 </v>
      </c>
      <c r="D98" s="13" t="s">
        <v>197</v>
      </c>
      <c r="E98" s="13"/>
      <c r="F98" s="14" t="s">
        <v>15</v>
      </c>
      <c r="G98" s="14"/>
      <c r="H98" s="42" t="str">
        <f>IF(COUNTIF(Course[Course ID],Course[[#This Row],[Course ID]])&gt;1,"S","")</f>
        <v/>
      </c>
      <c r="I98" s="8"/>
      <c r="J98" s="8"/>
      <c r="K98" s="8"/>
      <c r="L98" s="8"/>
      <c r="M98" s="8"/>
      <c r="N98" s="8"/>
      <c r="O98" s="8"/>
      <c r="P98" s="8"/>
      <c r="Q98" t="b">
        <v>1</v>
      </c>
      <c r="R98">
        <v>19</v>
      </c>
      <c r="S98" s="8"/>
    </row>
    <row r="99" spans="1:19" x14ac:dyDescent="0.3">
      <c r="A99" s="42" t="b">
        <f t="shared" si="9"/>
        <v>0</v>
      </c>
      <c r="B99" s="42" t="b">
        <f t="shared" si="10"/>
        <v>0</v>
      </c>
      <c r="C99" s="8" t="str">
        <f t="shared" si="11"/>
        <v xml:space="preserve">ACCT129 </v>
      </c>
      <c r="D99" s="13" t="s">
        <v>198</v>
      </c>
      <c r="E99" s="13"/>
      <c r="F99" s="14" t="s">
        <v>15</v>
      </c>
      <c r="G99" s="14"/>
      <c r="H99" s="42" t="str">
        <f>IF(COUNTIF(Course[Course ID],Course[[#This Row],[Course ID]])&gt;1,"S","")</f>
        <v/>
      </c>
      <c r="I99" s="8"/>
      <c r="J99" s="8"/>
      <c r="K99" s="8"/>
      <c r="L99" s="8"/>
      <c r="M99" s="8"/>
      <c r="N99" s="8"/>
      <c r="O99" s="8"/>
      <c r="P99" s="8"/>
      <c r="Q99" t="b">
        <v>1</v>
      </c>
      <c r="R99">
        <v>19</v>
      </c>
      <c r="S99" s="8"/>
    </row>
    <row r="100" spans="1:19" x14ac:dyDescent="0.3">
      <c r="A100" s="42" t="b">
        <f t="shared" si="9"/>
        <v>0</v>
      </c>
      <c r="B100" s="42" t="b">
        <f t="shared" si="10"/>
        <v>0</v>
      </c>
      <c r="C100" s="8" t="str">
        <f t="shared" si="11"/>
        <v xml:space="preserve">ACCT130 </v>
      </c>
      <c r="D100" s="13" t="s">
        <v>199</v>
      </c>
      <c r="E100" s="13"/>
      <c r="F100" s="14" t="s">
        <v>15</v>
      </c>
      <c r="G100" s="14"/>
      <c r="H100" s="42" t="str">
        <f>IF(COUNTIF(Course[Course ID],Course[[#This Row],[Course ID]])&gt;1,"S","")</f>
        <v/>
      </c>
      <c r="I100" s="8"/>
      <c r="J100" s="8"/>
      <c r="K100" s="8"/>
      <c r="L100" s="8"/>
      <c r="M100" s="8"/>
      <c r="N100" s="8"/>
      <c r="O100" s="8"/>
      <c r="P100" s="8"/>
      <c r="Q100" t="b">
        <v>1</v>
      </c>
      <c r="R100">
        <v>19</v>
      </c>
      <c r="S100" s="8"/>
    </row>
    <row r="101" spans="1:19" x14ac:dyDescent="0.3">
      <c r="A101" s="42" t="b">
        <f t="shared" si="9"/>
        <v>0</v>
      </c>
      <c r="B101" s="42" t="b">
        <f t="shared" si="10"/>
        <v>0</v>
      </c>
      <c r="C101" s="8" t="str">
        <f t="shared" si="11"/>
        <v xml:space="preserve">ACCT131 </v>
      </c>
      <c r="D101" s="13" t="s">
        <v>200</v>
      </c>
      <c r="E101" s="13"/>
      <c r="F101" s="14" t="s">
        <v>15</v>
      </c>
      <c r="G101" s="14"/>
      <c r="H101" s="42" t="str">
        <f>IF(COUNTIF(Course[Course ID],Course[[#This Row],[Course ID]])&gt;1,"S","")</f>
        <v/>
      </c>
      <c r="I101" s="8"/>
      <c r="J101" s="8"/>
      <c r="K101" s="8"/>
      <c r="L101" s="8"/>
      <c r="M101" s="8"/>
      <c r="N101" s="8"/>
      <c r="O101" s="8"/>
      <c r="P101" s="8"/>
      <c r="Q101" t="b">
        <v>1</v>
      </c>
      <c r="R101">
        <v>20</v>
      </c>
      <c r="S101" s="8"/>
    </row>
    <row r="102" spans="1:19" x14ac:dyDescent="0.3">
      <c r="A102" s="42" t="b">
        <f t="shared" si="9"/>
        <v>0</v>
      </c>
      <c r="B102" s="42" t="b">
        <f t="shared" si="10"/>
        <v>0</v>
      </c>
      <c r="C102" s="8" t="str">
        <f t="shared" si="11"/>
        <v xml:space="preserve">ACCT132 </v>
      </c>
      <c r="D102" s="13" t="s">
        <v>201</v>
      </c>
      <c r="E102" s="13"/>
      <c r="F102" s="14" t="s">
        <v>15</v>
      </c>
      <c r="G102" s="14"/>
      <c r="H102" s="42" t="str">
        <f>IF(COUNTIF(Course[Course ID],Course[[#This Row],[Course ID]])&gt;1,"S","")</f>
        <v/>
      </c>
      <c r="I102" s="8"/>
      <c r="J102" s="8"/>
      <c r="K102" s="8"/>
      <c r="L102" s="8"/>
      <c r="M102" s="8"/>
      <c r="N102" s="8"/>
      <c r="O102" s="8"/>
      <c r="P102" s="8"/>
      <c r="Q102" t="b">
        <v>1</v>
      </c>
      <c r="R102">
        <v>20</v>
      </c>
      <c r="S102" s="8"/>
    </row>
    <row r="103" spans="1:19" x14ac:dyDescent="0.3">
      <c r="A103" s="42" t="b">
        <f t="shared" si="9"/>
        <v>0</v>
      </c>
      <c r="B103" s="42" t="b">
        <f t="shared" si="10"/>
        <v>0</v>
      </c>
      <c r="C103" s="8" t="str">
        <f t="shared" si="11"/>
        <v xml:space="preserve">ACCT133 </v>
      </c>
      <c r="D103" s="13" t="s">
        <v>202</v>
      </c>
      <c r="E103" s="13"/>
      <c r="F103" s="14" t="s">
        <v>15</v>
      </c>
      <c r="G103" s="14"/>
      <c r="H103" s="42" t="str">
        <f>IF(COUNTIF(Course[Course ID],Course[[#This Row],[Course ID]])&gt;1,"S","")</f>
        <v/>
      </c>
      <c r="I103" s="8"/>
      <c r="J103" s="8"/>
      <c r="K103" s="8"/>
      <c r="L103" s="8"/>
      <c r="M103" s="8"/>
      <c r="N103" s="8"/>
      <c r="O103" s="8"/>
      <c r="P103" s="8"/>
      <c r="Q103" t="b">
        <v>1</v>
      </c>
      <c r="R103">
        <v>20</v>
      </c>
      <c r="S103" s="8"/>
    </row>
    <row r="104" spans="1:19" x14ac:dyDescent="0.3">
      <c r="D104" s="2"/>
    </row>
    <row r="105" spans="1:19" x14ac:dyDescent="0.3">
      <c r="D105" s="2"/>
    </row>
    <row r="106" spans="1:19" x14ac:dyDescent="0.3">
      <c r="D106" s="2"/>
    </row>
    <row r="107" spans="1:19" x14ac:dyDescent="0.3">
      <c r="D107" s="2"/>
    </row>
    <row r="108" spans="1:19" x14ac:dyDescent="0.3">
      <c r="D108" s="2"/>
    </row>
    <row r="109" spans="1:19" x14ac:dyDescent="0.3">
      <c r="D109" s="2"/>
    </row>
    <row r="110" spans="1:19" x14ac:dyDescent="0.3">
      <c r="D110" s="2"/>
    </row>
    <row r="111" spans="1:19" x14ac:dyDescent="0.3">
      <c r="D111" s="2"/>
    </row>
    <row r="112" spans="1:19" x14ac:dyDescent="0.3">
      <c r="D112" s="2"/>
    </row>
    <row r="113" spans="4:4" x14ac:dyDescent="0.3">
      <c r="D113" s="2"/>
    </row>
    <row r="114" spans="4:4" x14ac:dyDescent="0.3">
      <c r="D114" s="2"/>
    </row>
    <row r="115" spans="4:4" x14ac:dyDescent="0.3">
      <c r="D115" s="2"/>
    </row>
    <row r="116" spans="4:4" x14ac:dyDescent="0.3">
      <c r="D116" s="2"/>
    </row>
    <row r="117" spans="4:4" x14ac:dyDescent="0.3">
      <c r="D117" s="2"/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ssignProfessor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213360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ourseSolverMacro">
                <anchor moveWithCells="1" sizeWithCells="1">
                  <from>
                    <xdr:col>20</xdr:col>
                    <xdr:colOff>0</xdr:colOff>
                    <xdr:row>2</xdr:row>
                    <xdr:rowOff>45720</xdr:rowOff>
                  </from>
                  <to>
                    <xdr:col>22</xdr:col>
                    <xdr:colOff>213360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printoutMacro">
                <anchor moveWithCells="1">
                  <from>
                    <xdr:col>20</xdr:col>
                    <xdr:colOff>0</xdr:colOff>
                    <xdr:row>3</xdr:row>
                    <xdr:rowOff>91440</xdr:rowOff>
                  </from>
                  <to>
                    <xdr:col>22</xdr:col>
                    <xdr:colOff>213360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4"/>
  <sheetViews>
    <sheetView tabSelected="1" workbookViewId="0">
      <pane ySplit="1" topLeftCell="A2" activePane="bottomLeft" state="frozen"/>
      <selection activeCell="T20" sqref="T20"/>
      <selection pane="bottomLeft" activeCell="E12" sqref="E12"/>
    </sheetView>
  </sheetViews>
  <sheetFormatPr defaultColWidth="8.6640625" defaultRowHeight="14.4" x14ac:dyDescent="0.3"/>
  <cols>
    <col min="1" max="1" width="8.5546875" bestFit="1" customWidth="1"/>
    <col min="2" max="2" width="16" bestFit="1" customWidth="1"/>
    <col min="3" max="6" width="15.1093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17" t="s">
        <v>10</v>
      </c>
      <c r="B2" s="17" t="s">
        <v>13</v>
      </c>
      <c r="C2" s="17" t="s">
        <v>67</v>
      </c>
      <c r="D2" s="17" t="s">
        <v>39</v>
      </c>
      <c r="E2" s="17" t="s">
        <v>40</v>
      </c>
      <c r="F2" s="17" t="s">
        <v>44</v>
      </c>
    </row>
    <row r="3" spans="1:6" x14ac:dyDescent="0.3">
      <c r="A3" s="17" t="s">
        <v>11</v>
      </c>
      <c r="B3" s="17" t="s">
        <v>13</v>
      </c>
      <c r="C3" s="17" t="s">
        <v>38</v>
      </c>
      <c r="D3" s="17" t="s">
        <v>39</v>
      </c>
      <c r="E3" s="17" t="s">
        <v>40</v>
      </c>
      <c r="F3" s="17"/>
    </row>
    <row r="4" spans="1:6" x14ac:dyDescent="0.3">
      <c r="A4" s="17" t="s">
        <v>12</v>
      </c>
      <c r="B4" s="17" t="s">
        <v>13</v>
      </c>
      <c r="C4" s="17" t="s">
        <v>41</v>
      </c>
      <c r="D4" s="17" t="s">
        <v>42</v>
      </c>
      <c r="E4" s="17" t="s">
        <v>43</v>
      </c>
      <c r="F4" s="17"/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  <pageSetUpPr fitToPage="1"/>
  </sheetPr>
  <dimension ref="A1:R12"/>
  <sheetViews>
    <sheetView showGridLines="0" topLeftCell="A10" zoomScaleNormal="100" workbookViewId="0">
      <selection sqref="A1:G1"/>
    </sheetView>
  </sheetViews>
  <sheetFormatPr defaultColWidth="8.6640625" defaultRowHeight="14.4" x14ac:dyDescent="0.3"/>
  <cols>
    <col min="1" max="1" width="10.88671875" bestFit="1" customWidth="1"/>
    <col min="2" max="2" width="9" bestFit="1" customWidth="1"/>
    <col min="3" max="7" width="22.77734375" customWidth="1"/>
  </cols>
  <sheetData>
    <row r="1" spans="1:18" ht="15" thickBot="1" x14ac:dyDescent="0.35">
      <c r="A1" s="38" t="s">
        <v>69</v>
      </c>
      <c r="B1" s="38"/>
      <c r="C1" s="38"/>
      <c r="D1" s="38"/>
      <c r="E1" s="38"/>
      <c r="F1" s="38"/>
      <c r="G1" s="38"/>
      <c r="Q1" t="s">
        <v>75</v>
      </c>
      <c r="R1" t="s">
        <v>76</v>
      </c>
    </row>
    <row r="2" spans="1:18" x14ac:dyDescent="0.3">
      <c r="A2" s="39"/>
      <c r="B2" s="40"/>
      <c r="C2" s="36" t="s">
        <v>70</v>
      </c>
      <c r="D2" s="36" t="s">
        <v>71</v>
      </c>
      <c r="E2" s="36" t="s">
        <v>72</v>
      </c>
      <c r="F2" s="36" t="s">
        <v>73</v>
      </c>
      <c r="G2" s="37" t="s">
        <v>74</v>
      </c>
    </row>
    <row r="3" spans="1:18" ht="72" x14ac:dyDescent="0.3">
      <c r="A3" s="29" t="s">
        <v>92</v>
      </c>
      <c r="B3" s="23" t="s">
        <v>19</v>
      </c>
      <c r="C3" s="25" t="s">
        <v>203</v>
      </c>
      <c r="D3" s="25" t="s">
        <v>204</v>
      </c>
      <c r="E3" s="25" t="s">
        <v>203</v>
      </c>
      <c r="F3" s="26" t="s">
        <v>205</v>
      </c>
      <c r="G3" s="30" t="s">
        <v>204</v>
      </c>
    </row>
    <row r="4" spans="1:18" ht="72" x14ac:dyDescent="0.3">
      <c r="A4" s="29" t="s">
        <v>93</v>
      </c>
      <c r="B4" s="23" t="s">
        <v>20</v>
      </c>
      <c r="C4" s="28" t="s">
        <v>206</v>
      </c>
      <c r="D4" s="28" t="s">
        <v>207</v>
      </c>
      <c r="E4" s="28" t="s">
        <v>206</v>
      </c>
      <c r="F4" s="26" t="s">
        <v>205</v>
      </c>
      <c r="G4" s="32" t="s">
        <v>207</v>
      </c>
    </row>
    <row r="5" spans="1:18" ht="72" x14ac:dyDescent="0.3">
      <c r="A5" s="29" t="s">
        <v>94</v>
      </c>
      <c r="B5" s="23" t="s">
        <v>21</v>
      </c>
      <c r="C5" s="28" t="s">
        <v>208</v>
      </c>
      <c r="D5" s="28" t="s">
        <v>209</v>
      </c>
      <c r="E5" s="43" t="s">
        <v>212</v>
      </c>
      <c r="F5" s="28" t="s">
        <v>208</v>
      </c>
      <c r="G5" s="32" t="s">
        <v>209</v>
      </c>
    </row>
    <row r="6" spans="1:18" ht="72" x14ac:dyDescent="0.3">
      <c r="A6" s="29" t="s">
        <v>95</v>
      </c>
      <c r="B6" s="23" t="s">
        <v>22</v>
      </c>
      <c r="C6" s="28" t="s">
        <v>210</v>
      </c>
      <c r="D6" s="28" t="s">
        <v>211</v>
      </c>
      <c r="E6" s="43" t="s">
        <v>212</v>
      </c>
      <c r="F6" s="28" t="s">
        <v>210</v>
      </c>
      <c r="G6" s="32" t="s">
        <v>211</v>
      </c>
    </row>
    <row r="7" spans="1:18" ht="72" x14ac:dyDescent="0.3">
      <c r="A7" s="29" t="s">
        <v>96</v>
      </c>
      <c r="B7" s="23" t="s">
        <v>23</v>
      </c>
      <c r="C7" s="28" t="s">
        <v>213</v>
      </c>
      <c r="D7" s="27" t="s">
        <v>79</v>
      </c>
      <c r="E7" s="27" t="s">
        <v>79</v>
      </c>
      <c r="F7" s="28" t="s">
        <v>213</v>
      </c>
      <c r="G7" s="44" t="s">
        <v>218</v>
      </c>
    </row>
    <row r="8" spans="1:18" ht="72" x14ac:dyDescent="0.3">
      <c r="A8" s="31" t="s">
        <v>97</v>
      </c>
      <c r="B8" s="24" t="s">
        <v>13</v>
      </c>
      <c r="C8" s="28" t="s">
        <v>214</v>
      </c>
      <c r="D8" s="28" t="s">
        <v>215</v>
      </c>
      <c r="E8" s="28" t="s">
        <v>214</v>
      </c>
      <c r="F8" s="28" t="s">
        <v>215</v>
      </c>
      <c r="G8" s="44" t="s">
        <v>218</v>
      </c>
    </row>
    <row r="9" spans="1:18" ht="72" x14ac:dyDescent="0.3">
      <c r="A9" s="29" t="s">
        <v>98</v>
      </c>
      <c r="B9" s="23" t="s">
        <v>16</v>
      </c>
      <c r="C9" s="28" t="s">
        <v>216</v>
      </c>
      <c r="D9" s="28" t="s">
        <v>217</v>
      </c>
      <c r="E9" s="28" t="s">
        <v>216</v>
      </c>
      <c r="F9" s="28" t="s">
        <v>217</v>
      </c>
      <c r="G9" s="32"/>
    </row>
    <row r="10" spans="1:18" ht="72" x14ac:dyDescent="0.3">
      <c r="A10" s="29" t="s">
        <v>99</v>
      </c>
      <c r="B10" s="23" t="s">
        <v>77</v>
      </c>
      <c r="C10" s="28" t="s">
        <v>219</v>
      </c>
      <c r="D10" s="28" t="s">
        <v>220</v>
      </c>
      <c r="E10" s="28" t="s">
        <v>221</v>
      </c>
      <c r="F10" s="28" t="s">
        <v>212</v>
      </c>
      <c r="G10" s="32"/>
    </row>
    <row r="11" spans="1:18" ht="57.6" x14ac:dyDescent="0.3">
      <c r="A11" s="29" t="s">
        <v>100</v>
      </c>
      <c r="B11" s="23" t="s">
        <v>78</v>
      </c>
      <c r="C11" s="25" t="s">
        <v>222</v>
      </c>
      <c r="D11" s="25" t="s">
        <v>223</v>
      </c>
      <c r="E11" s="25" t="s">
        <v>224</v>
      </c>
      <c r="F11" s="25" t="s">
        <v>225</v>
      </c>
      <c r="G11" s="32"/>
    </row>
    <row r="12" spans="1:18" ht="58.2" thickBot="1" x14ac:dyDescent="0.35">
      <c r="A12" s="33" t="s">
        <v>101</v>
      </c>
      <c r="B12" s="34" t="s">
        <v>78</v>
      </c>
      <c r="C12" s="45" t="s">
        <v>226</v>
      </c>
      <c r="D12" s="45" t="s">
        <v>227</v>
      </c>
      <c r="E12" s="45" t="s">
        <v>228</v>
      </c>
      <c r="F12" s="45" t="s">
        <v>229</v>
      </c>
      <c r="G12" s="35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6640625" defaultRowHeight="14.4" x14ac:dyDescent="0.3"/>
  <cols>
    <col min="1" max="1" width="7.88671875" customWidth="1"/>
    <col min="2" max="2" width="9.88671875" customWidth="1"/>
    <col min="4" max="4" width="11" customWidth="1"/>
  </cols>
  <sheetData>
    <row r="1" spans="1:20" x14ac:dyDescent="0.3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3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3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3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3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3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3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3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3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3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3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3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3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3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3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3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3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3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3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3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3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3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3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3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3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3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3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3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3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3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3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3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3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3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3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3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3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3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3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3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3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3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3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3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3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4"/>
  <sheetViews>
    <sheetView topLeftCell="A16" workbookViewId="0">
      <selection activeCell="A27" sqref="A27:B34"/>
    </sheetView>
  </sheetViews>
  <sheetFormatPr defaultRowHeight="14.4" x14ac:dyDescent="0.3"/>
  <sheetData>
    <row r="1" spans="1:10" x14ac:dyDescent="0.3">
      <c r="A1" t="s">
        <v>45</v>
      </c>
      <c r="B1" t="s">
        <v>1</v>
      </c>
      <c r="C1" t="s">
        <v>38</v>
      </c>
      <c r="D1" t="s">
        <v>39</v>
      </c>
      <c r="E1" t="s">
        <v>40</v>
      </c>
      <c r="F1" t="s">
        <v>44</v>
      </c>
      <c r="G1" t="s">
        <v>42</v>
      </c>
      <c r="H1" t="s">
        <v>43</v>
      </c>
      <c r="I1" t="s">
        <v>67</v>
      </c>
    </row>
    <row r="2" spans="1:10" x14ac:dyDescent="0.3">
      <c r="A2" t="s">
        <v>10</v>
      </c>
      <c r="B2" t="s">
        <v>13</v>
      </c>
      <c r="D2">
        <v>3</v>
      </c>
      <c r="E2">
        <v>2</v>
      </c>
      <c r="F2">
        <v>1</v>
      </c>
      <c r="I2">
        <v>4</v>
      </c>
    </row>
    <row r="3" spans="1:10" x14ac:dyDescent="0.3">
      <c r="A3" t="s">
        <v>11</v>
      </c>
      <c r="B3" t="s">
        <v>13</v>
      </c>
      <c r="C3">
        <v>4</v>
      </c>
      <c r="D3">
        <v>3</v>
      </c>
      <c r="E3">
        <v>2</v>
      </c>
    </row>
    <row r="4" spans="1:10" x14ac:dyDescent="0.3">
      <c r="A4" t="s">
        <v>12</v>
      </c>
      <c r="B4" t="s">
        <v>13</v>
      </c>
      <c r="F4">
        <v>4</v>
      </c>
      <c r="G4">
        <v>3</v>
      </c>
      <c r="H4">
        <v>2</v>
      </c>
    </row>
    <row r="6" spans="1:10" x14ac:dyDescent="0.3">
      <c r="A6" t="s">
        <v>46</v>
      </c>
      <c r="B6" t="s">
        <v>1</v>
      </c>
      <c r="C6" t="s">
        <v>38</v>
      </c>
      <c r="D6" t="s">
        <v>39</v>
      </c>
      <c r="E6" t="s">
        <v>40</v>
      </c>
      <c r="F6" t="s">
        <v>44</v>
      </c>
      <c r="G6" t="s">
        <v>42</v>
      </c>
      <c r="H6" t="s">
        <v>43</v>
      </c>
      <c r="I6" t="s">
        <v>67</v>
      </c>
    </row>
    <row r="7" spans="1:10" x14ac:dyDescent="0.3">
      <c r="A7" t="s">
        <v>10</v>
      </c>
      <c r="B7" t="s">
        <v>13</v>
      </c>
      <c r="D7">
        <v>0.30000001192092896</v>
      </c>
      <c r="E7">
        <v>0.20000000298023224</v>
      </c>
      <c r="F7">
        <v>0.10000000149011612</v>
      </c>
      <c r="I7">
        <v>0.40000000596046448</v>
      </c>
    </row>
    <row r="8" spans="1:10" x14ac:dyDescent="0.3">
      <c r="A8" t="s">
        <v>11</v>
      </c>
      <c r="B8" t="s">
        <v>13</v>
      </c>
      <c r="C8">
        <v>0.4444444477558136</v>
      </c>
      <c r="D8">
        <v>0.3333333432674408</v>
      </c>
      <c r="E8">
        <v>0.2222222238779068</v>
      </c>
    </row>
    <row r="9" spans="1:10" x14ac:dyDescent="0.3">
      <c r="A9" t="s">
        <v>12</v>
      </c>
      <c r="B9" t="s">
        <v>13</v>
      </c>
      <c r="F9">
        <v>0.4444444477558136</v>
      </c>
      <c r="G9">
        <v>0.3333333432674408</v>
      </c>
      <c r="H9">
        <v>0.2222222238779068</v>
      </c>
    </row>
    <row r="11" spans="1:10" x14ac:dyDescent="0.3">
      <c r="A11" t="s">
        <v>47</v>
      </c>
      <c r="B11" t="s">
        <v>1</v>
      </c>
      <c r="C11" t="s">
        <v>38</v>
      </c>
      <c r="D11" t="s">
        <v>39</v>
      </c>
      <c r="E11" t="s">
        <v>40</v>
      </c>
      <c r="F11" t="s">
        <v>44</v>
      </c>
      <c r="G11" t="s">
        <v>42</v>
      </c>
      <c r="H11" t="s">
        <v>43</v>
      </c>
      <c r="I11" t="s">
        <v>67</v>
      </c>
    </row>
    <row r="12" spans="1:10" x14ac:dyDescent="0.3">
      <c r="A12" t="s">
        <v>10</v>
      </c>
      <c r="B12">
        <v>1</v>
      </c>
      <c r="D12">
        <v>0</v>
      </c>
      <c r="E12">
        <v>0</v>
      </c>
      <c r="F12">
        <v>0</v>
      </c>
      <c r="I12">
        <v>1</v>
      </c>
      <c r="J12">
        <f>SUM($C$12:$I$12)</f>
        <v>1</v>
      </c>
    </row>
    <row r="13" spans="1:10" x14ac:dyDescent="0.3">
      <c r="A13" t="s">
        <v>11</v>
      </c>
      <c r="B13">
        <v>1</v>
      </c>
      <c r="C13">
        <v>1</v>
      </c>
      <c r="D13">
        <v>1</v>
      </c>
      <c r="E13">
        <v>1</v>
      </c>
      <c r="J13">
        <f>SUM($C$13:$I$13)</f>
        <v>3</v>
      </c>
    </row>
    <row r="14" spans="1:10" x14ac:dyDescent="0.3">
      <c r="A14" t="s">
        <v>12</v>
      </c>
      <c r="B14">
        <v>1</v>
      </c>
      <c r="F14">
        <v>1</v>
      </c>
      <c r="G14">
        <v>1</v>
      </c>
      <c r="H14">
        <v>1</v>
      </c>
      <c r="J14">
        <f>SUM($C$14:$I$14)</f>
        <v>3</v>
      </c>
    </row>
    <row r="15" spans="1:10" x14ac:dyDescent="0.3">
      <c r="A15" t="s">
        <v>48</v>
      </c>
      <c r="C15">
        <f>SUMPRODUCT($C$7:$I$9,$C$12:$I$14)</f>
        <v>2.4000000357627869</v>
      </c>
      <c r="D15" t="s">
        <v>49</v>
      </c>
    </row>
    <row r="17" spans="1:9" x14ac:dyDescent="0.3">
      <c r="A17" t="s">
        <v>50</v>
      </c>
      <c r="C17" t="s">
        <v>51</v>
      </c>
      <c r="F17">
        <f>IF(SUM($J$12:$J$14)=0,0,SUMPRODUCT($B$12:$B$14,$J$12:$J$14)/SUM($J$12:$J$14))</f>
        <v>1</v>
      </c>
      <c r="G17" t="s">
        <v>52</v>
      </c>
      <c r="H17">
        <v>0.75</v>
      </c>
    </row>
    <row r="18" spans="1:9" x14ac:dyDescent="0.3">
      <c r="C18" t="s">
        <v>53</v>
      </c>
    </row>
    <row r="19" spans="1:9" x14ac:dyDescent="0.3">
      <c r="C19" t="s">
        <v>54</v>
      </c>
    </row>
    <row r="20" spans="1:9" x14ac:dyDescent="0.3">
      <c r="C20">
        <f>SUM($C$12:$C$14)</f>
        <v>1</v>
      </c>
      <c r="D20">
        <f>SUM($D$12:$D$14)</f>
        <v>1</v>
      </c>
      <c r="E20">
        <f>SUM($E$12:$E$14)</f>
        <v>1</v>
      </c>
      <c r="F20">
        <f>SUM($F$12:$F$14)</f>
        <v>1</v>
      </c>
      <c r="G20">
        <f>SUM($G$12:$G$14)</f>
        <v>1</v>
      </c>
      <c r="H20">
        <f>SUM($H$12:$H$14)</f>
        <v>1</v>
      </c>
      <c r="I20">
        <f>SUM($I$12:$I$14)</f>
        <v>1</v>
      </c>
    </row>
    <row r="21" spans="1:9" x14ac:dyDescent="0.3">
      <c r="C21" t="s">
        <v>55</v>
      </c>
      <c r="D21" t="s">
        <v>55</v>
      </c>
      <c r="E21" t="s">
        <v>55</v>
      </c>
      <c r="F21" t="s">
        <v>55</v>
      </c>
      <c r="G21" t="s">
        <v>55</v>
      </c>
      <c r="H21" t="s">
        <v>55</v>
      </c>
      <c r="I21" t="s">
        <v>55</v>
      </c>
    </row>
    <row r="22" spans="1:9" x14ac:dyDescent="0.3"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4" spans="1:9" x14ac:dyDescent="0.3">
      <c r="A24" t="s">
        <v>56</v>
      </c>
      <c r="B24" t="s">
        <v>57</v>
      </c>
      <c r="C24" t="s">
        <v>38</v>
      </c>
      <c r="D24" t="s">
        <v>39</v>
      </c>
      <c r="E24" t="s">
        <v>40</v>
      </c>
      <c r="F24" t="s">
        <v>44</v>
      </c>
      <c r="G24" t="s">
        <v>42</v>
      </c>
      <c r="H24" t="s">
        <v>43</v>
      </c>
      <c r="I24" t="s">
        <v>67</v>
      </c>
    </row>
    <row r="25" spans="1:9" x14ac:dyDescent="0.3">
      <c r="B25" t="s">
        <v>58</v>
      </c>
      <c r="C25" t="str">
        <f>IFERROR(INDEX($A$12:$A$14,MATCH(1,$C$12:$C$14,0)),"TBD")</f>
        <v>C, D</v>
      </c>
      <c r="D25" t="str">
        <f>IFERROR(INDEX($A$12:$A$14,MATCH(1,$D$12:$D$14,0)),"TBD")</f>
        <v>C, D</v>
      </c>
      <c r="E25" t="str">
        <f>IFERROR(INDEX($A$12:$A$14,MATCH(1,$E$12:$E$14,0)),"TBD")</f>
        <v>C, D</v>
      </c>
      <c r="F25" t="str">
        <f>IFERROR(INDEX($A$12:$A$14,MATCH(1,$F$12:$F$14,0)),"TBD")</f>
        <v>E, F</v>
      </c>
      <c r="G25" t="str">
        <f>IFERROR(INDEX($A$12:$A$14,MATCH(1,$G$12:$G$14,0)),"TBD")</f>
        <v>E, F</v>
      </c>
      <c r="H25" t="str">
        <f>IFERROR(INDEX($A$12:$A$14,MATCH(1,$H$12:$H$14,0)),"TBD")</f>
        <v>E, F</v>
      </c>
      <c r="I25" t="str">
        <f>IFERROR(INDEX($A$12:$A$14,MATCH(1,$I$12:$I$14,0)),"TBD")</f>
        <v>A, B</v>
      </c>
    </row>
    <row r="27" spans="1:9" x14ac:dyDescent="0.3">
      <c r="A27" t="s">
        <v>57</v>
      </c>
      <c r="B27" t="s">
        <v>58</v>
      </c>
    </row>
    <row r="28" spans="1:9" x14ac:dyDescent="0.3">
      <c r="A28" t="s">
        <v>38</v>
      </c>
      <c r="B28" t="s">
        <v>11</v>
      </c>
    </row>
    <row r="29" spans="1:9" x14ac:dyDescent="0.3">
      <c r="A29" t="s">
        <v>39</v>
      </c>
      <c r="B29" t="s">
        <v>11</v>
      </c>
    </row>
    <row r="30" spans="1:9" x14ac:dyDescent="0.3">
      <c r="A30" t="s">
        <v>40</v>
      </c>
      <c r="B30" t="s">
        <v>11</v>
      </c>
    </row>
    <row r="31" spans="1:9" x14ac:dyDescent="0.3">
      <c r="A31" t="s">
        <v>44</v>
      </c>
      <c r="B31" t="s">
        <v>12</v>
      </c>
    </row>
    <row r="32" spans="1:9" x14ac:dyDescent="0.3">
      <c r="A32" t="s">
        <v>42</v>
      </c>
      <c r="B32" t="s">
        <v>12</v>
      </c>
    </row>
    <row r="33" spans="1:2" x14ac:dyDescent="0.3">
      <c r="A33" t="s">
        <v>43</v>
      </c>
      <c r="B33" t="s">
        <v>12</v>
      </c>
    </row>
    <row r="34" spans="1:2" x14ac:dyDescent="0.3">
      <c r="A34" t="s">
        <v>67</v>
      </c>
      <c r="B3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</vt:lpstr>
      <vt:lpstr>Input_Course</vt:lpstr>
      <vt:lpstr>Input_Professor</vt:lpstr>
      <vt:lpstr>PrintOut</vt:lpstr>
      <vt:lpstr>Block_Info</vt:lpstr>
      <vt:lpstr>Calculator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ikaSystems</cp:lastModifiedBy>
  <cp:lastPrinted>2017-03-02T04:32:28Z</cp:lastPrinted>
  <dcterms:created xsi:type="dcterms:W3CDTF">2017-02-16T01:30:00Z</dcterms:created>
  <dcterms:modified xsi:type="dcterms:W3CDTF">2017-03-02T04:49:15Z</dcterms:modified>
</cp:coreProperties>
</file>