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725"/>
  </bookViews>
  <sheets>
    <sheet name="InputCourse" sheetId="1" r:id="rId1"/>
    <sheet name="InputProf" sheetId="3" r:id="rId2"/>
    <sheet name="InfoBlock" sheetId="2" r:id="rId3"/>
    <sheet name="InfoPreReq" sheetId="4" r:id="rId4"/>
  </sheets>
  <definedNames>
    <definedName name="_xlnm._FilterDatabase" localSheetId="2" hidden="1">InfoBlock!$A$1:$B$29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G100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35" i="1"/>
  <c r="G34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E2" i="1"/>
</calcChain>
</file>

<file path=xl/comments1.xml><?xml version="1.0" encoding="utf-8"?>
<comments xmlns="http://schemas.openxmlformats.org/spreadsheetml/2006/main">
  <authors>
    <author>Windows User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<sst xmlns="http://schemas.openxmlformats.org/spreadsheetml/2006/main" count="712" uniqueCount="275">
  <si>
    <t>Block</t>
  </si>
  <si>
    <t>Session</t>
  </si>
  <si>
    <t>Level</t>
  </si>
  <si>
    <t>U</t>
  </si>
  <si>
    <t>F</t>
  </si>
  <si>
    <t>G</t>
  </si>
  <si>
    <t>FIN100</t>
  </si>
  <si>
    <t>FIN200</t>
  </si>
  <si>
    <t>FIN300</t>
  </si>
  <si>
    <t>FIN400</t>
  </si>
  <si>
    <t>FIN500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</si>
  <si>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</si>
  <si>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</si>
  <si>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</si>
  <si>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</si>
  <si>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</si>
  <si>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</si>
  <si>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</si>
  <si>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</si>
  <si>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</si>
  <si>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</si>
  <si>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</si>
  <si>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</si>
  <si>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</si>
  <si>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</si>
  <si>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</si>
  <si>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</si>
  <si>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</si>
  <si>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</si>
  <si>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A, B</t>
  </si>
  <si>
    <t>FIN100 100</t>
  </si>
  <si>
    <t>FIN100 200</t>
  </si>
  <si>
    <t>FIN100 300</t>
  </si>
  <si>
    <t>FIN100 400</t>
  </si>
  <si>
    <t>C, D</t>
  </si>
  <si>
    <t>FIN200 100</t>
  </si>
  <si>
    <t>FIN200 200</t>
  </si>
  <si>
    <t>FIN200 300</t>
  </si>
  <si>
    <t>FIN200 400</t>
  </si>
  <si>
    <t>E, F</t>
  </si>
  <si>
    <t>FIN300 100</t>
  </si>
  <si>
    <t>FIN300 200</t>
  </si>
  <si>
    <t>FIN300 300</t>
  </si>
  <si>
    <t>FIN300 400</t>
  </si>
  <si>
    <t>G, H</t>
  </si>
  <si>
    <t>P</t>
  </si>
  <si>
    <t>FIN400 100</t>
  </si>
  <si>
    <t>FIN400 200</t>
  </si>
  <si>
    <t>FIN400 300</t>
  </si>
  <si>
    <t>FIN400 400</t>
  </si>
  <si>
    <t>I, J</t>
  </si>
  <si>
    <t>FIN500 100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</si>
  <si>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</si>
  <si>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</si>
  <si>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</si>
  <si>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</si>
  <si>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</si>
  <si>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</si>
  <si>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</si>
  <si>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</si>
  <si>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</si>
  <si>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</si>
  <si>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</si>
  <si>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</si>
  <si>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</si>
  <si>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</si>
  <si>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</si>
  <si>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</si>
  <si>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</si>
  <si>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</si>
  <si>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Q, R</t>
  </si>
  <si>
    <t>SessionPK</t>
  </si>
  <si>
    <t>AvaiProf</t>
  </si>
  <si>
    <t>Course</t>
  </si>
  <si>
    <t>F/P</t>
  </si>
  <si>
    <t>Pre-Req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</si>
  <si>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</si>
  <si>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</si>
  <si>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</si>
  <si>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</si>
  <si>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</si>
  <si>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</si>
  <si>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</si>
  <si>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AvailableSpots</t>
  </si>
  <si>
    <t>O, P|F</t>
  </si>
  <si>
    <t>Q, R|F</t>
  </si>
  <si>
    <t>S,T</t>
  </si>
  <si>
    <t>U,V</t>
  </si>
  <si>
    <t>W,X</t>
  </si>
  <si>
    <t>Y,Z</t>
  </si>
  <si>
    <t>AA,A</t>
  </si>
  <si>
    <t>AA,B</t>
  </si>
  <si>
    <t>AA,C</t>
  </si>
  <si>
    <t>AA,D</t>
  </si>
  <si>
    <t>AA,E</t>
  </si>
  <si>
    <t>AA,F</t>
  </si>
  <si>
    <t>AA,G</t>
  </si>
  <si>
    <t>AA,H</t>
  </si>
  <si>
    <t>AA,I</t>
  </si>
  <si>
    <t>AA,J</t>
  </si>
  <si>
    <t>AA,K</t>
  </si>
  <si>
    <t>AA,L</t>
  </si>
  <si>
    <t>AA,M</t>
  </si>
  <si>
    <t>AA,N</t>
  </si>
  <si>
    <t>AA,O</t>
  </si>
  <si>
    <t>AA,P</t>
  </si>
  <si>
    <t>AA,Q</t>
  </si>
  <si>
    <t>AA,R</t>
  </si>
  <si>
    <t>AA,Z</t>
  </si>
  <si>
    <t>AA,S</t>
  </si>
  <si>
    <t>AA,T</t>
  </si>
  <si>
    <t>AA,U</t>
  </si>
  <si>
    <t>AA,V</t>
  </si>
  <si>
    <t>AA,W</t>
  </si>
  <si>
    <t>AA,X</t>
  </si>
  <si>
    <t>AA,Y</t>
  </si>
  <si>
    <t>AB,A</t>
  </si>
  <si>
    <t>AB,B</t>
  </si>
  <si>
    <t>AB,C</t>
  </si>
  <si>
    <t>AB,D</t>
  </si>
  <si>
    <t>AB,E</t>
  </si>
  <si>
    <t>AB,F</t>
  </si>
  <si>
    <t>AB,G</t>
  </si>
  <si>
    <t>AB,H</t>
  </si>
  <si>
    <t>AB,I</t>
  </si>
  <si>
    <t>AB,J</t>
  </si>
  <si>
    <t>AB,K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</si>
  <si>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</si>
  <si>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</si>
  <si>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</si>
  <si>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</si>
  <si>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</si>
  <si>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</si>
  <si>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</si>
  <si>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</si>
  <si>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</si>
  <si>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</si>
  <si>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</si>
  <si>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</si>
  <si>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</si>
  <si>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</si>
  <si>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</si>
  <si>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</si>
  <si>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</si>
  <si>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</si>
  <si>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</si>
  <si>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</si>
  <si>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</si>
  <si>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</si>
  <si>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</si>
  <si>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</si>
  <si>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</si>
  <si>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</si>
  <si>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</si>
  <si>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</si>
  <si>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</si>
  <si>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</si>
  <si>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</si>
  <si>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</si>
  <si>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</si>
  <si>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</si>
  <si>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</si>
  <si>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</si>
  <si>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</si>
  <si>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</si>
  <si>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</si>
  <si>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</si>
  <si>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</si>
  <si>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</si>
  <si>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</si>
  <si>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</si>
  <si>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</si>
  <si>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</si>
  <si>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</si>
  <si>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</si>
  <si>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</si>
  <si>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</si>
  <si>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</si>
  <si>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</si>
  <si>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</si>
  <si>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</si>
  <si>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</si>
  <si>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</si>
  <si>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</si>
  <si>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</si>
  <si>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</si>
  <si>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</si>
  <si>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</si>
  <si>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</si>
  <si>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</si>
  <si>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</si>
  <si>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</si>
  <si>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</si>
  <si>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</si>
  <si>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MA101 100</t>
  </si>
  <si>
    <t>MA102 100</t>
  </si>
  <si>
    <t>MA103 100</t>
  </si>
  <si>
    <t>MA104 100</t>
  </si>
  <si>
    <t>MA105 100</t>
  </si>
  <si>
    <t>MA106 100</t>
  </si>
  <si>
    <t>MA107 100</t>
  </si>
  <si>
    <t>MA108 100</t>
  </si>
  <si>
    <t>MA109 100</t>
  </si>
  <si>
    <t>MA110 100</t>
  </si>
  <si>
    <t>MA111 100</t>
  </si>
  <si>
    <t>MA112 100</t>
  </si>
  <si>
    <t>MA113 100</t>
  </si>
  <si>
    <t>MA114 100</t>
  </si>
  <si>
    <t>MA115 100</t>
  </si>
  <si>
    <t>MA116 100</t>
  </si>
  <si>
    <t>MA117 100</t>
  </si>
  <si>
    <t>MA118 100</t>
  </si>
  <si>
    <t>MA119 100</t>
  </si>
  <si>
    <t>MA120 100</t>
  </si>
  <si>
    <t>MA121 100</t>
  </si>
  <si>
    <t>MA122 100</t>
  </si>
  <si>
    <t>MA123 100</t>
  </si>
  <si>
    <t>MA124 100</t>
  </si>
  <si>
    <t>MA125 100</t>
  </si>
  <si>
    <t>MA126 100</t>
  </si>
  <si>
    <t>MA127 100</t>
  </si>
  <si>
    <t>MA128 100</t>
  </si>
  <si>
    <t>MA129 100</t>
  </si>
  <si>
    <t>MA130 100</t>
  </si>
  <si>
    <t>MA131 100</t>
  </si>
  <si>
    <t>MA132 100</t>
  </si>
  <si>
    <t>MA133 100</t>
  </si>
  <si>
    <t>MA134 100</t>
  </si>
  <si>
    <t>MA135 100</t>
  </si>
  <si>
    <t>MA136 100</t>
  </si>
  <si>
    <t>MA137 100</t>
  </si>
  <si>
    <t>MA138 100</t>
  </si>
  <si>
    <t>MA139 100</t>
  </si>
  <si>
    <t>MA140 100</t>
  </si>
  <si>
    <t>MA141 100</t>
  </si>
  <si>
    <t>MA142 100</t>
  </si>
  <si>
    <t>MA143 100</t>
  </si>
  <si>
    <t>MA144 100</t>
  </si>
  <si>
    <t>MA145 100</t>
  </si>
  <si>
    <t>MA146 100</t>
  </si>
  <si>
    <t>MA147 100</t>
  </si>
  <si>
    <t>MA148 100</t>
  </si>
  <si>
    <t>MA149 100</t>
  </si>
  <si>
    <t>MA150 100</t>
  </si>
  <si>
    <t>MA151 100</t>
  </si>
  <si>
    <t>MA152 100</t>
  </si>
  <si>
    <t>MA153 100</t>
  </si>
  <si>
    <t>MA154 100</t>
  </si>
  <si>
    <t>MA155 100</t>
  </si>
  <si>
    <t>MA156 100</t>
  </si>
  <si>
    <t>MA157 100</t>
  </si>
  <si>
    <t>MA158 100</t>
  </si>
  <si>
    <t>MA159 100</t>
  </si>
  <si>
    <t>MA160 100</t>
  </si>
  <si>
    <t>MA161 100</t>
  </si>
  <si>
    <t>MA162 100</t>
  </si>
  <si>
    <t>MA163 100</t>
  </si>
  <si>
    <t>MA164 100</t>
  </si>
  <si>
    <t>MA165 100</t>
  </si>
  <si>
    <t>MA166 100</t>
  </si>
  <si>
    <t>MA167 100</t>
  </si>
  <si>
    <t>PrefTime_1</t>
  </si>
  <si>
    <t>PrefTime_2</t>
  </si>
  <si>
    <t>PrefTime_3</t>
  </si>
  <si>
    <t>PrefTime_4</t>
  </si>
  <si>
    <t>PrefTime_5</t>
  </si>
  <si>
    <t>PrefTime_6</t>
  </si>
  <si>
    <t>PrefTime_7</t>
  </si>
  <si>
    <t>NoTime_1</t>
  </si>
  <si>
    <t>NoTime_2</t>
  </si>
  <si>
    <t>NoTime_3</t>
  </si>
  <si>
    <t>NoTime_4</t>
  </si>
  <si>
    <t>PrefTime_8</t>
  </si>
  <si>
    <t>SessionNum</t>
  </si>
  <si>
    <t>Session#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</si>
</sst>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">
    <xf numFmtId="0" fontId="0" fillId="0" borderId="0" xfId="0"/>
    <xf numFmtId="0" fontId="2" fillId="0" borderId="0" xfId="0" applyFont="1" applyFill="1"/>
    <xf numFmtId="0" fontId="3" fillId="0" borderId="0" xfId="0" applyFont="1" applyFill="1" applyBorder="1" applyAlignment="1">
      <alignment horizontal="center"/>
    </xf>
    <xf numFmtId="0" fontId="0" fillId="3" borderId="0" xfId="0" applyFill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/>
  </cellXfs>
  <cellStyles count="2">
    <cellStyle name="Good" xfId="1" builtinId="26"/>
    <cellStyle name="Normal" xfId="0" builtinId="0"/>
  </cellStyles>
  <dxfs count="31">
    <dxf>
      <numFmt numFmtId="0" formatCode="General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3" name="Course" displayName="Course" ref="A1:J100" totalsRowShown="0" headerRowDxfId="30">
  <tableColumns count="10">
    <tableColumn id="1" name="SessionPK" dataDxfId="29">
      <calculatedColumnFormula>Course[[#This Row],[Course]]&amp; " "&amp;Course[[#This Row],[Session]]</calculatedColumnFormula>
    </tableColumn>
    <tableColumn id="2" name="Course" dataDxfId="28"/>
    <tableColumn id="3" name="Session" dataDxfId="27"/>
    <tableColumn id="4" name="Level" dataDxfId="26"/>
    <tableColumn id="5" name="AvaiProf" dataDxfId="25">
      <calculatedColumnFormula>COUNTIF(Professor[[Preference_1]:[Preference_4]],Course[[#This Row],[SessionPK]])</calculatedColumnFormula>
    </tableColumn>
    <tableColumn id="7" name="AvailableSpots" dataDxfId="24">
      <calculatedColumnFormula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calculatedColumnFormula>
    </tableColumn>
    <tableColumn id="9" name="F/P" dataDxfId="23">
      <calculatedColumnFormula>IFERROR(INDEX(Professor[Full/Part-time],MATCH(Course[[#This Row],[Professor]],Professor[Name],0)),"")</calculatedColumnFormula>
    </tableColumn>
    <tableColumn id="6" name="Professor" dataDxfId="22">
      <calculatedColumnFormula>IF(AND(Course[[#This Row],[AvaiProf]]=1,Course[[#This Row],[AvailableSpots]]&gt;0), INDEX(Professor[Name],IFERROR(MATCH(Course[[#This Row],[SessionPK]],Professor[Preference_1],0),IFERROR(MATCH(Course[[#This Row],[SessionPK]],Professor[Preference_2],0),IFERROR(MATCH(Course[[#This Row],[SessionPK]],Professor[Preference_3],0),MATCH(Course[[#This Row],[SessionPK]],Professor[Preference_4],0))))), IF(Course[[#This Row],[AvaiProf]]=0,"Not Available",""))</calculatedColumnFormula>
    </tableColumn>
    <tableColumn id="8" name="Session#" dataDxfId="21">
      <calculatedColumnFormula>COUNTIF(Course[Course],Course[[#This Row],[Course]])</calculatedColumnFormula>
    </tableColumn>
    <tableColumn id="10" name="Block" dataDxfId="2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V51" totalsRowShown="0" dataDxfId="19">
  <tableColumns count="22">
    <tableColumn id="1" name="Name" dataDxfId="18"/>
    <tableColumn id="2" name="Full/Part-time" dataDxfId="17"/>
    <tableColumn id="23" name="Session_1"/>
    <tableColumn id="22" name="Session_2"/>
    <tableColumn id="21" name="Session_3"/>
    <tableColumn id="20" name="Session_4"/>
    <tableColumn id="3" name="Preference_1" dataDxfId="16"/>
    <tableColumn id="4" name="Preference_2" dataDxfId="15"/>
    <tableColumn id="5" name="Preference_3" dataDxfId="14"/>
    <tableColumn id="6" name="Preference_4" dataDxfId="13"/>
    <tableColumn id="7" name="PrefTime_1" dataDxfId="12"/>
    <tableColumn id="8" name="PrefTime_2" dataDxfId="11"/>
    <tableColumn id="9" name="PrefTime_3" dataDxfId="10"/>
    <tableColumn id="10" name="PrefTime_4" dataDxfId="9"/>
    <tableColumn id="11" name="PrefTime_5" dataDxfId="8"/>
    <tableColumn id="12" name="PrefTime_6" dataDxfId="7"/>
    <tableColumn id="13" name="PrefTime_7" dataDxfId="6"/>
    <tableColumn id="18" name="PrefTime_8" dataDxfId="5"/>
    <tableColumn id="14" name="NoTime_1" dataDxfId="4"/>
    <tableColumn id="15" name="NoTime_2" dataDxfId="3"/>
    <tableColumn id="16" name="NoTime_3" dataDxfId="2"/>
    <tableColumn id="17" name="NoTime_4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0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00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5" x14ac:dyDescent="0.25"/>
  <cols>
    <col min="1" max="1" width="12.28515625" bestFit="1" customWidth="1"/>
    <col min="2" max="2" width="11.7109375" style="2" bestFit="1" customWidth="1"/>
    <col min="3" max="3" width="12.28515625" style="2" bestFit="1" customWidth="1"/>
    <col min="4" max="4" width="10.28515625" style="2" bestFit="1" customWidth="1"/>
    <col min="5" max="5" width="13.140625" style="6" customWidth="1"/>
    <col min="6" max="6" width="18.85546875" style="6" customWidth="1"/>
    <col min="7" max="7" width="6.28515625" style="6" customWidth="1"/>
    <col min="8" max="8" width="9.42578125" bestFit="1" customWidth="1"/>
    <col min="9" max="9" width="8.7109375" bestFit="1" customWidth="1"/>
  </cols>
  <sheetData>
    <row r="1" spans="1:10" x14ac:dyDescent="0.25">
      <c r="A1" s="1" t="s">
        <v>71</v>
      </c>
      <c r="B1" s="4" t="s">
        <v>73</v>
      </c>
      <c r="C1" s="4" t="s">
        <v>1</v>
      </c>
      <c r="D1" s="4" t="s">
        <v>2</v>
      </c>
      <c r="E1" s="5" t="s">
        <v>72</v>
      </c>
      <c r="F1" s="5" t="s">
        <v>83</v>
      </c>
      <c r="G1" s="5" t="s">
        <v>74</v>
      </c>
      <c r="H1" s="1" t="s">
        <v>78</v>
      </c>
      <c r="I1" s="1" t="s">
        <v>274</v>
      </c>
      <c r="J1" s="1" t="s">
        <v>0</v>
      </c>
    </row>
    <row r="2" spans="1:10" x14ac:dyDescent="0.25">
      <c r="A2" t="str">
        <f>Course[[#This Row],[Course]]&amp; " "&amp;Course[[#This Row],[Session]]</f>
        <v>FIN100 100</v>
      </c>
      <c r="B2" s="7" t="s">
        <v>6</v>
      </c>
      <c r="C2" s="7">
        <v>100</v>
      </c>
      <c r="D2" s="7" t="s">
        <v>3</v>
      </c>
      <c r="E2" s="6">
        <f>COUNTIF(Professor[[Preference_1]:[Preference_4]],Course[[#This Row],[SessionPK]])</f>
        <v>1</v>
      </c>
      <c r="F2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" s="6" t="str">
        <f>IFERROR(INDEX(Professor[Full/Part-time],MATCH(Course[[#This Row],[Professor]],Professor[Name],0)),"")</f>
        <v>F</v>
      </c>
      <c r="H2" t="s">
        <v>29</v>
      </c>
      <c r="I2" s="9">
        <f>COUNTIF(Course[Course],Course[[#This Row],[Course]])</f>
        <v>4</v>
      </c>
      <c r="J2" s="9"/>
    </row>
    <row r="3" spans="1:10" x14ac:dyDescent="0.25">
      <c r="A3" t="str">
        <f>Course[[#This Row],[Course]]&amp; " "&amp;Course[[#This Row],[Session]]</f>
        <v>FIN100 200</v>
      </c>
      <c r="B3" s="7" t="s">
        <v>6</v>
      </c>
      <c r="C3" s="7">
        <v>200</v>
      </c>
      <c r="D3" s="7" t="s">
        <v>3</v>
      </c>
      <c r="E3" s="6">
        <f>COUNTIF(Professor[[Preference_1]:[Preference_4]],Course[[#This Row],[SessionPK]])</f>
        <v>1</v>
      </c>
      <c r="F3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3" s="6" t="str">
        <f>IFERROR(INDEX(Professor[Full/Part-time],MATCH(Course[[#This Row],[Professor]],Professor[Name],0)),"")</f>
        <v>F</v>
      </c>
      <c r="H3" t="s">
        <v>29</v>
      </c>
      <c r="I3" s="9">
        <f>COUNTIF(Course[Course],Course[[#This Row],[Course]])</f>
        <v>4</v>
      </c>
      <c r="J3" s="9"/>
    </row>
    <row r="4" spans="1:10" x14ac:dyDescent="0.25">
      <c r="A4" t="str">
        <f>Course[[#This Row],[Course]]&amp; " "&amp;Course[[#This Row],[Session]]</f>
        <v>FIN100 300</v>
      </c>
      <c r="B4" s="7" t="s">
        <v>6</v>
      </c>
      <c r="C4" s="7">
        <v>300</v>
      </c>
      <c r="D4" s="7" t="s">
        <v>3</v>
      </c>
      <c r="E4" s="6">
        <f>COUNTIF(Professor[[Preference_1]:[Preference_4]],Course[[#This Row],[SessionPK]])</f>
        <v>1</v>
      </c>
      <c r="F4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4" s="6" t="str">
        <f>IFERROR(INDEX(Professor[Full/Part-time],MATCH(Course[[#This Row],[Professor]],Professor[Name],0)),"")</f>
        <v>F</v>
      </c>
      <c r="H4" t="s">
        <v>29</v>
      </c>
      <c r="I4" s="9">
        <f>COUNTIF(Course[Course],Course[[#This Row],[Course]])</f>
        <v>4</v>
      </c>
      <c r="J4" s="9"/>
    </row>
    <row r="5" spans="1:10" x14ac:dyDescent="0.25">
      <c r="A5" t="str">
        <f>Course[[#This Row],[Course]]&amp; " "&amp;Course[[#This Row],[Session]]</f>
        <v>FIN100 400</v>
      </c>
      <c r="B5" s="7" t="s">
        <v>6</v>
      </c>
      <c r="C5" s="7">
        <v>400</v>
      </c>
      <c r="D5" s="7" t="s">
        <v>3</v>
      </c>
      <c r="E5" s="6">
        <f>COUNTIF(Professor[[Preference_1]:[Preference_4]],Course[[#This Row],[SessionPK]])</f>
        <v>1</v>
      </c>
      <c r="F5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5" s="6" t="str">
        <f>IFERROR(INDEX(Professor[Full/Part-time],MATCH(Course[[#This Row],[Professor]],Professor[Name],0)),"")</f>
        <v>F</v>
      </c>
      <c r="H5" t="s">
        <v>29</v>
      </c>
      <c r="I5" s="9">
        <f>COUNTIF(Course[Course],Course[[#This Row],[Course]])</f>
        <v>4</v>
      </c>
      <c r="J5" s="9"/>
    </row>
    <row r="6" spans="1:10" x14ac:dyDescent="0.25">
      <c r="A6" t="str">
        <f>Course[[#This Row],[Course]]&amp; " "&amp;Course[[#This Row],[Session]]</f>
        <v>FIN200 100</v>
      </c>
      <c r="B6" s="7" t="s">
        <v>7</v>
      </c>
      <c r="C6" s="7">
        <v>100</v>
      </c>
      <c r="D6" s="7" t="s">
        <v>3</v>
      </c>
      <c r="E6" s="6">
        <f>COUNTIF(Professor[[Preference_1]:[Preference_4]],Course[[#This Row],[SessionPK]])</f>
        <v>1</v>
      </c>
      <c r="F6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6" s="6" t="str">
        <f>IFERROR(INDEX(Professor[Full/Part-time],MATCH(Course[[#This Row],[Professor]],Professor[Name],0)),"")</f>
        <v>F</v>
      </c>
      <c r="H6" t="s">
        <v>34</v>
      </c>
      <c r="I6" s="9">
        <f>COUNTIF(Course[Course],Course[[#This Row],[Course]])</f>
        <v>4</v>
      </c>
      <c r="J6" s="9"/>
    </row>
    <row r="7" spans="1:10" x14ac:dyDescent="0.25">
      <c r="A7" t="str">
        <f>Course[[#This Row],[Course]]&amp; " "&amp;Course[[#This Row],[Session]]</f>
        <v>FIN200 200</v>
      </c>
      <c r="B7" s="7" t="s">
        <v>7</v>
      </c>
      <c r="C7" s="7">
        <v>200</v>
      </c>
      <c r="D7" s="7" t="s">
        <v>3</v>
      </c>
      <c r="E7" s="6">
        <f>COUNTIF(Professor[[Preference_1]:[Preference_4]],Course[[#This Row],[SessionPK]])</f>
        <v>1</v>
      </c>
      <c r="F7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7" s="6" t="str">
        <f>IFERROR(INDEX(Professor[Full/Part-time],MATCH(Course[[#This Row],[Professor]],Professor[Name],0)),"")</f>
        <v>F</v>
      </c>
      <c r="H7" t="s">
        <v>34</v>
      </c>
      <c r="I7" s="9">
        <f>COUNTIF(Course[Course],Course[[#This Row],[Course]])</f>
        <v>4</v>
      </c>
      <c r="J7" s="9"/>
    </row>
    <row r="8" spans="1:10" x14ac:dyDescent="0.25">
      <c r="A8" t="str">
        <f>Course[[#This Row],[Course]]&amp; " "&amp;Course[[#This Row],[Session]]</f>
        <v>FIN200 300</v>
      </c>
      <c r="B8" s="8" t="s">
        <v>7</v>
      </c>
      <c r="C8" s="8">
        <v>300</v>
      </c>
      <c r="D8" s="8" t="s">
        <v>3</v>
      </c>
      <c r="E8" s="6">
        <f>COUNTIF(Professor[[Preference_1]:[Preference_4]],Course[[#This Row],[SessionPK]])</f>
        <v>1</v>
      </c>
      <c r="F8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8" s="6" t="str">
        <f>IFERROR(INDEX(Professor[Full/Part-time],MATCH(Course[[#This Row],[Professor]],Professor[Name],0)),"")</f>
        <v>F</v>
      </c>
      <c r="H8" t="s">
        <v>34</v>
      </c>
      <c r="I8" s="9">
        <f>COUNTIF(Course[Course],Course[[#This Row],[Course]])</f>
        <v>4</v>
      </c>
      <c r="J8" s="9"/>
    </row>
    <row r="9" spans="1:10" x14ac:dyDescent="0.25">
      <c r="A9" t="str">
        <f>Course[[#This Row],[Course]]&amp; " "&amp;Course[[#This Row],[Session]]</f>
        <v>FIN200 400</v>
      </c>
      <c r="B9" s="8" t="s">
        <v>7</v>
      </c>
      <c r="C9" s="8">
        <v>400</v>
      </c>
      <c r="D9" s="8" t="s">
        <v>3</v>
      </c>
      <c r="E9" s="6">
        <f>COUNTIF(Professor[[Preference_1]:[Preference_4]],Course[[#This Row],[SessionPK]])</f>
        <v>1</v>
      </c>
      <c r="F9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9" s="6" t="str">
        <f>IFERROR(INDEX(Professor[Full/Part-time],MATCH(Course[[#This Row],[Professor]],Professor[Name],0)),"")</f>
        <v>F</v>
      </c>
      <c r="H9" t="s">
        <v>34</v>
      </c>
      <c r="I9" s="9">
        <f>COUNTIF(Course[Course],Course[[#This Row],[Course]])</f>
        <v>4</v>
      </c>
      <c r="J9" s="9"/>
    </row>
    <row r="10" spans="1:10" x14ac:dyDescent="0.25">
      <c r="A10" t="str">
        <f>Course[[#This Row],[Course]]&amp; " "&amp;Course[[#This Row],[Session]]</f>
        <v>FIN300 100</v>
      </c>
      <c r="B10" s="7" t="s">
        <v>8</v>
      </c>
      <c r="C10" s="7">
        <v>100</v>
      </c>
      <c r="D10" s="7" t="s">
        <v>3</v>
      </c>
      <c r="E10" s="6">
        <f>COUNTIF(Professor[[Preference_1]:[Preference_4]],Course[[#This Row],[SessionPK]])</f>
        <v>1</v>
      </c>
      <c r="F10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0" s="6" t="str">
        <f>IFERROR(INDEX(Professor[Full/Part-time],MATCH(Course[[#This Row],[Professor]],Professor[Name],0)),"")</f>
        <v>F</v>
      </c>
      <c r="H10" t="s">
        <v>39</v>
      </c>
      <c r="I10" s="9">
        <f>COUNTIF(Course[Course],Course[[#This Row],[Course]])</f>
        <v>4</v>
      </c>
      <c r="J10" s="9"/>
    </row>
    <row r="11" spans="1:10" x14ac:dyDescent="0.25">
      <c r="A11" t="str">
        <f>Course[[#This Row],[Course]]&amp; " "&amp;Course[[#This Row],[Session]]</f>
        <v>FIN300 200</v>
      </c>
      <c r="B11" s="8" t="s">
        <v>8</v>
      </c>
      <c r="C11" s="8">
        <v>200</v>
      </c>
      <c r="D11" s="8" t="s">
        <v>3</v>
      </c>
      <c r="E11" s="6">
        <f>COUNTIF(Professor[[Preference_1]:[Preference_4]],Course[[#This Row],[SessionPK]])</f>
        <v>1</v>
      </c>
      <c r="F11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1" s="6" t="str">
        <f>IFERROR(INDEX(Professor[Full/Part-time],MATCH(Course[[#This Row],[Professor]],Professor[Name],0)),"")</f>
        <v>F</v>
      </c>
      <c r="H11" t="s">
        <v>39</v>
      </c>
      <c r="I11" s="9">
        <f>COUNTIF(Course[Course],Course[[#This Row],[Course]])</f>
        <v>4</v>
      </c>
      <c r="J11" s="9"/>
    </row>
    <row r="12" spans="1:10" x14ac:dyDescent="0.25">
      <c r="A12" t="str">
        <f>Course[[#This Row],[Course]]&amp; " "&amp;Course[[#This Row],[Session]]</f>
        <v>FIN300 300</v>
      </c>
      <c r="B12" s="8" t="s">
        <v>8</v>
      </c>
      <c r="C12" s="8">
        <v>300</v>
      </c>
      <c r="D12" s="8" t="s">
        <v>3</v>
      </c>
      <c r="E12" s="6">
        <f>COUNTIF(Professor[[Preference_1]:[Preference_4]],Course[[#This Row],[SessionPK]])</f>
        <v>1</v>
      </c>
      <c r="F12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2" s="6" t="str">
        <f>IFERROR(INDEX(Professor[Full/Part-time],MATCH(Course[[#This Row],[Professor]],Professor[Name],0)),"")</f>
        <v>F</v>
      </c>
      <c r="H12" t="s">
        <v>39</v>
      </c>
      <c r="I12" s="9">
        <f>COUNTIF(Course[Course],Course[[#This Row],[Course]])</f>
        <v>4</v>
      </c>
      <c r="J12" s="9"/>
    </row>
    <row r="13" spans="1:10" x14ac:dyDescent="0.25">
      <c r="A13" t="str">
        <f>Course[[#This Row],[Course]]&amp; " "&amp;Course[[#This Row],[Session]]</f>
        <v>FIN300 400</v>
      </c>
      <c r="B13" s="7" t="s">
        <v>8</v>
      </c>
      <c r="C13" s="7">
        <v>400</v>
      </c>
      <c r="D13" s="7" t="s">
        <v>3</v>
      </c>
      <c r="E13" s="6">
        <f>COUNTIF(Professor[[Preference_1]:[Preference_4]],Course[[#This Row],[SessionPK]])</f>
        <v>1</v>
      </c>
      <c r="F13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3" s="6" t="str">
        <f>IFERROR(INDEX(Professor[Full/Part-time],MATCH(Course[[#This Row],[Professor]],Professor[Name],0)),"")</f>
        <v>F</v>
      </c>
      <c r="H13" t="s">
        <v>39</v>
      </c>
      <c r="I13" s="9">
        <f>COUNTIF(Course[Course],Course[[#This Row],[Course]])</f>
        <v>4</v>
      </c>
      <c r="J13" s="9"/>
    </row>
    <row r="14" spans="1:10" x14ac:dyDescent="0.25">
      <c r="A14" t="str">
        <f>Course[[#This Row],[Course]]&amp; " "&amp;Course[[#This Row],[Session]]</f>
        <v>FIN400 100</v>
      </c>
      <c r="B14" s="7" t="s">
        <v>9</v>
      </c>
      <c r="C14" s="7">
        <v>100</v>
      </c>
      <c r="D14" s="7" t="s">
        <v>3</v>
      </c>
      <c r="E14" s="6">
        <f>COUNTIF(Professor[[Preference_1]:[Preference_4]],Course[[#This Row],[SessionPK]])</f>
        <v>1</v>
      </c>
      <c r="F14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4" s="6" t="str">
        <f>IFERROR(INDEX(Professor[Full/Part-time],MATCH(Course[[#This Row],[Professor]],Professor[Name],0)),"")</f>
        <v>P</v>
      </c>
      <c r="H14" t="s">
        <v>44</v>
      </c>
      <c r="I14" s="9">
        <f>COUNTIF(Course[Course],Course[[#This Row],[Course]])</f>
        <v>4</v>
      </c>
      <c r="J14" s="9"/>
    </row>
    <row r="15" spans="1:10" x14ac:dyDescent="0.25">
      <c r="A15" t="str">
        <f>Course[[#This Row],[Course]]&amp; " "&amp;Course[[#This Row],[Session]]</f>
        <v>FIN400 200</v>
      </c>
      <c r="B15" s="8" t="s">
        <v>9</v>
      </c>
      <c r="C15" s="8">
        <v>200</v>
      </c>
      <c r="D15" s="8" t="s">
        <v>3</v>
      </c>
      <c r="E15" s="6">
        <f>COUNTIF(Professor[[Preference_1]:[Preference_4]],Course[[#This Row],[SessionPK]])</f>
        <v>1</v>
      </c>
      <c r="F15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5" s="6" t="str">
        <f>IFERROR(INDEX(Professor[Full/Part-time],MATCH(Course[[#This Row],[Professor]],Professor[Name],0)),"")</f>
        <v>P</v>
      </c>
      <c r="H15" t="s">
        <v>44</v>
      </c>
      <c r="I15" s="9">
        <f>COUNTIF(Course[Course],Course[[#This Row],[Course]])</f>
        <v>4</v>
      </c>
      <c r="J15" s="9"/>
    </row>
    <row r="16" spans="1:10" x14ac:dyDescent="0.25">
      <c r="A16" t="str">
        <f>Course[[#This Row],[Course]]&amp; " "&amp;Course[[#This Row],[Session]]</f>
        <v>FIN400 300</v>
      </c>
      <c r="B16" s="8" t="s">
        <v>9</v>
      </c>
      <c r="C16" s="8">
        <v>300</v>
      </c>
      <c r="D16" s="8" t="s">
        <v>3</v>
      </c>
      <c r="E16" s="6">
        <f>COUNTIF(Professor[[Preference_1]:[Preference_4]],Course[[#This Row],[SessionPK]])</f>
        <v>1</v>
      </c>
      <c r="F16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6" s="6" t="str">
        <f>IFERROR(INDEX(Professor[Full/Part-time],MATCH(Course[[#This Row],[Professor]],Professor[Name],0)),"")</f>
        <v>P</v>
      </c>
      <c r="H16" t="s">
        <v>44</v>
      </c>
      <c r="I16" s="9">
        <f>COUNTIF(Course[Course],Course[[#This Row],[Course]])</f>
        <v>4</v>
      </c>
      <c r="J16" s="9"/>
    </row>
    <row r="17" spans="1:24" x14ac:dyDescent="0.25">
      <c r="A17" t="str">
        <f>Course[[#This Row],[Course]]&amp; " "&amp;Course[[#This Row],[Session]]</f>
        <v>FIN400 400</v>
      </c>
      <c r="B17" s="7" t="s">
        <v>9</v>
      </c>
      <c r="C17" s="7">
        <v>400</v>
      </c>
      <c r="D17" s="7" t="s">
        <v>3</v>
      </c>
      <c r="E17" s="6">
        <f>COUNTIF(Professor[[Preference_1]:[Preference_4]],Course[[#This Row],[SessionPK]])</f>
        <v>1</v>
      </c>
      <c r="F17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7" s="6" t="str">
        <f>IFERROR(INDEX(Professor[Full/Part-time],MATCH(Course[[#This Row],[Professor]],Professor[Name],0)),"")</f>
        <v>P</v>
      </c>
      <c r="H17" t="s">
        <v>44</v>
      </c>
      <c r="I17" s="9">
        <f>COUNTIF(Course[Course],Course[[#This Row],[Course]])</f>
        <v>4</v>
      </c>
      <c r="J17" s="9"/>
    </row>
    <row r="18" spans="1:24" x14ac:dyDescent="0.25">
      <c r="A18" t="str">
        <f>Course[[#This Row],[Course]]&amp; " "&amp;Course[[#This Row],[Session]]</f>
        <v>FIN500 100</v>
      </c>
      <c r="B18" s="7" t="s">
        <v>10</v>
      </c>
      <c r="C18" s="7">
        <v>100</v>
      </c>
      <c r="D18" s="7" t="s">
        <v>3</v>
      </c>
      <c r="E18" s="6">
        <f>COUNTIF(Professor[[Preference_1]:[Preference_4]],Course[[#This Row],[SessionPK]])</f>
        <v>1</v>
      </c>
      <c r="F18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8" s="6" t="str">
        <f>IFERROR(INDEX(Professor[Full/Part-time],MATCH(Course[[#This Row],[Professor]],Professor[Name],0)),"")</f>
        <v>F</v>
      </c>
      <c r="H18" t="s">
        <v>50</v>
      </c>
      <c r="I18" s="9">
        <f>COUNTIF(Course[Course],Course[[#This Row],[Course]])</f>
        <v>4</v>
      </c>
      <c r="J18" s="9"/>
    </row>
    <row r="19" spans="1:24" x14ac:dyDescent="0.25">
      <c r="A19" t="str">
        <f>Course[[#This Row],[Course]]&amp; " "&amp;Course[[#This Row],[Session]]</f>
        <v>FIN500 200</v>
      </c>
      <c r="B19" s="7" t="s">
        <v>10</v>
      </c>
      <c r="C19" s="7">
        <v>200</v>
      </c>
      <c r="D19" s="7" t="s">
        <v>3</v>
      </c>
      <c r="E19" s="6">
        <f>COUNTIF(Professor[[Preference_1]:[Preference_4]],Course[[#This Row],[SessionPK]])</f>
        <v>1</v>
      </c>
      <c r="F19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19" s="6" t="str">
        <f>IFERROR(INDEX(Professor[Full/Part-time],MATCH(Course[[#This Row],[Professor]],Professor[Name],0)),"")</f>
        <v>F</v>
      </c>
      <c r="H19" t="s">
        <v>50</v>
      </c>
      <c r="I19" s="9">
        <f>COUNTIF(Course[Course],Course[[#This Row],[Course]])</f>
        <v>4</v>
      </c>
      <c r="J19" s="9"/>
    </row>
    <row r="20" spans="1:24" x14ac:dyDescent="0.25">
      <c r="A20" t="str">
        <f>Course[[#This Row],[Course]]&amp; " "&amp;Course[[#This Row],[Session]]</f>
        <v>FIN500 300</v>
      </c>
      <c r="B20" s="7" t="s">
        <v>10</v>
      </c>
      <c r="C20" s="7">
        <v>300</v>
      </c>
      <c r="D20" s="7" t="s">
        <v>3</v>
      </c>
      <c r="E20" s="6">
        <f>COUNTIF(Professor[[Preference_1]:[Preference_4]],Course[[#This Row],[SessionPK]])</f>
        <v>1</v>
      </c>
      <c r="F20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0" s="6" t="str">
        <f>IFERROR(INDEX(Professor[Full/Part-time],MATCH(Course[[#This Row],[Professor]],Professor[Name],0)),"")</f>
        <v>F</v>
      </c>
      <c r="H20" t="s">
        <v>50</v>
      </c>
      <c r="I20" s="9">
        <f>COUNTIF(Course[Course],Course[[#This Row],[Course]])</f>
        <v>4</v>
      </c>
      <c r="J20" s="9"/>
    </row>
    <row r="21" spans="1:24" x14ac:dyDescent="0.25">
      <c r="A21" t="str">
        <f>Course[[#This Row],[Course]]&amp; " "&amp;Course[[#This Row],[Session]]</f>
        <v>FIN500 400</v>
      </c>
      <c r="B21" s="7" t="s">
        <v>10</v>
      </c>
      <c r="C21" s="7">
        <v>400</v>
      </c>
      <c r="D21" s="7" t="s">
        <v>3</v>
      </c>
      <c r="E21" s="6">
        <f>COUNTIF(Professor[[Preference_1]:[Preference_4]],Course[[#This Row],[SessionPK]])</f>
        <v>1</v>
      </c>
      <c r="F21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1" s="6" t="str">
        <f>IFERROR(INDEX(Professor[Full/Part-time],MATCH(Course[[#This Row],[Professor]],Professor[Name],0)),"")</f>
        <v>F</v>
      </c>
      <c r="H21" t="s">
        <v>50</v>
      </c>
      <c r="I21" s="9">
        <f>COUNTIF(Course[Course],Course[[#This Row],[Course]])</f>
        <v>4</v>
      </c>
      <c r="J21" s="9"/>
    </row>
    <row r="22" spans="1:24" x14ac:dyDescent="0.25">
      <c r="A22" t="str">
        <f>Course[[#This Row],[Course]]&amp; " "&amp;Course[[#This Row],[Session]]</f>
        <v>CS100 100</v>
      </c>
      <c r="B22" s="7" t="s">
        <v>11</v>
      </c>
      <c r="C22" s="7">
        <v>100</v>
      </c>
      <c r="D22" s="7" t="s">
        <v>5</v>
      </c>
      <c r="E22" s="6">
        <f>COUNTIF(Professor[[Preference_1]:[Preference_4]],Course[[#This Row],[SessionPK]])</f>
        <v>1</v>
      </c>
      <c r="F22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2" s="6" t="str">
        <f>IFERROR(INDEX(Professor[Full/Part-time],MATCH(Course[[#This Row],[Professor]],Professor[Name],0)),"")</f>
        <v>F</v>
      </c>
      <c r="H22" t="s">
        <v>55</v>
      </c>
      <c r="I22" s="9">
        <f>COUNTIF(Course[Course],Course[[#This Row],[Course]])</f>
        <v>1</v>
      </c>
      <c r="J22" s="9"/>
    </row>
    <row r="23" spans="1:24" x14ac:dyDescent="0.25">
      <c r="A23" t="str">
        <f>Course[[#This Row],[Course]]&amp; " "&amp;Course[[#This Row],[Session]]</f>
        <v>CS200 100</v>
      </c>
      <c r="B23" s="7" t="s">
        <v>12</v>
      </c>
      <c r="C23" s="7">
        <v>100</v>
      </c>
      <c r="D23" s="7" t="s">
        <v>5</v>
      </c>
      <c r="E23" s="6">
        <f>COUNTIF(Professor[[Preference_1]:[Preference_4]],Course[[#This Row],[SessionPK]])</f>
        <v>1</v>
      </c>
      <c r="F23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3" s="6" t="str">
        <f>IFERROR(INDEX(Professor[Full/Part-time],MATCH(Course[[#This Row],[Professor]],Professor[Name],0)),"")</f>
        <v>F</v>
      </c>
      <c r="H23" t="s">
        <v>55</v>
      </c>
      <c r="I23" s="9">
        <f>COUNTIF(Course[Course],Course[[#This Row],[Course]])</f>
        <v>1</v>
      </c>
      <c r="J23" s="9"/>
    </row>
    <row r="24" spans="1:24" x14ac:dyDescent="0.25">
      <c r="A24" t="str">
        <f>Course[[#This Row],[Course]]&amp; " "&amp;Course[[#This Row],[Session]]</f>
        <v>CS300 100</v>
      </c>
      <c r="B24" s="7" t="s">
        <v>13</v>
      </c>
      <c r="C24" s="7">
        <v>100</v>
      </c>
      <c r="D24" s="7" t="s">
        <v>5</v>
      </c>
      <c r="E24" s="6">
        <f>COUNTIF(Professor[[Preference_1]:[Preference_4]],Course[[#This Row],[SessionPK]])</f>
        <v>1</v>
      </c>
      <c r="F24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4" s="6" t="str">
        <f>IFERROR(INDEX(Professor[Full/Part-time],MATCH(Course[[#This Row],[Professor]],Professor[Name],0)),"")</f>
        <v>F</v>
      </c>
      <c r="H24" t="s">
        <v>55</v>
      </c>
      <c r="I24" s="9">
        <f>COUNTIF(Course[Course],Course[[#This Row],[Course]])</f>
        <v>1</v>
      </c>
      <c r="J24" s="9"/>
    </row>
    <row r="25" spans="1:24" x14ac:dyDescent="0.25">
      <c r="A25" t="str">
        <f>Course[[#This Row],[Course]]&amp; " "&amp;Course[[#This Row],[Session]]</f>
        <v>CS400 100</v>
      </c>
      <c r="B25" s="7" t="s">
        <v>14</v>
      </c>
      <c r="C25" s="7">
        <v>100</v>
      </c>
      <c r="D25" s="7" t="s">
        <v>5</v>
      </c>
      <c r="E25" s="6">
        <f>COUNTIF(Professor[[Preference_1]:[Preference_4]],Course[[#This Row],[SessionPK]])</f>
        <v>1</v>
      </c>
      <c r="F25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5" s="6" t="str">
        <f>IFERROR(INDEX(Professor[Full/Part-time],MATCH(Course[[#This Row],[Professor]],Professor[Name],0)),"")</f>
        <v>F</v>
      </c>
      <c r="H25" t="s">
        <v>55</v>
      </c>
      <c r="I25" s="9">
        <f>COUNTIF(Course[Course],Course[[#This Row],[Course]])</f>
        <v>1</v>
      </c>
      <c r="J25" s="9"/>
    </row>
    <row r="26" spans="1:24" x14ac:dyDescent="0.25">
      <c r="A26" t="str">
        <f>Course[[#This Row],[Course]]&amp; " "&amp;Course[[#This Row],[Session]]</f>
        <v>CS500 100</v>
      </c>
      <c r="B26" s="7" t="s">
        <v>15</v>
      </c>
      <c r="C26" s="7">
        <v>100</v>
      </c>
      <c r="D26" s="7" t="s">
        <v>5</v>
      </c>
      <c r="E26" s="6">
        <f>COUNTIF(Professor[[Preference_1]:[Preference_4]],Course[[#This Row],[SessionPK]])</f>
        <v>1</v>
      </c>
      <c r="F26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6" s="6" t="str">
        <f>IFERROR(INDEX(Professor[Full/Part-time],MATCH(Course[[#This Row],[Professor]],Professor[Name],0)),"")</f>
        <v>P</v>
      </c>
      <c r="H26" t="s">
        <v>60</v>
      </c>
      <c r="I26" s="9">
        <f>COUNTIF(Course[Course],Course[[#This Row],[Course]])</f>
        <v>1</v>
      </c>
      <c r="J26" s="9"/>
    </row>
    <row r="27" spans="1:24" x14ac:dyDescent="0.25">
      <c r="A27" t="str">
        <f>Course[[#This Row],[Course]]&amp; " "&amp;Course[[#This Row],[Session]]</f>
        <v>CS600 100</v>
      </c>
      <c r="B27" s="7" t="s">
        <v>16</v>
      </c>
      <c r="C27" s="7">
        <v>100</v>
      </c>
      <c r="D27" s="7" t="s">
        <v>5</v>
      </c>
      <c r="E27" s="6">
        <f>COUNTIF(Professor[[Preference_1]:[Preference_4]],Course[[#This Row],[SessionPK]])</f>
        <v>1</v>
      </c>
      <c r="F27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7" s="6" t="str">
        <f>IFERROR(INDEX(Professor[Full/Part-time],MATCH(Course[[#This Row],[Professor]],Professor[Name],0)),"")</f>
        <v>P</v>
      </c>
      <c r="H27" t="s">
        <v>60</v>
      </c>
      <c r="I27" s="9">
        <f>COUNTIF(Course[Course],Course[[#This Row],[Course]])</f>
        <v>1</v>
      </c>
      <c r="J27" s="9"/>
    </row>
    <row r="28" spans="1:24" x14ac:dyDescent="0.25">
      <c r="A28" t="str">
        <f>Course[[#This Row],[Course]]&amp; " "&amp;Course[[#This Row],[Session]]</f>
        <v>CS700 100</v>
      </c>
      <c r="B28" s="7" t="s">
        <v>17</v>
      </c>
      <c r="C28" s="7">
        <v>100</v>
      </c>
      <c r="D28" s="7" t="s">
        <v>5</v>
      </c>
      <c r="E28" s="6">
        <f>COUNTIF(Professor[[Preference_1]:[Preference_4]],Course[[#This Row],[SessionPK]])</f>
        <v>1</v>
      </c>
      <c r="F28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8" s="6" t="str">
        <f>IFERROR(INDEX(Professor[Full/Part-time],MATCH(Course[[#This Row],[Professor]],Professor[Name],0)),"")</f>
        <v>P</v>
      </c>
      <c r="H28" t="s">
        <v>60</v>
      </c>
      <c r="I28" s="9">
        <f>COUNTIF(Course[Course],Course[[#This Row],[Course]])</f>
        <v>1</v>
      </c>
      <c r="J28" s="9"/>
    </row>
    <row r="29" spans="1:24" x14ac:dyDescent="0.25">
      <c r="A29" t="str">
        <f>Course[[#This Row],[Course]]&amp; " "&amp;Course[[#This Row],[Session]]</f>
        <v>CS800 100</v>
      </c>
      <c r="B29" s="7" t="s">
        <v>18</v>
      </c>
      <c r="C29" s="7">
        <v>100</v>
      </c>
      <c r="D29" s="7" t="s">
        <v>5</v>
      </c>
      <c r="E29" s="6">
        <f>COUNTIF(Professor[[Preference_1]:[Preference_4]],Course[[#This Row],[SessionPK]])</f>
        <v>1</v>
      </c>
      <c r="F29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0</v>
      </c>
      <c r="G29" s="6" t="str">
        <f>IFERROR(INDEX(Professor[Full/Part-time],MATCH(Course[[#This Row],[Professor]],Professor[Name],0)),"")</f>
        <v>P</v>
      </c>
      <c r="H29" t="s">
        <v>60</v>
      </c>
      <c r="I29" s="9">
        <f>COUNTIF(Course[Course],Course[[#This Row],[Course]])</f>
        <v>1</v>
      </c>
      <c r="J29" s="9"/>
    </row>
    <row r="30" spans="1:24" x14ac:dyDescent="0.25">
      <c r="A30" t="str">
        <f>Course[[#This Row],[Course]]&amp; " "&amp;Course[[#This Row],[Session]]</f>
        <v>CS900 100</v>
      </c>
      <c r="B30" s="7" t="s">
        <v>19</v>
      </c>
      <c r="C30" s="7">
        <v>100</v>
      </c>
      <c r="D30" s="7" t="s">
        <v>5</v>
      </c>
      <c r="E30" s="6">
        <f>COUNTIF(Professor[[Preference_1]:[Preference_4]],Course[[#This Row],[SessionPK]])</f>
        <v>1</v>
      </c>
      <c r="F30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30" s="6" t="str">
        <f>IFERROR(INDEX(Professor[Full/Part-time],MATCH(Course[[#This Row],[Professor]],Professor[Name],0)),"")</f>
        <v>P</v>
      </c>
      <c r="H30" t="s">
        <v>65</v>
      </c>
      <c r="I30" s="9">
        <f>COUNTIF(Course[Course],Course[[#This Row],[Course]])</f>
        <v>1</v>
      </c>
      <c r="J30" s="9"/>
    </row>
    <row r="31" spans="1:24" x14ac:dyDescent="0.25">
      <c r="A31" t="str">
        <f>Course[[#This Row],[Course]]&amp; " "&amp;Course[[#This Row],[Session]]</f>
        <v>CS901 100</v>
      </c>
      <c r="B31" s="7" t="s">
        <v>20</v>
      </c>
      <c r="C31" s="7">
        <v>100</v>
      </c>
      <c r="D31" s="7" t="s">
        <v>5</v>
      </c>
      <c r="E31" s="6">
        <f>COUNTIF(Professor[[Preference_1]:[Preference_4]],Course[[#This Row],[SessionPK]])</f>
        <v>1</v>
      </c>
      <c r="F31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31" s="6" t="str">
        <f>IFERROR(INDEX(Professor[Full/Part-time],MATCH(Course[[#This Row],[Professor]],Professor[Name],0)),"")</f>
        <v>P</v>
      </c>
      <c r="H31" t="s">
        <v>65</v>
      </c>
      <c r="I31" s="9">
        <f>COUNTIF(Course[Course],Course[[#This Row],[Course]])</f>
        <v>1</v>
      </c>
      <c r="J31" s="9"/>
    </row>
    <row r="32" spans="1:24" x14ac:dyDescent="0.25">
      <c r="A32" t="str">
        <f>Course[[#This Row],[Course]]&amp; " "&amp;Course[[#This Row],[Session]]</f>
        <v>CS902 100</v>
      </c>
      <c r="B32" s="7" t="s">
        <v>21</v>
      </c>
      <c r="C32" s="7">
        <v>100</v>
      </c>
      <c r="D32" s="7" t="s">
        <v>5</v>
      </c>
      <c r="E32" s="6">
        <f>COUNTIF(Professor[[Preference_1]:[Preference_4]],Course[[#This Row],[SessionPK]])</f>
        <v>2</v>
      </c>
      <c r="F32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4</v>
      </c>
      <c r="G32" s="6" t="str">
        <f>IFERROR(INDEX(Professor[Full/Part-time],MATCH(Course[[#This Row],[Professor]],Professor[Name],0)),"")</f>
        <v>P</v>
      </c>
      <c r="H32" t="s">
        <v>70</v>
      </c>
      <c r="I32" s="9">
        <f>COUNTIF(Course[Course],Course[[#This Row],[Course]])</f>
        <v>1</v>
      </c>
      <c r="J32" s="9"/>
      <c r="W32" t="s">
        <v>84</v>
      </c>
      <c r="X32" t="s">
        <v>85</v>
      </c>
    </row>
    <row r="33" spans="1:24" x14ac:dyDescent="0.25">
      <c r="A33" t="str">
        <f>Course[[#This Row],[Course]]&amp; " "&amp;Course[[#This Row],[Session]]</f>
        <v>CS903 100</v>
      </c>
      <c r="B33" s="7" t="s">
        <v>22</v>
      </c>
      <c r="C33" s="7">
        <v>100</v>
      </c>
      <c r="D33" s="7" t="s">
        <v>5</v>
      </c>
      <c r="E33" s="6">
        <f>COUNTIF(Professor[[Preference_1]:[Preference_4]],Course[[#This Row],[SessionPK]])</f>
        <v>1</v>
      </c>
      <c r="F33" s="6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33" s="6" t="str">
        <f>IFERROR(INDEX(Professor[Full/Part-time],MATCH(Course[[#This Row],[Professor]],Professor[Name],0)),"")</f>
        <v>P</v>
      </c>
      <c r="H33" t="s">
        <v>70</v>
      </c>
      <c r="I33" s="9">
        <f>COUNTIF(Course[Course],Course[[#This Row],[Course]])</f>
        <v>1</v>
      </c>
      <c r="J33" s="9"/>
      <c r="W33" t="s">
        <v>84</v>
      </c>
      <c r="X33" t="s">
        <v>85</v>
      </c>
    </row>
    <row r="34" spans="1:24" x14ac:dyDescent="0.25">
      <c r="A34" t="str">
        <f>Course[[#This Row],[Course]]&amp; " "&amp;Course[[#This Row],[Session]]</f>
        <v>MA101 100</v>
      </c>
      <c r="B34" s="7" t="s">
        <v>127</v>
      </c>
      <c r="C34" s="7">
        <v>100</v>
      </c>
      <c r="D34" s="7" t="s">
        <v>3</v>
      </c>
      <c r="E34" s="9">
        <f>COUNTIF(Professor[[Preference_1]:[Preference_4]],Course[[#This Row],[SessionPK]])</f>
        <v>3</v>
      </c>
      <c r="F34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34" s="9" t="str">
        <f>IFERROR(INDEX(Professor[Full/Part-time],MATCH(Course[[#This Row],[Professor]],Professor[Name],0)),"")</f>
        <v>P</v>
      </c>
      <c r="H34" t="s">
        <v>86</v>
      </c>
      <c r="I34" s="9">
        <f>COUNTIF(Course[Course],Course[[#This Row],[Course]])</f>
        <v>1</v>
      </c>
      <c r="J34" s="9"/>
    </row>
    <row r="35" spans="1:24" x14ac:dyDescent="0.25">
      <c r="A35" t="str">
        <f>Course[[#This Row],[Course]]&amp; " "&amp;Course[[#This Row],[Session]]</f>
        <v>MA102 100</v>
      </c>
      <c r="B35" s="7" t="s">
        <v>128</v>
      </c>
      <c r="C35" s="7">
        <v>100</v>
      </c>
      <c r="D35" s="7" t="s">
        <v>3</v>
      </c>
      <c r="E35" s="9">
        <f>COUNTIF(Professor[[Preference_1]:[Preference_4]],Course[[#This Row],[SessionPK]])</f>
        <v>3</v>
      </c>
      <c r="F35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35" s="9" t="str">
        <f>IFERROR(INDEX(Professor[Full/Part-time],MATCH(Course[[#This Row],[Professor]],Professor[Name],0)),"")</f>
        <v>P</v>
      </c>
      <c r="H35" t="s">
        <v>89</v>
      </c>
      <c r="I35" s="9">
        <f>COUNTIF(Course[Course],Course[[#This Row],[Course]])</f>
        <v>1</v>
      </c>
      <c r="J35" s="9"/>
    </row>
    <row r="36" spans="1:24" x14ac:dyDescent="0.25">
      <c r="A36" t="str">
        <f>Course[[#This Row],[Course]]&amp; " "&amp;Course[[#This Row],[Session]]</f>
        <v>MA103 100</v>
      </c>
      <c r="B36" s="7" t="s">
        <v>129</v>
      </c>
      <c r="C36" s="7">
        <v>100</v>
      </c>
      <c r="D36" s="7" t="s">
        <v>3</v>
      </c>
      <c r="E36" s="9">
        <f>COUNTIF(Professor[[Preference_1]:[Preference_4]],Course[[#This Row],[SessionPK]])</f>
        <v>3</v>
      </c>
      <c r="F36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36" s="9" t="str">
        <f>IFERROR(INDEX(Professor[Full/Part-time],MATCH(Course[[#This Row],[Professor]],Professor[Name],0)),"")</f>
        <v>P</v>
      </c>
      <c r="H36" t="s">
        <v>90</v>
      </c>
      <c r="I36" s="9">
        <f>COUNTIF(Course[Course],Course[[#This Row],[Course]])</f>
        <v>1</v>
      </c>
      <c r="J36" s="9"/>
    </row>
    <row r="37" spans="1:24" x14ac:dyDescent="0.25">
      <c r="A37" t="str">
        <f>Course[[#This Row],[Course]]&amp; " "&amp;Course[[#This Row],[Session]]</f>
        <v>MA104 100</v>
      </c>
      <c r="B37" s="7" t="s">
        <v>130</v>
      </c>
      <c r="C37" s="7">
        <v>100</v>
      </c>
      <c r="D37" s="7" t="s">
        <v>3</v>
      </c>
      <c r="E37" s="9">
        <f>COUNTIF(Professor[[Preference_1]:[Preference_4]],Course[[#This Row],[SessionPK]])</f>
        <v>3</v>
      </c>
      <c r="F37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37" s="9" t="str">
        <f>IFERROR(INDEX(Professor[Full/Part-time],MATCH(Course[[#This Row],[Professor]],Professor[Name],0)),"")</f>
        <v>F</v>
      </c>
      <c r="H37" t="s">
        <v>91</v>
      </c>
      <c r="I37" s="9">
        <f>COUNTIF(Course[Course],Course[[#This Row],[Course]])</f>
        <v>1</v>
      </c>
      <c r="J37" s="9"/>
    </row>
    <row r="38" spans="1:24" x14ac:dyDescent="0.25">
      <c r="A38" t="str">
        <f>Course[[#This Row],[Course]]&amp; " "&amp;Course[[#This Row],[Session]]</f>
        <v>MA105 100</v>
      </c>
      <c r="B38" s="7" t="s">
        <v>131</v>
      </c>
      <c r="C38" s="7">
        <v>100</v>
      </c>
      <c r="D38" s="7" t="s">
        <v>3</v>
      </c>
      <c r="E38" s="9">
        <f>COUNTIF(Professor[[Preference_1]:[Preference_4]],Course[[#This Row],[SessionPK]])</f>
        <v>3</v>
      </c>
      <c r="F38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38" s="9" t="str">
        <f>IFERROR(INDEX(Professor[Full/Part-time],MATCH(Course[[#This Row],[Professor]],Professor[Name],0)),"")</f>
        <v>F</v>
      </c>
      <c r="H38" t="s">
        <v>92</v>
      </c>
      <c r="I38" s="9">
        <f>COUNTIF(Course[Course],Course[[#This Row],[Course]])</f>
        <v>1</v>
      </c>
      <c r="J38" s="9"/>
    </row>
    <row r="39" spans="1:24" x14ac:dyDescent="0.25">
      <c r="A39" t="str">
        <f>Course[[#This Row],[Course]]&amp; " "&amp;Course[[#This Row],[Session]]</f>
        <v>MA106 100</v>
      </c>
      <c r="B39" s="7" t="s">
        <v>132</v>
      </c>
      <c r="C39" s="7">
        <v>100</v>
      </c>
      <c r="D39" s="7" t="s">
        <v>3</v>
      </c>
      <c r="E39" s="9">
        <f>COUNTIF(Professor[[Preference_1]:[Preference_4]],Course[[#This Row],[SessionPK]])</f>
        <v>3</v>
      </c>
      <c r="F39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39" s="9" t="str">
        <f>IFERROR(INDEX(Professor[Full/Part-time],MATCH(Course[[#This Row],[Professor]],Professor[Name],0)),"")</f>
        <v>F</v>
      </c>
      <c r="H39" t="s">
        <v>91</v>
      </c>
      <c r="I39" s="9">
        <f>COUNTIF(Course[Course],Course[[#This Row],[Course]])</f>
        <v>1</v>
      </c>
      <c r="J39" s="9"/>
    </row>
    <row r="40" spans="1:24" x14ac:dyDescent="0.25">
      <c r="A40" t="str">
        <f>Course[[#This Row],[Course]]&amp; " "&amp;Course[[#This Row],[Session]]</f>
        <v>MA107 100</v>
      </c>
      <c r="B40" s="7" t="s">
        <v>133</v>
      </c>
      <c r="C40" s="7">
        <v>100</v>
      </c>
      <c r="D40" s="7" t="s">
        <v>3</v>
      </c>
      <c r="E40" s="9">
        <f>COUNTIF(Professor[[Preference_1]:[Preference_4]],Course[[#This Row],[SessionPK]])</f>
        <v>3</v>
      </c>
      <c r="F40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4</v>
      </c>
      <c r="G40" s="9" t="str">
        <f>IFERROR(INDEX(Professor[Full/Part-time],MATCH(Course[[#This Row],[Professor]],Professor[Name],0)),"")</f>
        <v>F</v>
      </c>
      <c r="H40" t="s">
        <v>92</v>
      </c>
      <c r="I40" s="9">
        <f>COUNTIF(Course[Course],Course[[#This Row],[Course]])</f>
        <v>1</v>
      </c>
      <c r="J40" s="9"/>
    </row>
    <row r="41" spans="1:24" x14ac:dyDescent="0.25">
      <c r="A41" t="str">
        <f>Course[[#This Row],[Course]]&amp; " "&amp;Course[[#This Row],[Session]]</f>
        <v>MA108 100</v>
      </c>
      <c r="B41" s="7" t="s">
        <v>134</v>
      </c>
      <c r="C41" s="7">
        <v>100</v>
      </c>
      <c r="D41" s="7" t="s">
        <v>3</v>
      </c>
      <c r="E41" s="9">
        <f>COUNTIF(Professor[[Preference_1]:[Preference_4]],Course[[#This Row],[SessionPK]])</f>
        <v>3</v>
      </c>
      <c r="F41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41" s="9" t="str">
        <f>IFERROR(INDEX(Professor[Full/Part-time],MATCH(Course[[#This Row],[Professor]],Professor[Name],0)),"")</f>
        <v>F</v>
      </c>
      <c r="H41" t="s">
        <v>93</v>
      </c>
      <c r="I41" s="9">
        <f>COUNTIF(Course[Course],Course[[#This Row],[Course]])</f>
        <v>1</v>
      </c>
      <c r="J41" s="9"/>
    </row>
    <row r="42" spans="1:24" x14ac:dyDescent="0.25">
      <c r="A42" t="str">
        <f>Course[[#This Row],[Course]]&amp; " "&amp;Course[[#This Row],[Session]]</f>
        <v>MA109 100</v>
      </c>
      <c r="B42" s="7" t="s">
        <v>135</v>
      </c>
      <c r="C42" s="7">
        <v>100</v>
      </c>
      <c r="D42" s="7" t="s">
        <v>3</v>
      </c>
      <c r="E42" s="9">
        <f>COUNTIF(Professor[[Preference_1]:[Preference_4]],Course[[#This Row],[SessionPK]])</f>
        <v>3</v>
      </c>
      <c r="F42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42" s="9" t="str">
        <f>IFERROR(INDEX(Professor[Full/Part-time],MATCH(Course[[#This Row],[Professor]],Professor[Name],0)),"")</f>
        <v>F</v>
      </c>
      <c r="H42" t="s">
        <v>96</v>
      </c>
      <c r="I42" s="9">
        <f>COUNTIF(Course[Course],Course[[#This Row],[Course]])</f>
        <v>1</v>
      </c>
      <c r="J42" s="9"/>
    </row>
    <row r="43" spans="1:24" x14ac:dyDescent="0.25">
      <c r="A43" t="str">
        <f>Course[[#This Row],[Course]]&amp; " "&amp;Course[[#This Row],[Session]]</f>
        <v>MA110 100</v>
      </c>
      <c r="B43" s="7" t="s">
        <v>136</v>
      </c>
      <c r="C43" s="7">
        <v>100</v>
      </c>
      <c r="D43" s="7" t="s">
        <v>3</v>
      </c>
      <c r="E43" s="9">
        <f>COUNTIF(Professor[[Preference_1]:[Preference_4]],Course[[#This Row],[SessionPK]])</f>
        <v>3</v>
      </c>
      <c r="F43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5</v>
      </c>
      <c r="G43" s="9" t="str">
        <f>IFERROR(INDEX(Professor[Full/Part-time],MATCH(Course[[#This Row],[Professor]],Professor[Name],0)),"")</f>
        <v>F</v>
      </c>
      <c r="H43" t="s">
        <v>114</v>
      </c>
      <c r="I43" s="9">
        <f>COUNTIF(Course[Course],Course[[#This Row],[Course]])</f>
        <v>1</v>
      </c>
      <c r="J43" s="9"/>
    </row>
    <row r="44" spans="1:24" x14ac:dyDescent="0.25">
      <c r="A44" t="str">
        <f>Course[[#This Row],[Course]]&amp; " "&amp;Course[[#This Row],[Session]]</f>
        <v>MA111 100</v>
      </c>
      <c r="B44" s="7" t="s">
        <v>137</v>
      </c>
      <c r="C44" s="7">
        <v>100</v>
      </c>
      <c r="D44" s="7" t="s">
        <v>3</v>
      </c>
      <c r="E44" s="9">
        <f>COUNTIF(Professor[[Preference_1]:[Preference_4]],Course[[#This Row],[SessionPK]])</f>
        <v>3</v>
      </c>
      <c r="F44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44" s="9" t="str">
        <f>IFERROR(INDEX(Professor[Full/Part-time],MATCH(Course[[#This Row],[Professor]],Professor[Name],0)),"")</f>
        <v>F</v>
      </c>
      <c r="H44" t="s">
        <v>98</v>
      </c>
      <c r="I44" s="9">
        <f>COUNTIF(Course[Course],Course[[#This Row],[Course]])</f>
        <v>1</v>
      </c>
      <c r="J44" s="9"/>
    </row>
    <row r="45" spans="1:24" x14ac:dyDescent="0.25">
      <c r="A45" t="str">
        <f>Course[[#This Row],[Course]]&amp; " "&amp;Course[[#This Row],[Session]]</f>
        <v>MA112 100</v>
      </c>
      <c r="B45" s="7" t="s">
        <v>138</v>
      </c>
      <c r="C45" s="7">
        <v>100</v>
      </c>
      <c r="D45" s="7" t="s">
        <v>3</v>
      </c>
      <c r="E45" s="9">
        <f>COUNTIF(Professor[[Preference_1]:[Preference_4]],Course[[#This Row],[SessionPK]])</f>
        <v>1</v>
      </c>
      <c r="F45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45" s="9" t="str">
        <f>IFERROR(INDEX(Professor[Full/Part-time],MATCH(Course[[#This Row],[Professor]],Professor[Name],0)),"")</f>
        <v>F</v>
      </c>
      <c r="H45" t="s">
        <v>97</v>
      </c>
      <c r="I45" s="9">
        <f>COUNTIF(Course[Course],Course[[#This Row],[Course]])</f>
        <v>1</v>
      </c>
      <c r="J45" s="9"/>
    </row>
    <row r="46" spans="1:24" x14ac:dyDescent="0.25">
      <c r="A46" t="str">
        <f>Course[[#This Row],[Course]]&amp; " "&amp;Course[[#This Row],[Session]]</f>
        <v>MA113 100</v>
      </c>
      <c r="B46" s="7" t="s">
        <v>139</v>
      </c>
      <c r="C46" s="7">
        <v>100</v>
      </c>
      <c r="D46" s="7" t="s">
        <v>3</v>
      </c>
      <c r="E46" s="9">
        <f>COUNTIF(Professor[[Preference_1]:[Preference_4]],Course[[#This Row],[SessionPK]])</f>
        <v>1</v>
      </c>
      <c r="F46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46" s="9" t="str">
        <f>IFERROR(INDEX(Professor[Full/Part-time],MATCH(Course[[#This Row],[Professor]],Professor[Name],0)),"")</f>
        <v>F</v>
      </c>
      <c r="H46" t="s">
        <v>98</v>
      </c>
      <c r="I46" s="9">
        <f>COUNTIF(Course[Course],Course[[#This Row],[Course]])</f>
        <v>1</v>
      </c>
      <c r="J46" s="9"/>
    </row>
    <row r="47" spans="1:24" x14ac:dyDescent="0.25">
      <c r="A47" t="str">
        <f>Course[[#This Row],[Course]]&amp; " "&amp;Course[[#This Row],[Session]]</f>
        <v>MA114 100</v>
      </c>
      <c r="B47" s="7" t="s">
        <v>140</v>
      </c>
      <c r="C47" s="7">
        <v>100</v>
      </c>
      <c r="D47" s="7" t="s">
        <v>3</v>
      </c>
      <c r="E47" s="9">
        <f>COUNTIF(Professor[[Preference_1]:[Preference_4]],Course[[#This Row],[SessionPK]])</f>
        <v>1</v>
      </c>
      <c r="F47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47" s="9" t="str">
        <f>IFERROR(INDEX(Professor[Full/Part-time],MATCH(Course[[#This Row],[Professor]],Professor[Name],0)),"")</f>
        <v>F</v>
      </c>
      <c r="H47" t="s">
        <v>99</v>
      </c>
      <c r="I47" s="9">
        <f>COUNTIF(Course[Course],Course[[#This Row],[Course]])</f>
        <v>1</v>
      </c>
      <c r="J47" s="9"/>
    </row>
    <row r="48" spans="1:24" x14ac:dyDescent="0.25">
      <c r="A48" t="str">
        <f>Course[[#This Row],[Course]]&amp; " "&amp;Course[[#This Row],[Session]]</f>
        <v>MA115 100</v>
      </c>
      <c r="B48" s="7" t="s">
        <v>141</v>
      </c>
      <c r="C48" s="7">
        <v>100</v>
      </c>
      <c r="D48" s="7" t="s">
        <v>3</v>
      </c>
      <c r="E48" s="9">
        <f>COUNTIF(Professor[[Preference_1]:[Preference_4]],Course[[#This Row],[SessionPK]])</f>
        <v>1</v>
      </c>
      <c r="F48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48" s="9" t="str">
        <f>IFERROR(INDEX(Professor[Full/Part-time],MATCH(Course[[#This Row],[Professor]],Professor[Name],0)),"")</f>
        <v>F</v>
      </c>
      <c r="H48" t="s">
        <v>100</v>
      </c>
      <c r="I48" s="9">
        <f>COUNTIF(Course[Course],Course[[#This Row],[Course]])</f>
        <v>1</v>
      </c>
      <c r="J48" s="9"/>
    </row>
    <row r="49" spans="1:10" x14ac:dyDescent="0.25">
      <c r="A49" t="str">
        <f>Course[[#This Row],[Course]]&amp; " "&amp;Course[[#This Row],[Session]]</f>
        <v>MA116 100</v>
      </c>
      <c r="B49" s="7" t="s">
        <v>142</v>
      </c>
      <c r="C49" s="7">
        <v>100</v>
      </c>
      <c r="D49" s="7" t="s">
        <v>3</v>
      </c>
      <c r="E49" s="9">
        <f>COUNTIF(Professor[[Preference_1]:[Preference_4]],Course[[#This Row],[SessionPK]])</f>
        <v>1</v>
      </c>
      <c r="F49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49" s="9" t="str">
        <f>IFERROR(INDEX(Professor[Full/Part-time],MATCH(Course[[#This Row],[Professor]],Professor[Name],0)),"")</f>
        <v>F</v>
      </c>
      <c r="H49" t="s">
        <v>101</v>
      </c>
      <c r="I49" s="9">
        <f>COUNTIF(Course[Course],Course[[#This Row],[Course]])</f>
        <v>1</v>
      </c>
      <c r="J49" s="9"/>
    </row>
    <row r="50" spans="1:10" x14ac:dyDescent="0.25">
      <c r="A50" t="str">
        <f>Course[[#This Row],[Course]]&amp; " "&amp;Course[[#This Row],[Session]]</f>
        <v>MA117 100</v>
      </c>
      <c r="B50" s="7" t="s">
        <v>143</v>
      </c>
      <c r="C50" s="7">
        <v>100</v>
      </c>
      <c r="D50" s="7" t="s">
        <v>3</v>
      </c>
      <c r="E50" s="9">
        <f>COUNTIF(Professor[[Preference_1]:[Preference_4]],Course[[#This Row],[SessionPK]])</f>
        <v>1</v>
      </c>
      <c r="F50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0" s="9" t="str">
        <f>IFERROR(INDEX(Professor[Full/Part-time],MATCH(Course[[#This Row],[Professor]],Professor[Name],0)),"")</f>
        <v>F</v>
      </c>
      <c r="H50" t="s">
        <v>102</v>
      </c>
      <c r="I50" s="9">
        <f>COUNTIF(Course[Course],Course[[#This Row],[Course]])</f>
        <v>1</v>
      </c>
      <c r="J50" s="9"/>
    </row>
    <row r="51" spans="1:10" x14ac:dyDescent="0.25">
      <c r="A51" t="str">
        <f>Course[[#This Row],[Course]]&amp; " "&amp;Course[[#This Row],[Session]]</f>
        <v>MA118 100</v>
      </c>
      <c r="B51" s="7" t="s">
        <v>144</v>
      </c>
      <c r="C51" s="7">
        <v>100</v>
      </c>
      <c r="D51" s="7" t="s">
        <v>3</v>
      </c>
      <c r="E51" s="9">
        <f>COUNTIF(Professor[[Preference_1]:[Preference_4]],Course[[#This Row],[SessionPK]])</f>
        <v>1</v>
      </c>
      <c r="F51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1" s="9" t="str">
        <f>IFERROR(INDEX(Professor[Full/Part-time],MATCH(Course[[#This Row],[Professor]],Professor[Name],0)),"")</f>
        <v>F</v>
      </c>
      <c r="H51" t="s">
        <v>103</v>
      </c>
      <c r="I51" s="9">
        <f>COUNTIF(Course[Course],Course[[#This Row],[Course]])</f>
        <v>1</v>
      </c>
      <c r="J51" s="9"/>
    </row>
    <row r="52" spans="1:10" x14ac:dyDescent="0.25">
      <c r="A52" t="str">
        <f>Course[[#This Row],[Course]]&amp; " "&amp;Course[[#This Row],[Session]]</f>
        <v>MA119 100</v>
      </c>
      <c r="B52" s="7" t="s">
        <v>145</v>
      </c>
      <c r="C52" s="7">
        <v>100</v>
      </c>
      <c r="D52" s="7" t="s">
        <v>3</v>
      </c>
      <c r="E52" s="9">
        <f>COUNTIF(Professor[[Preference_1]:[Preference_4]],Course[[#This Row],[SessionPK]])</f>
        <v>1</v>
      </c>
      <c r="F52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2" s="9" t="str">
        <f>IFERROR(INDEX(Professor[Full/Part-time],MATCH(Course[[#This Row],[Professor]],Professor[Name],0)),"")</f>
        <v>F</v>
      </c>
      <c r="H52" t="s">
        <v>104</v>
      </c>
      <c r="I52" s="9">
        <f>COUNTIF(Course[Course],Course[[#This Row],[Course]])</f>
        <v>1</v>
      </c>
      <c r="J52" s="9"/>
    </row>
    <row r="53" spans="1:10" x14ac:dyDescent="0.25">
      <c r="A53" t="str">
        <f>Course[[#This Row],[Course]]&amp; " "&amp;Course[[#This Row],[Session]]</f>
        <v>MA120 100</v>
      </c>
      <c r="B53" s="7" t="s">
        <v>146</v>
      </c>
      <c r="C53" s="7">
        <v>100</v>
      </c>
      <c r="D53" s="7" t="s">
        <v>3</v>
      </c>
      <c r="E53" s="9">
        <f>COUNTIF(Professor[[Preference_1]:[Preference_4]],Course[[#This Row],[SessionPK]])</f>
        <v>1</v>
      </c>
      <c r="F53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3" s="9" t="str">
        <f>IFERROR(INDEX(Professor[Full/Part-time],MATCH(Course[[#This Row],[Professor]],Professor[Name],0)),"")</f>
        <v>F</v>
      </c>
      <c r="H53" t="s">
        <v>105</v>
      </c>
      <c r="I53" s="9">
        <f>COUNTIF(Course[Course],Course[[#This Row],[Course]])</f>
        <v>1</v>
      </c>
      <c r="J53" s="9"/>
    </row>
    <row r="54" spans="1:10" x14ac:dyDescent="0.25">
      <c r="A54" t="str">
        <f>Course[[#This Row],[Course]]&amp; " "&amp;Course[[#This Row],[Session]]</f>
        <v>MA121 100</v>
      </c>
      <c r="B54" s="7" t="s">
        <v>147</v>
      </c>
      <c r="C54" s="7">
        <v>100</v>
      </c>
      <c r="D54" s="7" t="s">
        <v>3</v>
      </c>
      <c r="E54" s="9">
        <f>COUNTIF(Professor[[Preference_1]:[Preference_4]],Course[[#This Row],[SessionPK]])</f>
        <v>1</v>
      </c>
      <c r="F54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54" s="9" t="str">
        <f>IFERROR(INDEX(Professor[Full/Part-time],MATCH(Course[[#This Row],[Professor]],Professor[Name],0)),"")</f>
        <v>F</v>
      </c>
      <c r="H54" t="s">
        <v>106</v>
      </c>
      <c r="I54" s="9">
        <f>COUNTIF(Course[Course],Course[[#This Row],[Course]])</f>
        <v>1</v>
      </c>
      <c r="J54" s="9"/>
    </row>
    <row r="55" spans="1:10" x14ac:dyDescent="0.25">
      <c r="A55" t="str">
        <f>Course[[#This Row],[Course]]&amp; " "&amp;Course[[#This Row],[Session]]</f>
        <v>MA122 100</v>
      </c>
      <c r="B55" s="7" t="s">
        <v>148</v>
      </c>
      <c r="C55" s="7">
        <v>100</v>
      </c>
      <c r="D55" s="7" t="s">
        <v>3</v>
      </c>
      <c r="E55" s="9">
        <f>COUNTIF(Professor[[Preference_1]:[Preference_4]],Course[[#This Row],[SessionPK]])</f>
        <v>1</v>
      </c>
      <c r="F55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55" s="9" t="str">
        <f>IFERROR(INDEX(Professor[Full/Part-time],MATCH(Course[[#This Row],[Professor]],Professor[Name],0)),"")</f>
        <v>F</v>
      </c>
      <c r="H55" t="s">
        <v>107</v>
      </c>
      <c r="I55" s="9">
        <f>COUNTIF(Course[Course],Course[[#This Row],[Course]])</f>
        <v>1</v>
      </c>
      <c r="J55" s="9"/>
    </row>
    <row r="56" spans="1:10" x14ac:dyDescent="0.25">
      <c r="A56" t="str">
        <f>Course[[#This Row],[Course]]&amp; " "&amp;Course[[#This Row],[Session]]</f>
        <v>MA123 100</v>
      </c>
      <c r="B56" s="7" t="s">
        <v>149</v>
      </c>
      <c r="C56" s="7">
        <v>100</v>
      </c>
      <c r="D56" s="7" t="s">
        <v>3</v>
      </c>
      <c r="E56" s="9">
        <f>COUNTIF(Professor[[Preference_1]:[Preference_4]],Course[[#This Row],[SessionPK]])</f>
        <v>1</v>
      </c>
      <c r="F56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6" s="9" t="str">
        <f>IFERROR(INDEX(Professor[Full/Part-time],MATCH(Course[[#This Row],[Professor]],Professor[Name],0)),"")</f>
        <v>F</v>
      </c>
      <c r="H56" t="s">
        <v>109</v>
      </c>
      <c r="I56" s="9">
        <f>COUNTIF(Course[Course],Course[[#This Row],[Course]])</f>
        <v>1</v>
      </c>
      <c r="J56" s="9"/>
    </row>
    <row r="57" spans="1:10" x14ac:dyDescent="0.25">
      <c r="A57" t="str">
        <f>Course[[#This Row],[Course]]&amp; " "&amp;Course[[#This Row],[Session]]</f>
        <v>MA124 100</v>
      </c>
      <c r="B57" s="7" t="s">
        <v>150</v>
      </c>
      <c r="C57" s="7">
        <v>100</v>
      </c>
      <c r="D57" s="7" t="s">
        <v>3</v>
      </c>
      <c r="E57" s="9">
        <f>COUNTIF(Professor[[Preference_1]:[Preference_4]],Course[[#This Row],[SessionPK]])</f>
        <v>1</v>
      </c>
      <c r="F57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57" s="9" t="str">
        <f>IFERROR(INDEX(Professor[Full/Part-time],MATCH(Course[[#This Row],[Professor]],Professor[Name],0)),"")</f>
        <v>F</v>
      </c>
      <c r="H57" t="s">
        <v>110</v>
      </c>
      <c r="I57" s="9">
        <f>COUNTIF(Course[Course],Course[[#This Row],[Course]])</f>
        <v>1</v>
      </c>
      <c r="J57" s="9"/>
    </row>
    <row r="58" spans="1:10" x14ac:dyDescent="0.25">
      <c r="A58" t="str">
        <f>Course[[#This Row],[Course]]&amp; " "&amp;Course[[#This Row],[Session]]</f>
        <v>MA125 100</v>
      </c>
      <c r="B58" s="7" t="s">
        <v>151</v>
      </c>
      <c r="C58" s="7">
        <v>100</v>
      </c>
      <c r="D58" s="7" t="s">
        <v>3</v>
      </c>
      <c r="E58" s="9">
        <f>COUNTIF(Professor[[Preference_1]:[Preference_4]],Course[[#This Row],[SessionPK]])</f>
        <v>1</v>
      </c>
      <c r="F58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58" s="9" t="str">
        <f>IFERROR(INDEX(Professor[Full/Part-time],MATCH(Course[[#This Row],[Professor]],Professor[Name],0)),"")</f>
        <v>F</v>
      </c>
      <c r="H58" t="s">
        <v>111</v>
      </c>
      <c r="I58" s="9">
        <f>COUNTIF(Course[Course],Course[[#This Row],[Course]])</f>
        <v>1</v>
      </c>
      <c r="J58" s="9"/>
    </row>
    <row r="59" spans="1:10" x14ac:dyDescent="0.25">
      <c r="A59" t="str">
        <f>Course[[#This Row],[Course]]&amp; " "&amp;Course[[#This Row],[Session]]</f>
        <v>MA126 100</v>
      </c>
      <c r="B59" s="7" t="s">
        <v>152</v>
      </c>
      <c r="C59" s="7">
        <v>100</v>
      </c>
      <c r="D59" s="7" t="s">
        <v>3</v>
      </c>
      <c r="E59" s="9">
        <f>COUNTIF(Professor[[Preference_1]:[Preference_4]],Course[[#This Row],[SessionPK]])</f>
        <v>1</v>
      </c>
      <c r="F59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59" s="9" t="str">
        <f>IFERROR(INDEX(Professor[Full/Part-time],MATCH(Course[[#This Row],[Professor]],Professor[Name],0)),"")</f>
        <v>F</v>
      </c>
      <c r="H59" t="s">
        <v>112</v>
      </c>
      <c r="I59" s="9">
        <f>COUNTIF(Course[Course],Course[[#This Row],[Course]])</f>
        <v>1</v>
      </c>
      <c r="J59" s="9"/>
    </row>
    <row r="60" spans="1:10" x14ac:dyDescent="0.25">
      <c r="A60" t="str">
        <f>Course[[#This Row],[Course]]&amp; " "&amp;Course[[#This Row],[Session]]</f>
        <v>MA127 100</v>
      </c>
      <c r="B60" s="7" t="s">
        <v>153</v>
      </c>
      <c r="C60" s="7">
        <v>100</v>
      </c>
      <c r="D60" s="7" t="s">
        <v>3</v>
      </c>
      <c r="E60" s="9">
        <f>COUNTIF(Professor[[Preference_1]:[Preference_4]],Course[[#This Row],[SessionPK]])</f>
        <v>1</v>
      </c>
      <c r="F60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60" s="9" t="str">
        <f>IFERROR(INDEX(Professor[Full/Part-time],MATCH(Course[[#This Row],[Professor]],Professor[Name],0)),"")</f>
        <v>F</v>
      </c>
      <c r="H60" t="s">
        <v>113</v>
      </c>
      <c r="I60" s="9">
        <f>COUNTIF(Course[Course],Course[[#This Row],[Course]])</f>
        <v>1</v>
      </c>
      <c r="J60" s="9"/>
    </row>
    <row r="61" spans="1:10" x14ac:dyDescent="0.25">
      <c r="A61" t="str">
        <f>Course[[#This Row],[Course]]&amp; " "&amp;Course[[#This Row],[Session]]</f>
        <v>MA128 100</v>
      </c>
      <c r="B61" s="7" t="s">
        <v>154</v>
      </c>
      <c r="C61" s="7">
        <v>100</v>
      </c>
      <c r="D61" s="7" t="s">
        <v>3</v>
      </c>
      <c r="E61" s="9">
        <f>COUNTIF(Professor[[Preference_1]:[Preference_4]],Course[[#This Row],[SessionPK]])</f>
        <v>1</v>
      </c>
      <c r="F61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61" s="9" t="str">
        <f>IFERROR(INDEX(Professor[Full/Part-time],MATCH(Course[[#This Row],[Professor]],Professor[Name],0)),"")</f>
        <v>F</v>
      </c>
      <c r="H61" t="s">
        <v>114</v>
      </c>
      <c r="I61" s="9">
        <f>COUNTIF(Course[Course],Course[[#This Row],[Course]])</f>
        <v>1</v>
      </c>
      <c r="J61" s="9"/>
    </row>
    <row r="62" spans="1:10" x14ac:dyDescent="0.25">
      <c r="A62" t="str">
        <f>Course[[#This Row],[Course]]&amp; " "&amp;Course[[#This Row],[Session]]</f>
        <v>MA129 100</v>
      </c>
      <c r="B62" s="7" t="s">
        <v>155</v>
      </c>
      <c r="C62" s="7">
        <v>100</v>
      </c>
      <c r="D62" s="7" t="s">
        <v>3</v>
      </c>
      <c r="E62" s="9">
        <f>COUNTIF(Professor[[Preference_1]:[Preference_4]],Course[[#This Row],[SessionPK]])</f>
        <v>1</v>
      </c>
      <c r="F62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2" s="9" t="str">
        <f>IFERROR(INDEX(Professor[Full/Part-time],MATCH(Course[[#This Row],[Professor]],Professor[Name],0)),"")</f>
        <v>F</v>
      </c>
      <c r="H62" t="s">
        <v>115</v>
      </c>
      <c r="I62" s="9">
        <f>COUNTIF(Course[Course],Course[[#This Row],[Course]])</f>
        <v>1</v>
      </c>
      <c r="J62" s="9"/>
    </row>
    <row r="63" spans="1:10" x14ac:dyDescent="0.25">
      <c r="A63" t="str">
        <f>Course[[#This Row],[Course]]&amp; " "&amp;Course[[#This Row],[Session]]</f>
        <v>MA130 100</v>
      </c>
      <c r="B63" s="7" t="s">
        <v>156</v>
      </c>
      <c r="C63" s="7">
        <v>100</v>
      </c>
      <c r="D63" s="7" t="s">
        <v>3</v>
      </c>
      <c r="E63" s="9">
        <f>COUNTIF(Professor[[Preference_1]:[Preference_4]],Course[[#This Row],[SessionPK]])</f>
        <v>1</v>
      </c>
      <c r="F63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63" s="9" t="str">
        <f>IFERROR(INDEX(Professor[Full/Part-time],MATCH(Course[[#This Row],[Professor]],Professor[Name],0)),"")</f>
        <v>F</v>
      </c>
      <c r="H63" t="s">
        <v>108</v>
      </c>
      <c r="I63" s="9">
        <f>COUNTIF(Course[Course],Course[[#This Row],[Course]])</f>
        <v>1</v>
      </c>
      <c r="J63" s="9"/>
    </row>
    <row r="64" spans="1:10" x14ac:dyDescent="0.25">
      <c r="A64" t="str">
        <f>Course[[#This Row],[Course]]&amp; " "&amp;Course[[#This Row],[Session]]</f>
        <v>MA131 100</v>
      </c>
      <c r="B64" s="7" t="s">
        <v>157</v>
      </c>
      <c r="C64" s="7">
        <v>100</v>
      </c>
      <c r="D64" s="7" t="s">
        <v>3</v>
      </c>
      <c r="E64" s="9">
        <f>COUNTIF(Professor[[Preference_1]:[Preference_4]],Course[[#This Row],[SessionPK]])</f>
        <v>1</v>
      </c>
      <c r="F64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64" s="9" t="str">
        <f>IFERROR(INDEX(Professor[Full/Part-time],MATCH(Course[[#This Row],[Professor]],Professor[Name],0)),"")</f>
        <v>F</v>
      </c>
      <c r="H64" t="s">
        <v>116</v>
      </c>
      <c r="I64" s="9">
        <f>COUNTIF(Course[Course],Course[[#This Row],[Course]])</f>
        <v>1</v>
      </c>
      <c r="J64" s="9"/>
    </row>
    <row r="65" spans="1:10" x14ac:dyDescent="0.25">
      <c r="A65" t="str">
        <f>Course[[#This Row],[Course]]&amp; " "&amp;Course[[#This Row],[Session]]</f>
        <v>MA132 100</v>
      </c>
      <c r="B65" s="7" t="s">
        <v>158</v>
      </c>
      <c r="C65" s="7">
        <v>100</v>
      </c>
      <c r="D65" s="7" t="s">
        <v>3</v>
      </c>
      <c r="E65" s="9">
        <f>COUNTIF(Professor[[Preference_1]:[Preference_4]],Course[[#This Row],[SessionPK]])</f>
        <v>1</v>
      </c>
      <c r="F65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5" s="9" t="str">
        <f>IFERROR(INDEX(Professor[Full/Part-time],MATCH(Course[[#This Row],[Professor]],Professor[Name],0)),"")</f>
        <v>F</v>
      </c>
      <c r="H65" t="s">
        <v>117</v>
      </c>
      <c r="I65" s="9">
        <f>COUNTIF(Course[Course],Course[[#This Row],[Course]])</f>
        <v>1</v>
      </c>
      <c r="J65" s="9"/>
    </row>
    <row r="66" spans="1:10" x14ac:dyDescent="0.25">
      <c r="A66" t="str">
        <f>Course[[#This Row],[Course]]&amp; " "&amp;Course[[#This Row],[Session]]</f>
        <v>MA133 100</v>
      </c>
      <c r="B66" s="7" t="s">
        <v>159</v>
      </c>
      <c r="C66" s="7">
        <v>100</v>
      </c>
      <c r="D66" s="7" t="s">
        <v>3</v>
      </c>
      <c r="E66" s="9">
        <f>COUNTIF(Professor[[Preference_1]:[Preference_4]],Course[[#This Row],[SessionPK]])</f>
        <v>1</v>
      </c>
      <c r="F66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6" s="9" t="str">
        <f>IFERROR(INDEX(Professor[Full/Part-time],MATCH(Course[[#This Row],[Professor]],Professor[Name],0)),"")</f>
        <v>F</v>
      </c>
      <c r="H66" t="s">
        <v>118</v>
      </c>
      <c r="I66" s="9">
        <f>COUNTIF(Course[Course],Course[[#This Row],[Course]])</f>
        <v>1</v>
      </c>
      <c r="J66" s="9"/>
    </row>
    <row r="67" spans="1:10" x14ac:dyDescent="0.25">
      <c r="A67" t="str">
        <f>Course[[#This Row],[Course]]&amp; " "&amp;Course[[#This Row],[Session]]</f>
        <v>MA134 100</v>
      </c>
      <c r="B67" s="7" t="s">
        <v>160</v>
      </c>
      <c r="C67" s="7">
        <v>100</v>
      </c>
      <c r="D67" s="7" t="s">
        <v>3</v>
      </c>
      <c r="E67" s="9">
        <f>COUNTIF(Professor[[Preference_1]:[Preference_4]],Course[[#This Row],[SessionPK]])</f>
        <v>1</v>
      </c>
      <c r="F67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7" s="9" t="str">
        <f>IFERROR(INDEX(Professor[Full/Part-time],MATCH(Course[[#This Row],[Professor]],Professor[Name],0)),"")</f>
        <v>F</v>
      </c>
      <c r="H67" t="s">
        <v>119</v>
      </c>
      <c r="I67" s="9">
        <f>COUNTIF(Course[Course],Course[[#This Row],[Course]])</f>
        <v>1</v>
      </c>
      <c r="J67" s="9"/>
    </row>
    <row r="68" spans="1:10" x14ac:dyDescent="0.25">
      <c r="A68" t="str">
        <f>Course[[#This Row],[Course]]&amp; " "&amp;Course[[#This Row],[Session]]</f>
        <v>MA135 100</v>
      </c>
      <c r="B68" s="7" t="s">
        <v>161</v>
      </c>
      <c r="C68" s="7">
        <v>100</v>
      </c>
      <c r="D68" s="7" t="s">
        <v>3</v>
      </c>
      <c r="E68" s="9">
        <f>COUNTIF(Professor[[Preference_1]:[Preference_4]],Course[[#This Row],[SessionPK]])</f>
        <v>1</v>
      </c>
      <c r="F68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8" s="9" t="str">
        <f>IFERROR(INDEX(Professor[Full/Part-time],MATCH(Course[[#This Row],[Professor]],Professor[Name],0)),"")</f>
        <v>F</v>
      </c>
      <c r="H68" t="s">
        <v>120</v>
      </c>
      <c r="I68" s="9">
        <f>COUNTIF(Course[Course],Course[[#This Row],[Course]])</f>
        <v>1</v>
      </c>
      <c r="J68" s="9"/>
    </row>
    <row r="69" spans="1:10" x14ac:dyDescent="0.25">
      <c r="A69" t="str">
        <f>Course[[#This Row],[Course]]&amp; " "&amp;Course[[#This Row],[Session]]</f>
        <v>MA136 100</v>
      </c>
      <c r="B69" s="7" t="s">
        <v>162</v>
      </c>
      <c r="C69" s="7">
        <v>100</v>
      </c>
      <c r="D69" s="7" t="s">
        <v>3</v>
      </c>
      <c r="E69" s="9">
        <f>COUNTIF(Professor[[Preference_1]:[Preference_4]],Course[[#This Row],[SessionPK]])</f>
        <v>1</v>
      </c>
      <c r="F69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69" s="9" t="str">
        <f>IFERROR(INDEX(Professor[Full/Part-time],MATCH(Course[[#This Row],[Professor]],Professor[Name],0)),"")</f>
        <v>F</v>
      </c>
      <c r="H69" t="s">
        <v>121</v>
      </c>
      <c r="I69" s="9">
        <f>COUNTIF(Course[Course],Course[[#This Row],[Course]])</f>
        <v>1</v>
      </c>
      <c r="J69" s="9"/>
    </row>
    <row r="70" spans="1:10" x14ac:dyDescent="0.25">
      <c r="A70" t="str">
        <f>Course[[#This Row],[Course]]&amp; " "&amp;Course[[#This Row],[Session]]</f>
        <v>MA137 100</v>
      </c>
      <c r="B70" s="7" t="s">
        <v>163</v>
      </c>
      <c r="C70" s="7">
        <v>100</v>
      </c>
      <c r="D70" s="7" t="s">
        <v>3</v>
      </c>
      <c r="E70" s="9">
        <f>COUNTIF(Professor[[Preference_1]:[Preference_4]],Course[[#This Row],[SessionPK]])</f>
        <v>1</v>
      </c>
      <c r="F70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0" s="9" t="str">
        <f>IFERROR(INDEX(Professor[Full/Part-time],MATCH(Course[[#This Row],[Professor]],Professor[Name],0)),"")</f>
        <v>F</v>
      </c>
      <c r="H70" t="s">
        <v>122</v>
      </c>
      <c r="I70" s="9">
        <f>COUNTIF(Course[Course],Course[[#This Row],[Course]])</f>
        <v>1</v>
      </c>
      <c r="J70" s="9"/>
    </row>
    <row r="71" spans="1:10" x14ac:dyDescent="0.25">
      <c r="A71" t="str">
        <f>Course[[#This Row],[Course]]&amp; " "&amp;Course[[#This Row],[Session]]</f>
        <v>MA138 100</v>
      </c>
      <c r="B71" s="7" t="s">
        <v>164</v>
      </c>
      <c r="C71" s="7">
        <v>100</v>
      </c>
      <c r="D71" s="7" t="s">
        <v>3</v>
      </c>
      <c r="E71" s="9">
        <f>COUNTIF(Professor[[Preference_1]:[Preference_4]],Course[[#This Row],[SessionPK]])</f>
        <v>1</v>
      </c>
      <c r="F71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1" s="9" t="str">
        <f>IFERROR(INDEX(Professor[Full/Part-time],MATCH(Course[[#This Row],[Professor]],Professor[Name],0)),"")</f>
        <v>F</v>
      </c>
      <c r="H71" t="s">
        <v>123</v>
      </c>
      <c r="I71" s="9">
        <f>COUNTIF(Course[Course],Course[[#This Row],[Course]])</f>
        <v>1</v>
      </c>
      <c r="J71" s="9"/>
    </row>
    <row r="72" spans="1:10" x14ac:dyDescent="0.25">
      <c r="A72" t="str">
        <f>Course[[#This Row],[Course]]&amp; " "&amp;Course[[#This Row],[Session]]</f>
        <v>MA139 100</v>
      </c>
      <c r="B72" s="7" t="s">
        <v>165</v>
      </c>
      <c r="C72" s="7">
        <v>100</v>
      </c>
      <c r="D72" s="7" t="s">
        <v>3</v>
      </c>
      <c r="E72" s="9">
        <f>COUNTIF(Professor[[Preference_1]:[Preference_4]],Course[[#This Row],[SessionPK]])</f>
        <v>1</v>
      </c>
      <c r="F72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2" s="9" t="str">
        <f>IFERROR(INDEX(Professor[Full/Part-time],MATCH(Course[[#This Row],[Professor]],Professor[Name],0)),"")</f>
        <v>F</v>
      </c>
      <c r="H72" t="s">
        <v>124</v>
      </c>
      <c r="I72" s="9">
        <f>COUNTIF(Course[Course],Course[[#This Row],[Course]])</f>
        <v>1</v>
      </c>
      <c r="J72" s="9"/>
    </row>
    <row r="73" spans="1:10" x14ac:dyDescent="0.25">
      <c r="A73" t="str">
        <f>Course[[#This Row],[Course]]&amp; " "&amp;Course[[#This Row],[Session]]</f>
        <v>MA140 100</v>
      </c>
      <c r="B73" s="7" t="s">
        <v>166</v>
      </c>
      <c r="C73" s="7">
        <v>100</v>
      </c>
      <c r="D73" s="7" t="s">
        <v>3</v>
      </c>
      <c r="E73" s="9">
        <f>COUNTIF(Professor[[Preference_1]:[Preference_4]],Course[[#This Row],[SessionPK]])</f>
        <v>1</v>
      </c>
      <c r="F73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3" s="9" t="str">
        <f>IFERROR(INDEX(Professor[Full/Part-time],MATCH(Course[[#This Row],[Professor]],Professor[Name],0)),"")</f>
        <v>F</v>
      </c>
      <c r="H73" t="s">
        <v>125</v>
      </c>
      <c r="I73" s="9">
        <f>COUNTIF(Course[Course],Course[[#This Row],[Course]])</f>
        <v>1</v>
      </c>
      <c r="J73" s="9"/>
    </row>
    <row r="74" spans="1:10" x14ac:dyDescent="0.25">
      <c r="A74" t="str">
        <f>Course[[#This Row],[Course]]&amp; " "&amp;Course[[#This Row],[Session]]</f>
        <v>MA141 100</v>
      </c>
      <c r="B74" s="7" t="s">
        <v>167</v>
      </c>
      <c r="C74" s="7">
        <v>100</v>
      </c>
      <c r="D74" s="7" t="s">
        <v>3</v>
      </c>
      <c r="E74" s="9">
        <f>COUNTIF(Professor[[Preference_1]:[Preference_4]],Course[[#This Row],[SessionPK]])</f>
        <v>1</v>
      </c>
      <c r="F74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4" s="9" t="str">
        <f>IFERROR(INDEX(Professor[Full/Part-time],MATCH(Course[[#This Row],[Professor]],Professor[Name],0)),"")</f>
        <v>F</v>
      </c>
      <c r="H74" t="s">
        <v>126</v>
      </c>
      <c r="I74" s="9">
        <f>COUNTIF(Course[Course],Course[[#This Row],[Course]])</f>
        <v>1</v>
      </c>
      <c r="J74" s="9"/>
    </row>
    <row r="75" spans="1:10" x14ac:dyDescent="0.25">
      <c r="A75" t="str">
        <f>Course[[#This Row],[Course]]&amp; " "&amp;Course[[#This Row],[Session]]</f>
        <v>MA142 100</v>
      </c>
      <c r="B75" s="7" t="s">
        <v>168</v>
      </c>
      <c r="C75" s="7">
        <v>100</v>
      </c>
      <c r="D75" s="7" t="s">
        <v>3</v>
      </c>
      <c r="E75" s="9">
        <f>COUNTIF(Professor[[Preference_1]:[Preference_4]],Course[[#This Row],[SessionPK]])</f>
        <v>1</v>
      </c>
      <c r="F75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75" s="9" t="str">
        <f>IFERROR(INDEX(Professor[Full/Part-time],MATCH(Course[[#This Row],[Professor]],Professor[Name],0)),"")</f>
        <v>P</v>
      </c>
      <c r="H75" t="s">
        <v>86</v>
      </c>
      <c r="I75" s="9">
        <f>COUNTIF(Course[Course],Course[[#This Row],[Course]])</f>
        <v>1</v>
      </c>
      <c r="J75" s="9"/>
    </row>
    <row r="76" spans="1:10" x14ac:dyDescent="0.25">
      <c r="A76" t="str">
        <f>Course[[#This Row],[Course]]&amp; " "&amp;Course[[#This Row],[Session]]</f>
        <v>MA143 100</v>
      </c>
      <c r="B76" s="7" t="s">
        <v>169</v>
      </c>
      <c r="C76" s="7">
        <v>100</v>
      </c>
      <c r="D76" s="7" t="s">
        <v>3</v>
      </c>
      <c r="E76" s="9">
        <f>COUNTIF(Professor[[Preference_1]:[Preference_4]],Course[[#This Row],[SessionPK]])</f>
        <v>1</v>
      </c>
      <c r="F76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6" s="9" t="str">
        <f>IFERROR(INDEX(Professor[Full/Part-time],MATCH(Course[[#This Row],[Professor]],Professor[Name],0)),"")</f>
        <v>P</v>
      </c>
      <c r="H76" t="s">
        <v>87</v>
      </c>
      <c r="I76" s="9">
        <f>COUNTIF(Course[Course],Course[[#This Row],[Course]])</f>
        <v>1</v>
      </c>
      <c r="J76" s="9"/>
    </row>
    <row r="77" spans="1:10" x14ac:dyDescent="0.25">
      <c r="A77" t="str">
        <f>Course[[#This Row],[Course]]&amp; " "&amp;Course[[#This Row],[Session]]</f>
        <v>MA144 100</v>
      </c>
      <c r="B77" s="7" t="s">
        <v>170</v>
      </c>
      <c r="C77" s="7">
        <v>100</v>
      </c>
      <c r="D77" s="7" t="s">
        <v>3</v>
      </c>
      <c r="E77" s="9">
        <f>COUNTIF(Professor[[Preference_1]:[Preference_4]],Course[[#This Row],[SessionPK]])</f>
        <v>1</v>
      </c>
      <c r="F77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77" s="9" t="str">
        <f>IFERROR(INDEX(Professor[Full/Part-time],MATCH(Course[[#This Row],[Professor]],Professor[Name],0)),"")</f>
        <v>P</v>
      </c>
      <c r="H77" t="s">
        <v>88</v>
      </c>
      <c r="I77" s="9">
        <f>COUNTIF(Course[Course],Course[[#This Row],[Course]])</f>
        <v>1</v>
      </c>
      <c r="J77" s="9"/>
    </row>
    <row r="78" spans="1:10" x14ac:dyDescent="0.25">
      <c r="A78" t="str">
        <f>Course[[#This Row],[Course]]&amp; " "&amp;Course[[#This Row],[Session]]</f>
        <v>MA145 100</v>
      </c>
      <c r="B78" s="7" t="s">
        <v>171</v>
      </c>
      <c r="C78" s="7">
        <v>100</v>
      </c>
      <c r="D78" s="7" t="s">
        <v>3</v>
      </c>
      <c r="E78" s="9">
        <f>COUNTIF(Professor[[Preference_1]:[Preference_4]],Course[[#This Row],[SessionPK]])</f>
        <v>1</v>
      </c>
      <c r="F78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78" s="9" t="str">
        <f>IFERROR(INDEX(Professor[Full/Part-time],MATCH(Course[[#This Row],[Professor]],Professor[Name],0)),"")</f>
        <v>P</v>
      </c>
      <c r="H78" t="s">
        <v>89</v>
      </c>
      <c r="I78" s="9">
        <f>COUNTIF(Course[Course],Course[[#This Row],[Course]])</f>
        <v>1</v>
      </c>
      <c r="J78" s="9"/>
    </row>
    <row r="79" spans="1:10" x14ac:dyDescent="0.25">
      <c r="A79" t="str">
        <f>Course[[#This Row],[Course]]&amp; " "&amp;Course[[#This Row],[Session]]</f>
        <v>MA146 100</v>
      </c>
      <c r="B79" s="7" t="s">
        <v>172</v>
      </c>
      <c r="C79" s="7">
        <v>100</v>
      </c>
      <c r="D79" s="7" t="s">
        <v>3</v>
      </c>
      <c r="E79" s="9">
        <f>COUNTIF(Professor[[Preference_1]:[Preference_4]],Course[[#This Row],[SessionPK]])</f>
        <v>1</v>
      </c>
      <c r="F79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79" s="9" t="str">
        <f>IFERROR(INDEX(Professor[Full/Part-time],MATCH(Course[[#This Row],[Professor]],Professor[Name],0)),"")</f>
        <v>P</v>
      </c>
      <c r="H79" t="s">
        <v>90</v>
      </c>
      <c r="I79" s="9">
        <f>COUNTIF(Course[Course],Course[[#This Row],[Course]])</f>
        <v>1</v>
      </c>
      <c r="J79" s="9"/>
    </row>
    <row r="80" spans="1:10" x14ac:dyDescent="0.25">
      <c r="A80" t="str">
        <f>Course[[#This Row],[Course]]&amp; " "&amp;Course[[#This Row],[Session]]</f>
        <v>MA147 100</v>
      </c>
      <c r="B80" s="7" t="s">
        <v>173</v>
      </c>
      <c r="C80" s="7">
        <v>100</v>
      </c>
      <c r="D80" s="7" t="s">
        <v>3</v>
      </c>
      <c r="E80" s="9">
        <f>COUNTIF(Professor[[Preference_1]:[Preference_4]],Course[[#This Row],[SessionPK]])</f>
        <v>1</v>
      </c>
      <c r="F80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80" s="9" t="str">
        <f>IFERROR(INDEX(Professor[Full/Part-time],MATCH(Course[[#This Row],[Professor]],Professor[Name],0)),"")</f>
        <v>F</v>
      </c>
      <c r="H80" t="s">
        <v>91</v>
      </c>
      <c r="I80" s="9">
        <f>COUNTIF(Course[Course],Course[[#This Row],[Course]])</f>
        <v>1</v>
      </c>
      <c r="J80" s="9"/>
    </row>
    <row r="81" spans="1:10" x14ac:dyDescent="0.25">
      <c r="A81" t="str">
        <f>Course[[#This Row],[Course]]&amp; " "&amp;Course[[#This Row],[Session]]</f>
        <v>MA148 100</v>
      </c>
      <c r="B81" s="7" t="s">
        <v>174</v>
      </c>
      <c r="C81" s="7">
        <v>100</v>
      </c>
      <c r="D81" s="7" t="s">
        <v>3</v>
      </c>
      <c r="E81" s="9">
        <f>COUNTIF(Professor[[Preference_1]:[Preference_4]],Course[[#This Row],[SessionPK]])</f>
        <v>1</v>
      </c>
      <c r="F81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81" s="9" t="str">
        <f>IFERROR(INDEX(Professor[Full/Part-time],MATCH(Course[[#This Row],[Professor]],Professor[Name],0)),"")</f>
        <v>F</v>
      </c>
      <c r="H81" t="s">
        <v>92</v>
      </c>
      <c r="I81" s="9">
        <f>COUNTIF(Course[Course],Course[[#This Row],[Course]])</f>
        <v>1</v>
      </c>
      <c r="J81" s="9"/>
    </row>
    <row r="82" spans="1:10" x14ac:dyDescent="0.25">
      <c r="A82" t="str">
        <f>Course[[#This Row],[Course]]&amp; " "&amp;Course[[#This Row],[Session]]</f>
        <v>MA149 100</v>
      </c>
      <c r="B82" s="7" t="s">
        <v>175</v>
      </c>
      <c r="C82" s="7">
        <v>100</v>
      </c>
      <c r="D82" s="7" t="s">
        <v>3</v>
      </c>
      <c r="E82" s="9">
        <f>COUNTIF(Professor[[Preference_1]:[Preference_4]],Course[[#This Row],[SessionPK]])</f>
        <v>1</v>
      </c>
      <c r="F82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2" s="9" t="str">
        <f>IFERROR(INDEX(Professor[Full/Part-time],MATCH(Course[[#This Row],[Professor]],Professor[Name],0)),"")</f>
        <v>F</v>
      </c>
      <c r="H82" t="s">
        <v>93</v>
      </c>
      <c r="I82" s="9">
        <f>COUNTIF(Course[Course],Course[[#This Row],[Course]])</f>
        <v>1</v>
      </c>
      <c r="J82" s="9"/>
    </row>
    <row r="83" spans="1:10" x14ac:dyDescent="0.25">
      <c r="A83" t="str">
        <f>Course[[#This Row],[Course]]&amp; " "&amp;Course[[#This Row],[Session]]</f>
        <v>MA150 100</v>
      </c>
      <c r="B83" s="7" t="s">
        <v>176</v>
      </c>
      <c r="C83" s="7">
        <v>100</v>
      </c>
      <c r="D83" s="7" t="s">
        <v>3</v>
      </c>
      <c r="E83" s="9">
        <f>COUNTIF(Professor[[Preference_1]:[Preference_4]],Course[[#This Row],[SessionPK]])</f>
        <v>1</v>
      </c>
      <c r="F83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83" s="9" t="str">
        <f>IFERROR(INDEX(Professor[Full/Part-time],MATCH(Course[[#This Row],[Professor]],Professor[Name],0)),"")</f>
        <v>F</v>
      </c>
      <c r="H83" t="s">
        <v>94</v>
      </c>
      <c r="I83" s="9">
        <f>COUNTIF(Course[Course],Course[[#This Row],[Course]])</f>
        <v>1</v>
      </c>
      <c r="J83" s="9"/>
    </row>
    <row r="84" spans="1:10" x14ac:dyDescent="0.25">
      <c r="A84" t="str">
        <f>Course[[#This Row],[Course]]&amp; " "&amp;Course[[#This Row],[Session]]</f>
        <v>MA151 100</v>
      </c>
      <c r="B84" s="7" t="s">
        <v>177</v>
      </c>
      <c r="C84" s="7">
        <v>100</v>
      </c>
      <c r="D84" s="7" t="s">
        <v>3</v>
      </c>
      <c r="E84" s="9">
        <f>COUNTIF(Professor[[Preference_1]:[Preference_4]],Course[[#This Row],[SessionPK]])</f>
        <v>1</v>
      </c>
      <c r="F84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84" s="9" t="str">
        <f>IFERROR(INDEX(Professor[Full/Part-time],MATCH(Course[[#This Row],[Professor]],Professor[Name],0)),"")</f>
        <v>F</v>
      </c>
      <c r="H84" t="s">
        <v>95</v>
      </c>
      <c r="I84" s="9">
        <f>COUNTIF(Course[Course],Course[[#This Row],[Course]])</f>
        <v>1</v>
      </c>
      <c r="J84" s="9"/>
    </row>
    <row r="85" spans="1:10" x14ac:dyDescent="0.25">
      <c r="A85" t="str">
        <f>Course[[#This Row],[Course]]&amp; " "&amp;Course[[#This Row],[Session]]</f>
        <v>MA152 100</v>
      </c>
      <c r="B85" s="7" t="s">
        <v>178</v>
      </c>
      <c r="C85" s="7">
        <v>100</v>
      </c>
      <c r="D85" s="7" t="s">
        <v>3</v>
      </c>
      <c r="E85" s="9">
        <f>COUNTIF(Professor[[Preference_1]:[Preference_4]],Course[[#This Row],[SessionPK]])</f>
        <v>1</v>
      </c>
      <c r="F85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5" s="9" t="str">
        <f>IFERROR(INDEX(Professor[Full/Part-time],MATCH(Course[[#This Row],[Professor]],Professor[Name],0)),"")</f>
        <v>F</v>
      </c>
      <c r="H85" t="s">
        <v>96</v>
      </c>
      <c r="I85" s="9">
        <f>COUNTIF(Course[Course],Course[[#This Row],[Course]])</f>
        <v>1</v>
      </c>
      <c r="J85" s="9"/>
    </row>
    <row r="86" spans="1:10" x14ac:dyDescent="0.25">
      <c r="A86" t="str">
        <f>Course[[#This Row],[Course]]&amp; " "&amp;Course[[#This Row],[Session]]</f>
        <v>MA153 100</v>
      </c>
      <c r="B86" s="7" t="s">
        <v>179</v>
      </c>
      <c r="C86" s="7">
        <v>100</v>
      </c>
      <c r="D86" s="7" t="s">
        <v>3</v>
      </c>
      <c r="E86" s="9">
        <f>COUNTIF(Professor[[Preference_1]:[Preference_4]],Course[[#This Row],[SessionPK]])</f>
        <v>1</v>
      </c>
      <c r="F86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6" s="9" t="str">
        <f>IFERROR(INDEX(Professor[Full/Part-time],MATCH(Course[[#This Row],[Professor]],Professor[Name],0)),"")</f>
        <v>F</v>
      </c>
      <c r="H86" t="s">
        <v>97</v>
      </c>
      <c r="I86" s="9">
        <f>COUNTIF(Course[Course],Course[[#This Row],[Course]])</f>
        <v>1</v>
      </c>
      <c r="J86" s="9"/>
    </row>
    <row r="87" spans="1:10" x14ac:dyDescent="0.25">
      <c r="A87" t="str">
        <f>Course[[#This Row],[Course]]&amp; " "&amp;Course[[#This Row],[Session]]</f>
        <v>MA154 100</v>
      </c>
      <c r="B87" s="7" t="s">
        <v>180</v>
      </c>
      <c r="C87" s="7">
        <v>100</v>
      </c>
      <c r="D87" s="7" t="s">
        <v>3</v>
      </c>
      <c r="E87" s="9">
        <f>COUNTIF(Professor[[Preference_1]:[Preference_4]],Course[[#This Row],[SessionPK]])</f>
        <v>1</v>
      </c>
      <c r="F87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1</v>
      </c>
      <c r="G87" s="9" t="str">
        <f>IFERROR(INDEX(Professor[Full/Part-time],MATCH(Course[[#This Row],[Professor]],Professor[Name],0)),"")</f>
        <v>F</v>
      </c>
      <c r="H87" t="s">
        <v>98</v>
      </c>
      <c r="I87" s="9">
        <f>COUNTIF(Course[Course],Course[[#This Row],[Course]])</f>
        <v>1</v>
      </c>
      <c r="J87" s="9"/>
    </row>
    <row r="88" spans="1:10" x14ac:dyDescent="0.25">
      <c r="A88" t="str">
        <f>Course[[#This Row],[Course]]&amp; " "&amp;Course[[#This Row],[Session]]</f>
        <v>MA155 100</v>
      </c>
      <c r="B88" s="7" t="s">
        <v>181</v>
      </c>
      <c r="C88" s="7">
        <v>100</v>
      </c>
      <c r="D88" s="7" t="s">
        <v>3</v>
      </c>
      <c r="E88" s="9">
        <f>COUNTIF(Professor[[Preference_1]:[Preference_4]],Course[[#This Row],[SessionPK]])</f>
        <v>1</v>
      </c>
      <c r="F88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8" s="9" t="str">
        <f>IFERROR(INDEX(Professor[Full/Part-time],MATCH(Course[[#This Row],[Professor]],Professor[Name],0)),"")</f>
        <v>F</v>
      </c>
      <c r="H88" t="s">
        <v>99</v>
      </c>
      <c r="I88" s="9">
        <f>COUNTIF(Course[Course],Course[[#This Row],[Course]])</f>
        <v>1</v>
      </c>
      <c r="J88" s="9"/>
    </row>
    <row r="89" spans="1:10" x14ac:dyDescent="0.25">
      <c r="A89" t="str">
        <f>Course[[#This Row],[Course]]&amp; " "&amp;Course[[#This Row],[Session]]</f>
        <v>MA156 100</v>
      </c>
      <c r="B89" s="7" t="s">
        <v>182</v>
      </c>
      <c r="C89" s="7">
        <v>100</v>
      </c>
      <c r="D89" s="7" t="s">
        <v>3</v>
      </c>
      <c r="E89" s="9">
        <f>COUNTIF(Professor[[Preference_1]:[Preference_4]],Course[[#This Row],[SessionPK]])</f>
        <v>1</v>
      </c>
      <c r="F89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89" s="9" t="str">
        <f>IFERROR(INDEX(Professor[Full/Part-time],MATCH(Course[[#This Row],[Professor]],Professor[Name],0)),"")</f>
        <v>F</v>
      </c>
      <c r="H89" t="s">
        <v>100</v>
      </c>
      <c r="I89" s="9">
        <f>COUNTIF(Course[Course],Course[[#This Row],[Course]])</f>
        <v>1</v>
      </c>
      <c r="J89" s="9"/>
    </row>
    <row r="90" spans="1:10" x14ac:dyDescent="0.25">
      <c r="A90" t="str">
        <f>Course[[#This Row],[Course]]&amp; " "&amp;Course[[#This Row],[Session]]</f>
        <v>MA157 100</v>
      </c>
      <c r="B90" s="7" t="s">
        <v>183</v>
      </c>
      <c r="C90" s="7">
        <v>100</v>
      </c>
      <c r="D90" s="7" t="s">
        <v>3</v>
      </c>
      <c r="E90" s="9">
        <f>COUNTIF(Professor[[Preference_1]:[Preference_4]],Course[[#This Row],[SessionPK]])</f>
        <v>1</v>
      </c>
      <c r="F90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0" s="9" t="str">
        <f>IFERROR(INDEX(Professor[Full/Part-time],MATCH(Course[[#This Row],[Professor]],Professor[Name],0)),"")</f>
        <v>F</v>
      </c>
      <c r="H90" t="s">
        <v>101</v>
      </c>
      <c r="I90" s="9">
        <f>COUNTIF(Course[Course],Course[[#This Row],[Course]])</f>
        <v>1</v>
      </c>
      <c r="J90" s="9"/>
    </row>
    <row r="91" spans="1:10" x14ac:dyDescent="0.25">
      <c r="A91" t="str">
        <f>Course[[#This Row],[Course]]&amp; " "&amp;Course[[#This Row],[Session]]</f>
        <v>MA158 100</v>
      </c>
      <c r="B91" s="7" t="s">
        <v>184</v>
      </c>
      <c r="C91" s="7">
        <v>100</v>
      </c>
      <c r="D91" s="7" t="s">
        <v>3</v>
      </c>
      <c r="E91" s="9">
        <f>COUNTIF(Professor[[Preference_1]:[Preference_4]],Course[[#This Row],[SessionPK]])</f>
        <v>1</v>
      </c>
      <c r="F91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1" s="9" t="str">
        <f>IFERROR(INDEX(Professor[Full/Part-time],MATCH(Course[[#This Row],[Professor]],Professor[Name],0)),"")</f>
        <v>F</v>
      </c>
      <c r="H91" t="s">
        <v>102</v>
      </c>
      <c r="I91" s="9">
        <f>COUNTIF(Course[Course],Course[[#This Row],[Course]])</f>
        <v>1</v>
      </c>
      <c r="J91" s="9"/>
    </row>
    <row r="92" spans="1:10" x14ac:dyDescent="0.25">
      <c r="A92" t="str">
        <f>Course[[#This Row],[Course]]&amp; " "&amp;Course[[#This Row],[Session]]</f>
        <v>MA159 100</v>
      </c>
      <c r="B92" s="7" t="s">
        <v>185</v>
      </c>
      <c r="C92" s="7">
        <v>100</v>
      </c>
      <c r="D92" s="7" t="s">
        <v>3</v>
      </c>
      <c r="E92" s="9">
        <f>COUNTIF(Professor[[Preference_1]:[Preference_4]],Course[[#This Row],[SessionPK]])</f>
        <v>1</v>
      </c>
      <c r="F92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2" s="9" t="str">
        <f>IFERROR(INDEX(Professor[Full/Part-time],MATCH(Course[[#This Row],[Professor]],Professor[Name],0)),"")</f>
        <v>F</v>
      </c>
      <c r="H92" t="s">
        <v>103</v>
      </c>
      <c r="I92" s="9">
        <f>COUNTIF(Course[Course],Course[[#This Row],[Course]])</f>
        <v>1</v>
      </c>
      <c r="J92" s="9"/>
    </row>
    <row r="93" spans="1:10" x14ac:dyDescent="0.25">
      <c r="A93" t="str">
        <f>Course[[#This Row],[Course]]&amp; " "&amp;Course[[#This Row],[Session]]</f>
        <v>MA160 100</v>
      </c>
      <c r="B93" s="7" t="s">
        <v>186</v>
      </c>
      <c r="C93" s="7">
        <v>100</v>
      </c>
      <c r="D93" s="7" t="s">
        <v>3</v>
      </c>
      <c r="E93" s="9">
        <f>COUNTIF(Professor[[Preference_1]:[Preference_4]],Course[[#This Row],[SessionPK]])</f>
        <v>1</v>
      </c>
      <c r="F93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3" s="9" t="str">
        <f>IFERROR(INDEX(Professor[Full/Part-time],MATCH(Course[[#This Row],[Professor]],Professor[Name],0)),"")</f>
        <v>F</v>
      </c>
      <c r="H93" t="s">
        <v>104</v>
      </c>
      <c r="I93" s="9">
        <f>COUNTIF(Course[Course],Course[[#This Row],[Course]])</f>
        <v>1</v>
      </c>
      <c r="J93" s="9"/>
    </row>
    <row r="94" spans="1:10" x14ac:dyDescent="0.25">
      <c r="A94" t="str">
        <f>Course[[#This Row],[Course]]&amp; " "&amp;Course[[#This Row],[Session]]</f>
        <v>MA161 100</v>
      </c>
      <c r="B94" s="7" t="s">
        <v>187</v>
      </c>
      <c r="C94" s="7">
        <v>100</v>
      </c>
      <c r="D94" s="7" t="s">
        <v>3</v>
      </c>
      <c r="E94" s="9">
        <f>COUNTIF(Professor[[Preference_1]:[Preference_4]],Course[[#This Row],[SessionPK]])</f>
        <v>1</v>
      </c>
      <c r="F94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4" s="9" t="str">
        <f>IFERROR(INDEX(Professor[Full/Part-time],MATCH(Course[[#This Row],[Professor]],Professor[Name],0)),"")</f>
        <v>F</v>
      </c>
      <c r="H94" t="s">
        <v>105</v>
      </c>
      <c r="I94" s="9">
        <f>COUNTIF(Course[Course],Course[[#This Row],[Course]])</f>
        <v>1</v>
      </c>
      <c r="J94" s="9"/>
    </row>
    <row r="95" spans="1:10" x14ac:dyDescent="0.25">
      <c r="A95" t="str">
        <f>Course[[#This Row],[Course]]&amp; " "&amp;Course[[#This Row],[Session]]</f>
        <v>MA162 100</v>
      </c>
      <c r="B95" s="7" t="s">
        <v>188</v>
      </c>
      <c r="C95" s="7">
        <v>100</v>
      </c>
      <c r="D95" s="7" t="s">
        <v>3</v>
      </c>
      <c r="E95" s="9">
        <f>COUNTIF(Professor[[Preference_1]:[Preference_4]],Course[[#This Row],[SessionPK]])</f>
        <v>2</v>
      </c>
      <c r="F95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95" s="9" t="str">
        <f>IFERROR(INDEX(Professor[Full/Part-time],MATCH(Course[[#This Row],[Professor]],Professor[Name],0)),"")</f>
        <v>F</v>
      </c>
      <c r="H95" t="s">
        <v>113</v>
      </c>
      <c r="I95" s="9">
        <f>COUNTIF(Course[Course],Course[[#This Row],[Course]])</f>
        <v>1</v>
      </c>
      <c r="J95" s="9"/>
    </row>
    <row r="96" spans="1:10" x14ac:dyDescent="0.25">
      <c r="A96" t="str">
        <f>Course[[#This Row],[Course]]&amp; " "&amp;Course[[#This Row],[Session]]</f>
        <v>MA163 100</v>
      </c>
      <c r="B96" s="7" t="s">
        <v>189</v>
      </c>
      <c r="C96" s="7">
        <v>100</v>
      </c>
      <c r="D96" s="7" t="s">
        <v>3</v>
      </c>
      <c r="E96" s="9">
        <f>COUNTIF(Professor[[Preference_1]:[Preference_4]],Course[[#This Row],[SessionPK]])</f>
        <v>2</v>
      </c>
      <c r="F96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96" s="9" t="str">
        <f>IFERROR(INDEX(Professor[Full/Part-time],MATCH(Course[[#This Row],[Professor]],Professor[Name],0)),"")</f>
        <v>F</v>
      </c>
      <c r="H96" t="s">
        <v>114</v>
      </c>
      <c r="I96" s="9">
        <f>COUNTIF(Course[Course],Course[[#This Row],[Course]])</f>
        <v>1</v>
      </c>
      <c r="J96" s="9"/>
    </row>
    <row r="97" spans="1:10" x14ac:dyDescent="0.25">
      <c r="A97" t="str">
        <f>Course[[#This Row],[Course]]&amp; " "&amp;Course[[#This Row],[Session]]</f>
        <v>MA164 100</v>
      </c>
      <c r="B97" s="7" t="s">
        <v>190</v>
      </c>
      <c r="C97" s="7">
        <v>100</v>
      </c>
      <c r="D97" s="7" t="s">
        <v>3</v>
      </c>
      <c r="E97" s="9">
        <f>COUNTIF(Professor[[Preference_1]:[Preference_4]],Course[[#This Row],[SessionPK]])</f>
        <v>2</v>
      </c>
      <c r="F97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97" s="9" t="str">
        <f>IFERROR(INDEX(Professor[Full/Part-time],MATCH(Course[[#This Row],[Professor]],Professor[Name],0)),"")</f>
        <v>F</v>
      </c>
      <c r="H97" t="s">
        <v>109</v>
      </c>
      <c r="I97" s="9">
        <f>COUNTIF(Course[Course],Course[[#This Row],[Course]])</f>
        <v>1</v>
      </c>
      <c r="J97" s="9"/>
    </row>
    <row r="98" spans="1:10" x14ac:dyDescent="0.25">
      <c r="A98" t="str">
        <f>Course[[#This Row],[Course]]&amp; " "&amp;Course[[#This Row],[Session]]</f>
        <v>MA165 100</v>
      </c>
      <c r="B98" s="7" t="s">
        <v>191</v>
      </c>
      <c r="C98" s="7">
        <v>100</v>
      </c>
      <c r="D98" s="7" t="s">
        <v>3</v>
      </c>
      <c r="E98" s="9">
        <f>COUNTIF(Professor[[Preference_1]:[Preference_4]],Course[[#This Row],[SessionPK]])</f>
        <v>2</v>
      </c>
      <c r="F98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98" s="9" t="str">
        <f>IFERROR(INDEX(Professor[Full/Part-time],MATCH(Course[[#This Row],[Professor]],Professor[Name],0)),"")</f>
        <v>F</v>
      </c>
      <c r="H98" t="s">
        <v>108</v>
      </c>
      <c r="I98" s="9">
        <f>COUNTIF(Course[Course],Course[[#This Row],[Course]])</f>
        <v>1</v>
      </c>
      <c r="J98" s="9"/>
    </row>
    <row r="99" spans="1:10" x14ac:dyDescent="0.25">
      <c r="A99" t="str">
        <f>Course[[#This Row],[Course]]&amp; " "&amp;Course[[#This Row],[Session]]</f>
        <v>MA166 100</v>
      </c>
      <c r="B99" s="7" t="s">
        <v>192</v>
      </c>
      <c r="C99" s="7">
        <v>100</v>
      </c>
      <c r="D99" s="7" t="s">
        <v>3</v>
      </c>
      <c r="E99" s="9">
        <f>COUNTIF(Professor[[Preference_1]:[Preference_4]],Course[[#This Row],[SessionPK]])</f>
        <v>2</v>
      </c>
      <c r="F99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3</v>
      </c>
      <c r="G99" s="9" t="str">
        <f>IFERROR(INDEX(Professor[Full/Part-time],MATCH(Course[[#This Row],[Professor]],Professor[Name],0)),"")</f>
        <v>F</v>
      </c>
      <c r="H99" t="s">
        <v>116</v>
      </c>
      <c r="I99" s="9">
        <f>COUNTIF(Course[Course],Course[[#This Row],[Course]])</f>
        <v>1</v>
      </c>
      <c r="J99" s="9"/>
    </row>
    <row r="100" spans="1:10" x14ac:dyDescent="0.25">
      <c r="A100" t="str">
        <f>Course[[#This Row],[Course]]&amp; " "&amp;Course[[#This Row],[Session]]</f>
        <v>MA167 100</v>
      </c>
      <c r="B100" s="7" t="s">
        <v>193</v>
      </c>
      <c r="C100" s="7">
        <v>100</v>
      </c>
      <c r="D100" s="7" t="s">
        <v>3</v>
      </c>
      <c r="E100" s="9">
        <f>COUNTIF(Professor[[Preference_1]:[Preference_4]],Course[[#This Row],[SessionPK]])</f>
        <v>2</v>
      </c>
      <c r="F100" s="9">
        <f ca="1">SUM(IFERROR(COUNTIF(OFFSET(Professor[[#Headers],[Session_1]],MATCH(Course[[#This Row],[SessionPK]],Professor[Preference_1],0),0,1,4),""),0),IFERROR(COUNTIF(OFFSET(Professor[[#Headers],[Session_1]],MATCH(Course[[#This Row],[SessionPK]],Professor[Preference_2],0),0,1,4),""),0),IFERROR(COUNTIF(OFFSET(Professor[[#Headers],[Session_1]],MATCH(Course[[#This Row],[SessionPK]],Professor[Preference_3],0),0,1,4),""),0),IFERROR(COUNTIF(OFFSET(Professor[[#Headers],[Session_1]],MATCH(Course[[#This Row],[SessionPK]],Professor[Preference_4],0),0,1,4),""),0))</f>
        <v>2</v>
      </c>
      <c r="G100" s="9" t="str">
        <f>IFERROR(INDEX(Professor[Full/Part-time],MATCH(Course[[#This Row],[Professor]],Professor[Name],0)),"")</f>
        <v>F</v>
      </c>
      <c r="H100" t="s">
        <v>112</v>
      </c>
      <c r="I100" s="9">
        <f>COUNTIF(Course[Course],Course[[#This Row],[Course]])</f>
        <v>1</v>
      </c>
      <c r="J100" s="9"/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51"/>
  <sheetViews>
    <sheetView workbookViewId="0"/>
  </sheetViews>
  <sheetFormatPr defaultRowHeight="15" x14ac:dyDescent="0.25"/>
  <cols>
    <col min="3" max="6" width="10.42578125" customWidth="1"/>
    <col min="7" max="10" width="12.85546875" bestFit="1" customWidth="1"/>
    <col min="11" max="17" width="11.140625" bestFit="1" customWidth="1"/>
    <col min="18" max="18" width="11.140625" customWidth="1"/>
    <col min="19" max="22" width="10" bestFit="1" customWidth="1"/>
  </cols>
  <sheetData>
    <row r="1" spans="1:22" x14ac:dyDescent="0.25">
      <c r="A1" t="s">
        <v>23</v>
      </c>
      <c r="B1" t="s">
        <v>24</v>
      </c>
      <c r="C1" t="s">
        <v>79</v>
      </c>
      <c r="D1" t="s">
        <v>80</v>
      </c>
      <c r="E1" t="s">
        <v>81</v>
      </c>
      <c r="F1" t="s">
        <v>82</v>
      </c>
      <c r="G1" t="s">
        <v>25</v>
      </c>
      <c r="H1" t="s">
        <v>26</v>
      </c>
      <c r="I1" t="s">
        <v>27</v>
      </c>
      <c r="J1" t="s">
        <v>28</v>
      </c>
      <c r="K1" t="s">
        <v>261</v>
      </c>
      <c r="L1" t="s">
        <v>262</v>
      </c>
      <c r="M1" t="s">
        <v>263</v>
      </c>
      <c r="N1" t="s">
        <v>264</v>
      </c>
      <c r="O1" t="s">
        <v>265</v>
      </c>
      <c r="P1" t="s">
        <v>266</v>
      </c>
      <c r="Q1" t="s">
        <v>267</v>
      </c>
      <c r="R1" t="s">
        <v>272</v>
      </c>
      <c r="S1" t="s">
        <v>268</v>
      </c>
      <c r="T1" t="s">
        <v>269</v>
      </c>
      <c r="U1" t="s">
        <v>270</v>
      </c>
      <c r="V1" t="s">
        <v>271</v>
      </c>
    </row>
    <row r="2" spans="1:22" x14ac:dyDescent="0.25">
      <c r="A2" s="3" t="s">
        <v>29</v>
      </c>
      <c r="B2" s="3" t="s">
        <v>4</v>
      </c>
      <c r="C2" t="s">
        <v>30</v>
      </c>
      <c r="D2" t="s">
        <v>31</v>
      </c>
      <c r="E2" t="s">
        <v>32</v>
      </c>
      <c r="F2" t="s">
        <v>33</v>
      </c>
      <c r="G2" s="3" t="s">
        <v>30</v>
      </c>
      <c r="H2" s="3" t="s">
        <v>31</v>
      </c>
      <c r="I2" s="3" t="s">
        <v>32</v>
      </c>
      <c r="J2" s="3" t="s">
        <v>33</v>
      </c>
      <c r="K2" s="3">
        <v>10</v>
      </c>
      <c r="L2" s="3">
        <v>14</v>
      </c>
      <c r="M2" s="3">
        <v>4</v>
      </c>
      <c r="N2" s="3">
        <v>2</v>
      </c>
      <c r="O2" s="3">
        <v>8</v>
      </c>
      <c r="P2" s="3">
        <v>13</v>
      </c>
      <c r="Q2" s="3"/>
      <c r="R2" s="3"/>
      <c r="S2" s="3">
        <v>7</v>
      </c>
      <c r="T2" s="3">
        <v>22</v>
      </c>
      <c r="U2" s="3">
        <v>20</v>
      </c>
      <c r="V2" s="3">
        <v>25</v>
      </c>
    </row>
    <row r="3" spans="1:22" x14ac:dyDescent="0.25">
      <c r="A3" s="3" t="s">
        <v>34</v>
      </c>
      <c r="B3" s="3" t="s">
        <v>4</v>
      </c>
      <c r="C3" t="s">
        <v>35</v>
      </c>
      <c r="D3" t="s">
        <v>36</v>
      </c>
      <c r="E3" t="s">
        <v>37</v>
      </c>
      <c r="F3" t="s">
        <v>38</v>
      </c>
      <c r="G3" s="3" t="s">
        <v>35</v>
      </c>
      <c r="H3" s="3" t="s">
        <v>36</v>
      </c>
      <c r="I3" s="3" t="s">
        <v>37</v>
      </c>
      <c r="J3" s="3" t="s">
        <v>38</v>
      </c>
      <c r="K3" s="3">
        <v>24</v>
      </c>
      <c r="L3" s="3">
        <v>17</v>
      </c>
      <c r="M3" s="3">
        <v>20</v>
      </c>
      <c r="N3" s="3">
        <v>3</v>
      </c>
      <c r="O3" s="3">
        <v>5</v>
      </c>
      <c r="P3" s="3">
        <v>9</v>
      </c>
      <c r="Q3" s="3"/>
      <c r="R3" s="3"/>
      <c r="S3" s="3">
        <v>24</v>
      </c>
      <c r="T3" s="3">
        <v>21</v>
      </c>
      <c r="U3" s="3">
        <v>21</v>
      </c>
      <c r="V3" s="3">
        <v>3</v>
      </c>
    </row>
    <row r="4" spans="1:22" x14ac:dyDescent="0.25">
      <c r="A4" s="3" t="s">
        <v>39</v>
      </c>
      <c r="B4" s="3" t="s">
        <v>4</v>
      </c>
      <c r="C4" t="s">
        <v>40</v>
      </c>
      <c r="D4" t="s">
        <v>41</v>
      </c>
      <c r="E4" t="s">
        <v>42</v>
      </c>
      <c r="F4" t="s">
        <v>43</v>
      </c>
      <c r="G4" s="3" t="s">
        <v>40</v>
      </c>
      <c r="H4" s="3" t="s">
        <v>41</v>
      </c>
      <c r="I4" s="3" t="s">
        <v>42</v>
      </c>
      <c r="J4" s="3" t="s">
        <v>43</v>
      </c>
      <c r="K4" s="3">
        <v>4</v>
      </c>
      <c r="L4" s="3">
        <v>26</v>
      </c>
      <c r="M4" s="3">
        <v>22</v>
      </c>
      <c r="N4" s="3">
        <v>8</v>
      </c>
      <c r="O4" s="3">
        <v>26</v>
      </c>
      <c r="P4" s="3">
        <v>8</v>
      </c>
      <c r="Q4" s="3"/>
      <c r="R4" s="3"/>
      <c r="S4" s="3">
        <v>23</v>
      </c>
      <c r="T4" s="3">
        <v>15</v>
      </c>
      <c r="U4" s="3">
        <v>18</v>
      </c>
      <c r="V4" s="3">
        <v>22</v>
      </c>
    </row>
    <row r="5" spans="1:22" x14ac:dyDescent="0.25">
      <c r="A5" s="3" t="s">
        <v>44</v>
      </c>
      <c r="B5" s="3" t="s">
        <v>45</v>
      </c>
      <c r="C5" t="s">
        <v>46</v>
      </c>
      <c r="D5" t="s">
        <v>47</v>
      </c>
      <c r="E5" t="s">
        <v>48</v>
      </c>
      <c r="F5" t="s">
        <v>49</v>
      </c>
      <c r="G5" s="3" t="s">
        <v>46</v>
      </c>
      <c r="H5" s="3" t="s">
        <v>47</v>
      </c>
      <c r="I5" s="3" t="s">
        <v>48</v>
      </c>
      <c r="J5" s="3" t="s">
        <v>49</v>
      </c>
      <c r="K5" s="3">
        <v>5</v>
      </c>
      <c r="L5" s="3">
        <v>9</v>
      </c>
      <c r="M5" s="3">
        <v>2</v>
      </c>
      <c r="N5" s="3">
        <v>6</v>
      </c>
      <c r="O5" s="3">
        <v>9</v>
      </c>
      <c r="P5" s="3">
        <v>11</v>
      </c>
      <c r="Q5" s="3"/>
      <c r="R5" s="3"/>
      <c r="S5" s="3">
        <v>10</v>
      </c>
      <c r="T5" s="3">
        <v>18</v>
      </c>
      <c r="U5" s="3">
        <v>14</v>
      </c>
      <c r="V5" s="3">
        <v>9</v>
      </c>
    </row>
    <row r="6" spans="1:22" x14ac:dyDescent="0.25">
      <c r="A6" s="3" t="s">
        <v>50</v>
      </c>
      <c r="B6" s="3" t="s">
        <v>4</v>
      </c>
      <c r="C6" t="s">
        <v>51</v>
      </c>
      <c r="D6" t="s">
        <v>52</v>
      </c>
      <c r="E6" t="s">
        <v>53</v>
      </c>
      <c r="F6" t="s">
        <v>54</v>
      </c>
      <c r="G6" s="3" t="s">
        <v>51</v>
      </c>
      <c r="H6" s="3" t="s">
        <v>52</v>
      </c>
      <c r="I6" s="3" t="s">
        <v>53</v>
      </c>
      <c r="J6" s="3" t="s">
        <v>54</v>
      </c>
      <c r="K6" s="3">
        <v>3</v>
      </c>
      <c r="L6" s="3">
        <v>5</v>
      </c>
      <c r="M6" s="3">
        <v>2</v>
      </c>
      <c r="N6" s="3">
        <v>22</v>
      </c>
      <c r="O6" s="3">
        <v>12</v>
      </c>
      <c r="P6" s="3">
        <v>24</v>
      </c>
      <c r="Q6" s="3"/>
      <c r="R6" s="3"/>
      <c r="S6" s="3">
        <v>23</v>
      </c>
      <c r="T6" s="3">
        <v>16</v>
      </c>
      <c r="U6" s="3">
        <v>9</v>
      </c>
      <c r="V6" s="3">
        <v>3</v>
      </c>
    </row>
    <row r="7" spans="1:22" x14ac:dyDescent="0.25">
      <c r="A7" s="3" t="s">
        <v>55</v>
      </c>
      <c r="B7" s="3" t="s">
        <v>4</v>
      </c>
      <c r="C7" t="s">
        <v>56</v>
      </c>
      <c r="D7" t="s">
        <v>57</v>
      </c>
      <c r="E7" t="s">
        <v>58</v>
      </c>
      <c r="F7" t="s">
        <v>59</v>
      </c>
      <c r="G7" s="3" t="s">
        <v>56</v>
      </c>
      <c r="H7" s="3" t="s">
        <v>57</v>
      </c>
      <c r="I7" s="3" t="s">
        <v>58</v>
      </c>
      <c r="J7" s="3" t="s">
        <v>59</v>
      </c>
      <c r="K7" s="3">
        <v>17</v>
      </c>
      <c r="L7" s="3">
        <v>24</v>
      </c>
      <c r="M7" s="3">
        <v>3</v>
      </c>
      <c r="N7" s="3">
        <v>22</v>
      </c>
      <c r="O7" s="3">
        <v>7</v>
      </c>
      <c r="P7" s="3">
        <v>20</v>
      </c>
      <c r="Q7" s="3"/>
      <c r="R7" s="3"/>
      <c r="S7" s="3">
        <v>23</v>
      </c>
      <c r="T7" s="3">
        <v>18</v>
      </c>
      <c r="U7" s="3">
        <v>28</v>
      </c>
      <c r="V7" s="3">
        <v>7</v>
      </c>
    </row>
    <row r="8" spans="1:22" x14ac:dyDescent="0.25">
      <c r="A8" s="3" t="s">
        <v>60</v>
      </c>
      <c r="B8" s="3" t="s">
        <v>45</v>
      </c>
      <c r="C8" t="s">
        <v>61</v>
      </c>
      <c r="D8" t="s">
        <v>62</v>
      </c>
      <c r="E8" t="s">
        <v>63</v>
      </c>
      <c r="F8" t="s">
        <v>64</v>
      </c>
      <c r="G8" s="3" t="s">
        <v>61</v>
      </c>
      <c r="H8" s="3" t="s">
        <v>62</v>
      </c>
      <c r="I8" s="3" t="s">
        <v>63</v>
      </c>
      <c r="J8" s="3" t="s">
        <v>64</v>
      </c>
      <c r="K8" s="3">
        <v>23</v>
      </c>
      <c r="L8" s="3">
        <v>28</v>
      </c>
      <c r="M8" s="3">
        <v>22</v>
      </c>
      <c r="N8" s="3">
        <v>15</v>
      </c>
      <c r="O8" s="3">
        <v>18</v>
      </c>
      <c r="P8" s="3">
        <v>7</v>
      </c>
      <c r="Q8" s="3"/>
      <c r="R8" s="3"/>
      <c r="S8" s="3">
        <v>1</v>
      </c>
      <c r="T8" s="3">
        <v>15</v>
      </c>
      <c r="U8" s="3">
        <v>24</v>
      </c>
      <c r="V8" s="3">
        <v>22</v>
      </c>
    </row>
    <row r="9" spans="1:22" x14ac:dyDescent="0.25">
      <c r="A9" s="3" t="s">
        <v>65</v>
      </c>
      <c r="B9" s="3" t="s">
        <v>45</v>
      </c>
      <c r="C9" t="s">
        <v>66</v>
      </c>
      <c r="D9" t="s">
        <v>67</v>
      </c>
      <c r="G9" s="3" t="s">
        <v>66</v>
      </c>
      <c r="H9" s="3" t="s">
        <v>67</v>
      </c>
      <c r="I9" s="3" t="s">
        <v>68</v>
      </c>
      <c r="J9" s="3"/>
      <c r="K9" s="3">
        <v>28</v>
      </c>
      <c r="L9" s="3">
        <v>28</v>
      </c>
      <c r="M9" s="3">
        <v>28</v>
      </c>
      <c r="N9" s="3">
        <v>8</v>
      </c>
      <c r="O9" s="3">
        <v>2</v>
      </c>
      <c r="P9" s="3">
        <v>22</v>
      </c>
      <c r="Q9" s="3"/>
      <c r="R9" s="3"/>
      <c r="S9" s="3">
        <v>17</v>
      </c>
      <c r="T9" s="3">
        <v>9</v>
      </c>
      <c r="U9" s="3">
        <v>12</v>
      </c>
      <c r="V9" s="3">
        <v>21</v>
      </c>
    </row>
    <row r="10" spans="1:22" x14ac:dyDescent="0.25">
      <c r="A10" s="3" t="s">
        <v>70</v>
      </c>
      <c r="B10" s="3" t="s">
        <v>45</v>
      </c>
      <c r="C10" t="s">
        <v>69</v>
      </c>
      <c r="D10" t="s">
        <v>68</v>
      </c>
      <c r="G10" s="3" t="s">
        <v>69</v>
      </c>
      <c r="H10" s="3" t="s">
        <v>68</v>
      </c>
      <c r="I10" s="3"/>
      <c r="J10" s="3"/>
      <c r="K10" s="3">
        <v>16</v>
      </c>
      <c r="L10" s="3">
        <v>10</v>
      </c>
      <c r="M10" s="3">
        <v>3</v>
      </c>
      <c r="N10" s="3">
        <v>2</v>
      </c>
      <c r="O10" s="3">
        <v>8</v>
      </c>
      <c r="P10" s="3">
        <v>14</v>
      </c>
      <c r="Q10" s="3"/>
      <c r="R10" s="3"/>
      <c r="S10" s="3">
        <v>1</v>
      </c>
      <c r="T10" s="3">
        <v>14</v>
      </c>
      <c r="U10" s="3">
        <v>8</v>
      </c>
      <c r="V10" s="3">
        <v>6</v>
      </c>
    </row>
    <row r="11" spans="1:22" x14ac:dyDescent="0.25">
      <c r="A11" s="3" t="s">
        <v>86</v>
      </c>
      <c r="B11" s="3" t="s">
        <v>45</v>
      </c>
      <c r="C11" t="s">
        <v>235</v>
      </c>
      <c r="D11" t="s">
        <v>194</v>
      </c>
      <c r="G11" s="3" t="s">
        <v>194</v>
      </c>
      <c r="H11" s="3" t="s">
        <v>235</v>
      </c>
      <c r="I11" s="3"/>
      <c r="J11" s="3"/>
      <c r="K11" s="3">
        <v>13</v>
      </c>
      <c r="L11" s="3">
        <v>9</v>
      </c>
      <c r="M11" s="3">
        <v>3</v>
      </c>
      <c r="N11" s="3">
        <v>15</v>
      </c>
      <c r="O11" s="3">
        <v>20</v>
      </c>
      <c r="P11" s="3">
        <v>15</v>
      </c>
      <c r="Q11" s="3"/>
      <c r="R11" s="3"/>
      <c r="S11" s="3">
        <v>2</v>
      </c>
      <c r="T11" s="3">
        <v>23</v>
      </c>
      <c r="U11" s="3">
        <v>24</v>
      </c>
      <c r="V11" s="3">
        <v>2</v>
      </c>
    </row>
    <row r="12" spans="1:22" x14ac:dyDescent="0.25">
      <c r="A12" s="3" t="s">
        <v>87</v>
      </c>
      <c r="B12" s="3" t="s">
        <v>45</v>
      </c>
      <c r="C12" t="s">
        <v>236</v>
      </c>
      <c r="G12" s="3" t="s">
        <v>195</v>
      </c>
      <c r="H12" s="3" t="s">
        <v>236</v>
      </c>
      <c r="I12" s="3"/>
      <c r="J12" s="3"/>
      <c r="K12" s="3">
        <v>19</v>
      </c>
      <c r="L12" s="3">
        <v>17</v>
      </c>
      <c r="M12" s="3">
        <v>22</v>
      </c>
      <c r="N12" s="3">
        <v>10</v>
      </c>
      <c r="O12" s="3">
        <v>3</v>
      </c>
      <c r="P12" s="3">
        <v>15</v>
      </c>
      <c r="Q12" s="3"/>
      <c r="R12" s="3"/>
      <c r="S12" s="3">
        <v>28</v>
      </c>
      <c r="T12" s="3">
        <v>7</v>
      </c>
      <c r="U12" s="3">
        <v>3</v>
      </c>
      <c r="V12" s="3">
        <v>1</v>
      </c>
    </row>
    <row r="13" spans="1:22" x14ac:dyDescent="0.25">
      <c r="A13" s="3" t="s">
        <v>88</v>
      </c>
      <c r="B13" s="3" t="s">
        <v>45</v>
      </c>
      <c r="C13" t="s">
        <v>237</v>
      </c>
      <c r="G13" s="3" t="s">
        <v>196</v>
      </c>
      <c r="H13" s="3" t="s">
        <v>237</v>
      </c>
      <c r="I13" s="3" t="s">
        <v>194</v>
      </c>
      <c r="J13" s="3"/>
      <c r="K13" s="3">
        <v>8</v>
      </c>
      <c r="L13" s="3">
        <v>18</v>
      </c>
      <c r="M13" s="3">
        <v>27</v>
      </c>
      <c r="N13" s="3">
        <v>21</v>
      </c>
      <c r="O13" s="3">
        <v>23</v>
      </c>
      <c r="P13" s="3">
        <v>9</v>
      </c>
      <c r="Q13" s="3"/>
      <c r="R13" s="3"/>
      <c r="S13" s="3">
        <v>9</v>
      </c>
      <c r="T13" s="3">
        <v>18</v>
      </c>
      <c r="U13" s="3">
        <v>20</v>
      </c>
      <c r="V13" s="3">
        <v>1</v>
      </c>
    </row>
    <row r="14" spans="1:22" x14ac:dyDescent="0.25">
      <c r="A14" s="3" t="s">
        <v>89</v>
      </c>
      <c r="B14" s="3" t="s">
        <v>45</v>
      </c>
      <c r="C14" t="s">
        <v>238</v>
      </c>
      <c r="D14" t="s">
        <v>195</v>
      </c>
      <c r="G14" s="3" t="s">
        <v>197</v>
      </c>
      <c r="H14" s="3" t="s">
        <v>238</v>
      </c>
      <c r="I14" s="3" t="s">
        <v>195</v>
      </c>
      <c r="J14" s="3"/>
      <c r="K14" s="3">
        <v>28</v>
      </c>
      <c r="L14" s="3">
        <v>26</v>
      </c>
      <c r="M14" s="3">
        <v>11</v>
      </c>
      <c r="N14" s="3">
        <v>12</v>
      </c>
      <c r="O14" s="3">
        <v>18</v>
      </c>
      <c r="P14" s="3">
        <v>16</v>
      </c>
      <c r="Q14" s="3"/>
      <c r="R14" s="3"/>
      <c r="S14" s="3">
        <v>12</v>
      </c>
      <c r="T14" s="3">
        <v>16</v>
      </c>
      <c r="U14" s="3">
        <v>13</v>
      </c>
      <c r="V14" s="3">
        <v>1</v>
      </c>
    </row>
    <row r="15" spans="1:22" x14ac:dyDescent="0.25">
      <c r="A15" s="3" t="s">
        <v>90</v>
      </c>
      <c r="B15" s="3" t="s">
        <v>45</v>
      </c>
      <c r="C15" t="s">
        <v>239</v>
      </c>
      <c r="D15" t="s">
        <v>196</v>
      </c>
      <c r="G15" s="3" t="s">
        <v>198</v>
      </c>
      <c r="H15" s="3" t="s">
        <v>239</v>
      </c>
      <c r="I15" s="3" t="s">
        <v>196</v>
      </c>
      <c r="J15" s="3"/>
      <c r="K15" s="3">
        <v>24</v>
      </c>
      <c r="L15" s="3">
        <v>25</v>
      </c>
      <c r="M15" s="3">
        <v>21</v>
      </c>
      <c r="N15" s="3">
        <v>11</v>
      </c>
      <c r="O15" s="3">
        <v>13</v>
      </c>
      <c r="P15" s="3">
        <v>17</v>
      </c>
      <c r="Q15" s="3">
        <v>6</v>
      </c>
      <c r="R15" s="3">
        <v>12</v>
      </c>
      <c r="S15" s="3">
        <v>20</v>
      </c>
      <c r="T15" s="3">
        <v>1</v>
      </c>
      <c r="U15" s="3">
        <v>26</v>
      </c>
      <c r="V15" s="3">
        <v>10</v>
      </c>
    </row>
    <row r="16" spans="1:22" x14ac:dyDescent="0.25">
      <c r="A16" s="3" t="s">
        <v>91</v>
      </c>
      <c r="B16" s="3" t="s">
        <v>4</v>
      </c>
      <c r="C16" t="s">
        <v>240</v>
      </c>
      <c r="D16" t="s">
        <v>199</v>
      </c>
      <c r="E16" t="s">
        <v>197</v>
      </c>
      <c r="G16" s="3" t="s">
        <v>199</v>
      </c>
      <c r="H16" s="3" t="s">
        <v>240</v>
      </c>
      <c r="I16" s="3" t="s">
        <v>197</v>
      </c>
      <c r="J16" s="3"/>
      <c r="K16" s="3">
        <v>28</v>
      </c>
      <c r="L16" s="3">
        <v>19</v>
      </c>
      <c r="M16" s="3">
        <v>8</v>
      </c>
      <c r="N16" s="3">
        <v>22</v>
      </c>
      <c r="O16" s="3">
        <v>27</v>
      </c>
      <c r="P16" s="3">
        <v>14</v>
      </c>
      <c r="Q16" s="3">
        <v>21</v>
      </c>
      <c r="R16" s="3">
        <v>2</v>
      </c>
      <c r="S16" s="3">
        <v>3</v>
      </c>
      <c r="T16" s="3">
        <v>4</v>
      </c>
      <c r="U16" s="3">
        <v>19</v>
      </c>
      <c r="V16" s="3">
        <v>1</v>
      </c>
    </row>
    <row r="17" spans="1:22" x14ac:dyDescent="0.25">
      <c r="A17" s="3" t="s">
        <v>92</v>
      </c>
      <c r="B17" s="3" t="s">
        <v>4</v>
      </c>
      <c r="C17" t="s">
        <v>241</v>
      </c>
      <c r="D17" t="s">
        <v>200</v>
      </c>
      <c r="E17" t="s">
        <v>198</v>
      </c>
      <c r="G17" s="3" t="s">
        <v>200</v>
      </c>
      <c r="H17" s="3" t="s">
        <v>241</v>
      </c>
      <c r="I17" s="3" t="s">
        <v>198</v>
      </c>
      <c r="J17" s="3"/>
      <c r="K17" s="3">
        <v>10</v>
      </c>
      <c r="L17" s="3">
        <v>2</v>
      </c>
      <c r="M17" s="3">
        <v>5</v>
      </c>
      <c r="N17" s="3">
        <v>13</v>
      </c>
      <c r="O17" s="3">
        <v>10</v>
      </c>
      <c r="P17" s="3">
        <v>1</v>
      </c>
      <c r="Q17" s="3">
        <v>22</v>
      </c>
      <c r="R17" s="3">
        <v>22</v>
      </c>
      <c r="S17" s="3">
        <v>5</v>
      </c>
      <c r="T17" s="3">
        <v>10</v>
      </c>
      <c r="U17" s="3">
        <v>4</v>
      </c>
      <c r="V17" s="3">
        <v>12</v>
      </c>
    </row>
    <row r="18" spans="1:22" x14ac:dyDescent="0.25">
      <c r="A18" s="3" t="s">
        <v>93</v>
      </c>
      <c r="B18" s="3" t="s">
        <v>4</v>
      </c>
      <c r="C18" t="s">
        <v>242</v>
      </c>
      <c r="D18" t="s">
        <v>201</v>
      </c>
      <c r="G18" s="3" t="s">
        <v>201</v>
      </c>
      <c r="H18" s="3" t="s">
        <v>242</v>
      </c>
      <c r="I18" s="3" t="s">
        <v>199</v>
      </c>
      <c r="J18" s="3"/>
      <c r="K18" s="3">
        <v>28</v>
      </c>
      <c r="L18" s="3">
        <v>6</v>
      </c>
      <c r="M18" s="3">
        <v>7</v>
      </c>
      <c r="N18" s="3">
        <v>8</v>
      </c>
      <c r="O18" s="3">
        <v>18</v>
      </c>
      <c r="P18" s="3">
        <v>14</v>
      </c>
      <c r="Q18" s="3">
        <v>16</v>
      </c>
      <c r="R18" s="3">
        <v>23</v>
      </c>
      <c r="S18" s="3">
        <v>18</v>
      </c>
      <c r="T18" s="3">
        <v>23</v>
      </c>
      <c r="U18" s="3">
        <v>26</v>
      </c>
      <c r="V18" s="3"/>
    </row>
    <row r="19" spans="1:22" x14ac:dyDescent="0.25">
      <c r="A19" s="3" t="s">
        <v>94</v>
      </c>
      <c r="B19" s="3" t="s">
        <v>4</v>
      </c>
      <c r="C19" t="s">
        <v>243</v>
      </c>
      <c r="G19" s="3" t="s">
        <v>202</v>
      </c>
      <c r="H19" s="3" t="s">
        <v>243</v>
      </c>
      <c r="I19" s="3" t="s">
        <v>200</v>
      </c>
      <c r="J19" s="3"/>
      <c r="K19" s="3">
        <v>27</v>
      </c>
      <c r="L19" s="3">
        <v>7</v>
      </c>
      <c r="M19" s="3">
        <v>10</v>
      </c>
      <c r="N19" s="3">
        <v>15</v>
      </c>
      <c r="O19" s="3">
        <v>25</v>
      </c>
      <c r="P19" s="3">
        <v>19</v>
      </c>
      <c r="Q19" s="3">
        <v>8</v>
      </c>
      <c r="R19" s="3">
        <v>6</v>
      </c>
      <c r="S19" s="3">
        <v>28</v>
      </c>
      <c r="T19" s="3">
        <v>23</v>
      </c>
      <c r="U19" s="3">
        <v>7</v>
      </c>
      <c r="V19" s="3"/>
    </row>
    <row r="20" spans="1:22" x14ac:dyDescent="0.25">
      <c r="A20" s="3" t="s">
        <v>95</v>
      </c>
      <c r="B20" s="3" t="s">
        <v>4</v>
      </c>
      <c r="C20" t="s">
        <v>244</v>
      </c>
      <c r="G20" s="3" t="s">
        <v>203</v>
      </c>
      <c r="H20" s="3" t="s">
        <v>244</v>
      </c>
      <c r="I20" s="3" t="s">
        <v>201</v>
      </c>
      <c r="J20" s="3"/>
      <c r="K20" s="3">
        <v>22</v>
      </c>
      <c r="L20" s="3">
        <v>16</v>
      </c>
      <c r="M20" s="3">
        <v>23</v>
      </c>
      <c r="N20" s="3">
        <v>5</v>
      </c>
      <c r="O20" s="3">
        <v>6</v>
      </c>
      <c r="P20" s="3">
        <v>8</v>
      </c>
      <c r="Q20" s="3">
        <v>19</v>
      </c>
      <c r="R20" s="3">
        <v>25</v>
      </c>
      <c r="S20" s="3">
        <v>5</v>
      </c>
      <c r="T20" s="3">
        <v>5</v>
      </c>
      <c r="U20" s="3">
        <v>21</v>
      </c>
      <c r="V20" s="3"/>
    </row>
    <row r="21" spans="1:22" x14ac:dyDescent="0.25">
      <c r="A21" s="3" t="s">
        <v>96</v>
      </c>
      <c r="B21" s="3" t="s">
        <v>4</v>
      </c>
      <c r="C21" t="s">
        <v>245</v>
      </c>
      <c r="D21" t="s">
        <v>202</v>
      </c>
      <c r="G21" s="3" t="s">
        <v>204</v>
      </c>
      <c r="H21" s="3" t="s">
        <v>245</v>
      </c>
      <c r="I21" s="3" t="s">
        <v>202</v>
      </c>
      <c r="J21" s="3"/>
      <c r="K21" s="3">
        <v>27</v>
      </c>
      <c r="L21" s="3">
        <v>1</v>
      </c>
      <c r="M21" s="3">
        <v>5</v>
      </c>
      <c r="N21" s="3">
        <v>16</v>
      </c>
      <c r="O21" s="3">
        <v>13</v>
      </c>
      <c r="P21" s="3">
        <v>6</v>
      </c>
      <c r="Q21" s="3">
        <v>22</v>
      </c>
      <c r="R21" s="3">
        <v>15</v>
      </c>
      <c r="S21" s="3">
        <v>24</v>
      </c>
      <c r="T21" s="3">
        <v>17</v>
      </c>
      <c r="U21" s="3">
        <v>17</v>
      </c>
      <c r="V21" s="3"/>
    </row>
    <row r="22" spans="1:22" x14ac:dyDescent="0.25">
      <c r="A22" s="3" t="s">
        <v>97</v>
      </c>
      <c r="B22" s="3" t="s">
        <v>4</v>
      </c>
      <c r="C22" t="s">
        <v>205</v>
      </c>
      <c r="D22" t="s">
        <v>246</v>
      </c>
      <c r="G22" s="3" t="s">
        <v>205</v>
      </c>
      <c r="H22" s="3" t="s">
        <v>246</v>
      </c>
      <c r="I22" s="3" t="s">
        <v>203</v>
      </c>
      <c r="J22" s="3"/>
      <c r="K22" s="3">
        <v>18</v>
      </c>
      <c r="L22" s="3">
        <v>21</v>
      </c>
      <c r="M22" s="3">
        <v>15</v>
      </c>
      <c r="N22" s="3">
        <v>11</v>
      </c>
      <c r="O22" s="3">
        <v>11</v>
      </c>
      <c r="P22" s="3">
        <v>20</v>
      </c>
      <c r="Q22" s="3">
        <v>17</v>
      </c>
      <c r="R22" s="3">
        <v>6</v>
      </c>
      <c r="S22" s="3">
        <v>10</v>
      </c>
      <c r="T22" s="3">
        <v>27</v>
      </c>
      <c r="U22" s="3">
        <v>27</v>
      </c>
      <c r="V22" s="3"/>
    </row>
    <row r="23" spans="1:22" x14ac:dyDescent="0.25">
      <c r="A23" s="3" t="s">
        <v>98</v>
      </c>
      <c r="B23" s="3" t="s">
        <v>4</v>
      </c>
      <c r="C23" t="s">
        <v>206</v>
      </c>
      <c r="D23" t="s">
        <v>247</v>
      </c>
      <c r="E23" t="s">
        <v>204</v>
      </c>
      <c r="G23" s="3" t="s">
        <v>206</v>
      </c>
      <c r="H23" s="3" t="s">
        <v>247</v>
      </c>
      <c r="I23" s="3" t="s">
        <v>204</v>
      </c>
      <c r="J23" s="3"/>
      <c r="K23" s="3">
        <v>27</v>
      </c>
      <c r="L23" s="3">
        <v>9</v>
      </c>
      <c r="M23" s="3">
        <v>26</v>
      </c>
      <c r="N23" s="3">
        <v>18</v>
      </c>
      <c r="O23" s="3">
        <v>12</v>
      </c>
      <c r="P23" s="3">
        <v>10</v>
      </c>
      <c r="Q23" s="3">
        <v>11</v>
      </c>
      <c r="R23" s="3">
        <v>17</v>
      </c>
      <c r="S23" s="3">
        <v>9</v>
      </c>
      <c r="T23" s="3">
        <v>13</v>
      </c>
      <c r="U23" s="3">
        <v>6</v>
      </c>
      <c r="V23" s="3"/>
    </row>
    <row r="24" spans="1:22" x14ac:dyDescent="0.25">
      <c r="A24" s="3" t="s">
        <v>99</v>
      </c>
      <c r="B24" s="3" t="s">
        <v>4</v>
      </c>
      <c r="C24" t="s">
        <v>207</v>
      </c>
      <c r="D24" t="s">
        <v>248</v>
      </c>
      <c r="G24" s="3" t="s">
        <v>207</v>
      </c>
      <c r="H24" s="3" t="s">
        <v>248</v>
      </c>
      <c r="I24" s="3"/>
      <c r="J24" s="3"/>
      <c r="K24" s="3">
        <v>6</v>
      </c>
      <c r="L24" s="3">
        <v>16</v>
      </c>
      <c r="M24" s="3">
        <v>15</v>
      </c>
      <c r="N24" s="3">
        <v>3</v>
      </c>
      <c r="O24" s="3">
        <v>26</v>
      </c>
      <c r="P24" s="3">
        <v>6</v>
      </c>
      <c r="Q24" s="3">
        <v>21</v>
      </c>
      <c r="R24" s="3">
        <v>18</v>
      </c>
      <c r="S24" s="3">
        <v>13</v>
      </c>
      <c r="T24" s="3">
        <v>6</v>
      </c>
      <c r="U24" s="3">
        <v>21</v>
      </c>
      <c r="V24" s="3"/>
    </row>
    <row r="25" spans="1:22" x14ac:dyDescent="0.25">
      <c r="A25" s="3" t="s">
        <v>100</v>
      </c>
      <c r="B25" s="3" t="s">
        <v>4</v>
      </c>
      <c r="C25" t="s">
        <v>208</v>
      </c>
      <c r="D25" t="s">
        <v>249</v>
      </c>
      <c r="G25" s="3" t="s">
        <v>208</v>
      </c>
      <c r="H25" s="3" t="s">
        <v>249</v>
      </c>
      <c r="I25" s="3"/>
      <c r="J25" s="3"/>
      <c r="K25" s="3">
        <v>13</v>
      </c>
      <c r="L25" s="3">
        <v>14</v>
      </c>
      <c r="M25" s="3">
        <v>16</v>
      </c>
      <c r="N25" s="3">
        <v>16</v>
      </c>
      <c r="O25" s="3">
        <v>25</v>
      </c>
      <c r="P25" s="3">
        <v>22</v>
      </c>
      <c r="Q25" s="3">
        <v>9</v>
      </c>
      <c r="R25" s="3">
        <v>4</v>
      </c>
      <c r="S25" s="3">
        <v>18</v>
      </c>
      <c r="T25" s="3">
        <v>1</v>
      </c>
      <c r="U25" s="3">
        <v>3</v>
      </c>
      <c r="V25" s="3"/>
    </row>
    <row r="26" spans="1:22" x14ac:dyDescent="0.25">
      <c r="A26" s="3" t="s">
        <v>101</v>
      </c>
      <c r="B26" s="3" t="s">
        <v>4</v>
      </c>
      <c r="C26" t="s">
        <v>209</v>
      </c>
      <c r="D26" t="s">
        <v>250</v>
      </c>
      <c r="G26" s="3" t="s">
        <v>209</v>
      </c>
      <c r="H26" s="3" t="s">
        <v>250</v>
      </c>
      <c r="I26" s="3"/>
      <c r="J26" s="3"/>
      <c r="K26" s="3">
        <v>21</v>
      </c>
      <c r="L26" s="3">
        <v>11</v>
      </c>
      <c r="M26" s="3">
        <v>6</v>
      </c>
      <c r="N26" s="3">
        <v>2</v>
      </c>
      <c r="O26" s="3">
        <v>15</v>
      </c>
      <c r="P26" s="3">
        <v>2</v>
      </c>
      <c r="Q26" s="3">
        <v>17</v>
      </c>
      <c r="R26" s="3">
        <v>22</v>
      </c>
      <c r="S26" s="3">
        <v>16</v>
      </c>
      <c r="T26" s="3">
        <v>16</v>
      </c>
      <c r="U26" s="3">
        <v>6</v>
      </c>
      <c r="V26" s="3"/>
    </row>
    <row r="27" spans="1:22" x14ac:dyDescent="0.25">
      <c r="A27" s="3" t="s">
        <v>102</v>
      </c>
      <c r="B27" s="3" t="s">
        <v>4</v>
      </c>
      <c r="C27" t="s">
        <v>210</v>
      </c>
      <c r="D27" t="s">
        <v>251</v>
      </c>
      <c r="G27" s="3" t="s">
        <v>210</v>
      </c>
      <c r="H27" s="3" t="s">
        <v>251</v>
      </c>
      <c r="I27" s="3"/>
      <c r="J27" s="3"/>
      <c r="K27" s="3">
        <v>24</v>
      </c>
      <c r="L27" s="3">
        <v>5</v>
      </c>
      <c r="M27" s="3">
        <v>23</v>
      </c>
      <c r="N27" s="3">
        <v>2</v>
      </c>
      <c r="O27" s="3">
        <v>3</v>
      </c>
      <c r="P27" s="3">
        <v>14</v>
      </c>
      <c r="Q27" s="3">
        <v>7</v>
      </c>
      <c r="R27" s="3">
        <v>17</v>
      </c>
      <c r="S27" s="3">
        <v>24</v>
      </c>
      <c r="T27" s="3">
        <v>15</v>
      </c>
      <c r="U27" s="3">
        <v>24</v>
      </c>
      <c r="V27" s="3">
        <v>14</v>
      </c>
    </row>
    <row r="28" spans="1:22" x14ac:dyDescent="0.25">
      <c r="A28" s="3" t="s">
        <v>103</v>
      </c>
      <c r="B28" s="3" t="s">
        <v>4</v>
      </c>
      <c r="C28" t="s">
        <v>211</v>
      </c>
      <c r="D28" t="s">
        <v>252</v>
      </c>
      <c r="G28" s="3" t="s">
        <v>211</v>
      </c>
      <c r="H28" s="3" t="s">
        <v>252</v>
      </c>
      <c r="I28" s="3"/>
      <c r="J28" s="3"/>
      <c r="K28" s="3">
        <v>15</v>
      </c>
      <c r="L28" s="3">
        <v>19</v>
      </c>
      <c r="M28" s="3">
        <v>27</v>
      </c>
      <c r="N28" s="3">
        <v>4</v>
      </c>
      <c r="O28" s="3">
        <v>12</v>
      </c>
      <c r="P28" s="3">
        <v>18</v>
      </c>
      <c r="Q28" s="3">
        <v>4</v>
      </c>
      <c r="R28" s="3">
        <v>8</v>
      </c>
      <c r="S28" s="3">
        <v>1</v>
      </c>
      <c r="T28" s="3">
        <v>16</v>
      </c>
      <c r="U28" s="3">
        <v>17</v>
      </c>
      <c r="V28" s="3">
        <v>10</v>
      </c>
    </row>
    <row r="29" spans="1:22" x14ac:dyDescent="0.25">
      <c r="A29" s="3" t="s">
        <v>104</v>
      </c>
      <c r="B29" s="3" t="s">
        <v>4</v>
      </c>
      <c r="C29" t="s">
        <v>212</v>
      </c>
      <c r="D29" t="s">
        <v>253</v>
      </c>
      <c r="G29" s="3" t="s">
        <v>212</v>
      </c>
      <c r="H29" s="3" t="s">
        <v>253</v>
      </c>
      <c r="I29" s="3" t="s">
        <v>194</v>
      </c>
      <c r="J29" s="3"/>
      <c r="K29" s="3">
        <v>23</v>
      </c>
      <c r="L29" s="3">
        <v>27</v>
      </c>
      <c r="M29" s="3">
        <v>21</v>
      </c>
      <c r="N29" s="3">
        <v>25</v>
      </c>
      <c r="O29" s="3">
        <v>9</v>
      </c>
      <c r="P29" s="3">
        <v>22</v>
      </c>
      <c r="Q29" s="3">
        <v>15</v>
      </c>
      <c r="R29" s="3">
        <v>13</v>
      </c>
      <c r="S29" s="3">
        <v>21</v>
      </c>
      <c r="T29" s="3">
        <v>17</v>
      </c>
      <c r="U29" s="3">
        <v>15</v>
      </c>
      <c r="V29" s="3">
        <v>28</v>
      </c>
    </row>
    <row r="30" spans="1:22" x14ac:dyDescent="0.25">
      <c r="A30" s="3" t="s">
        <v>105</v>
      </c>
      <c r="B30" s="3" t="s">
        <v>4</v>
      </c>
      <c r="C30" t="s">
        <v>213</v>
      </c>
      <c r="D30" t="s">
        <v>254</v>
      </c>
      <c r="G30" s="3" t="s">
        <v>213</v>
      </c>
      <c r="H30" s="3" t="s">
        <v>254</v>
      </c>
      <c r="I30" s="3" t="s">
        <v>195</v>
      </c>
      <c r="J30" s="3"/>
      <c r="K30" s="3">
        <v>15</v>
      </c>
      <c r="L30" s="3">
        <v>1</v>
      </c>
      <c r="M30" s="3">
        <v>7</v>
      </c>
      <c r="N30" s="3">
        <v>2</v>
      </c>
      <c r="O30" s="3">
        <v>21</v>
      </c>
      <c r="P30" s="3">
        <v>9</v>
      </c>
      <c r="Q30" s="3">
        <v>16</v>
      </c>
      <c r="R30" s="3">
        <v>14</v>
      </c>
      <c r="S30" s="3">
        <v>9</v>
      </c>
      <c r="T30" s="3">
        <v>7</v>
      </c>
      <c r="U30" s="3">
        <v>9</v>
      </c>
      <c r="V30" s="3">
        <v>5</v>
      </c>
    </row>
    <row r="31" spans="1:22" x14ac:dyDescent="0.25">
      <c r="A31" s="3" t="s">
        <v>106</v>
      </c>
      <c r="B31" s="3" t="s">
        <v>4</v>
      </c>
      <c r="C31" t="s">
        <v>214</v>
      </c>
      <c r="G31" s="3" t="s">
        <v>214</v>
      </c>
      <c r="H31" s="3" t="s">
        <v>255</v>
      </c>
      <c r="I31" s="3" t="s">
        <v>196</v>
      </c>
      <c r="J31" s="3"/>
      <c r="K31" s="3">
        <v>9</v>
      </c>
      <c r="L31" s="3">
        <v>22</v>
      </c>
      <c r="M31" s="3">
        <v>11</v>
      </c>
      <c r="N31" s="3">
        <v>6</v>
      </c>
      <c r="O31" s="3">
        <v>7</v>
      </c>
      <c r="P31" s="3">
        <v>23</v>
      </c>
      <c r="Q31" s="3">
        <v>18</v>
      </c>
      <c r="R31" s="3">
        <v>2</v>
      </c>
      <c r="S31" s="3">
        <v>26</v>
      </c>
      <c r="T31" s="3">
        <v>23</v>
      </c>
      <c r="U31" s="3">
        <v>24</v>
      </c>
      <c r="V31" s="3">
        <v>8</v>
      </c>
    </row>
    <row r="32" spans="1:22" x14ac:dyDescent="0.25">
      <c r="A32" s="3" t="s">
        <v>107</v>
      </c>
      <c r="B32" s="3" t="s">
        <v>4</v>
      </c>
      <c r="C32" t="s">
        <v>215</v>
      </c>
      <c r="G32" s="3" t="s">
        <v>215</v>
      </c>
      <c r="H32" s="3" t="s">
        <v>256</v>
      </c>
      <c r="I32" s="3" t="s">
        <v>197</v>
      </c>
      <c r="J32" s="3"/>
      <c r="K32" s="3">
        <v>25</v>
      </c>
      <c r="L32" s="3">
        <v>6</v>
      </c>
      <c r="M32" s="3">
        <v>1</v>
      </c>
      <c r="N32" s="3">
        <v>2</v>
      </c>
      <c r="O32" s="3">
        <v>10</v>
      </c>
      <c r="P32" s="3">
        <v>5</v>
      </c>
      <c r="Q32" s="3">
        <v>9</v>
      </c>
      <c r="R32" s="3">
        <v>7</v>
      </c>
      <c r="S32" s="3">
        <v>25</v>
      </c>
      <c r="T32" s="3">
        <v>22</v>
      </c>
      <c r="U32" s="3">
        <v>25</v>
      </c>
      <c r="V32" s="3">
        <v>28</v>
      </c>
    </row>
    <row r="33" spans="1:22" x14ac:dyDescent="0.25">
      <c r="A33" s="3" t="s">
        <v>109</v>
      </c>
      <c r="B33" s="3" t="s">
        <v>4</v>
      </c>
      <c r="C33" t="s">
        <v>216</v>
      </c>
      <c r="D33" t="s">
        <v>257</v>
      </c>
      <c r="G33" s="3" t="s">
        <v>216</v>
      </c>
      <c r="H33" s="3" t="s">
        <v>257</v>
      </c>
      <c r="I33" s="3" t="s">
        <v>198</v>
      </c>
      <c r="J33" s="3"/>
      <c r="K33" s="3">
        <v>9</v>
      </c>
      <c r="L33" s="3">
        <v>5</v>
      </c>
      <c r="M33" s="3">
        <v>18</v>
      </c>
      <c r="N33" s="3">
        <v>19</v>
      </c>
      <c r="O33" s="3">
        <v>13</v>
      </c>
      <c r="P33" s="3">
        <v>11</v>
      </c>
      <c r="Q33" s="3">
        <v>1</v>
      </c>
      <c r="R33" s="3">
        <v>26</v>
      </c>
      <c r="S33" s="3">
        <v>9</v>
      </c>
      <c r="T33" s="3">
        <v>23</v>
      </c>
      <c r="U33" s="3"/>
      <c r="V33" s="3"/>
    </row>
    <row r="34" spans="1:22" x14ac:dyDescent="0.25">
      <c r="A34" s="3" t="s">
        <v>110</v>
      </c>
      <c r="B34" s="3" t="s">
        <v>4</v>
      </c>
      <c r="C34" t="s">
        <v>217</v>
      </c>
      <c r="G34" s="3" t="s">
        <v>217</v>
      </c>
      <c r="H34" s="3" t="s">
        <v>258</v>
      </c>
      <c r="I34" s="3" t="s">
        <v>199</v>
      </c>
      <c r="J34" s="3"/>
      <c r="K34" s="3">
        <v>26</v>
      </c>
      <c r="L34" s="3">
        <v>5</v>
      </c>
      <c r="M34" s="3">
        <v>10</v>
      </c>
      <c r="N34" s="3">
        <v>4</v>
      </c>
      <c r="O34" s="3">
        <v>26</v>
      </c>
      <c r="P34" s="3">
        <v>23</v>
      </c>
      <c r="Q34" s="3">
        <v>5</v>
      </c>
      <c r="R34" s="3">
        <v>1</v>
      </c>
      <c r="S34" s="3">
        <v>25</v>
      </c>
      <c r="T34" s="3">
        <v>19</v>
      </c>
      <c r="U34" s="3"/>
      <c r="V34" s="3"/>
    </row>
    <row r="35" spans="1:22" x14ac:dyDescent="0.25">
      <c r="A35" s="3" t="s">
        <v>111</v>
      </c>
      <c r="B35" s="3" t="s">
        <v>4</v>
      </c>
      <c r="C35" t="s">
        <v>218</v>
      </c>
      <c r="G35" s="3" t="s">
        <v>218</v>
      </c>
      <c r="H35" s="3" t="s">
        <v>259</v>
      </c>
      <c r="I35" s="3" t="s">
        <v>200</v>
      </c>
      <c r="J35" s="3"/>
      <c r="K35" s="3">
        <v>2</v>
      </c>
      <c r="L35" s="3">
        <v>21</v>
      </c>
      <c r="M35" s="3">
        <v>24</v>
      </c>
      <c r="N35" s="3">
        <v>26</v>
      </c>
      <c r="O35" s="3">
        <v>20</v>
      </c>
      <c r="P35" s="3">
        <v>19</v>
      </c>
      <c r="Q35" s="3">
        <v>25</v>
      </c>
      <c r="R35" s="3">
        <v>9</v>
      </c>
      <c r="S35" s="3">
        <v>5</v>
      </c>
      <c r="T35" s="3">
        <v>14</v>
      </c>
      <c r="U35" s="3"/>
      <c r="V35" s="3"/>
    </row>
    <row r="36" spans="1:22" x14ac:dyDescent="0.25">
      <c r="A36" s="3" t="s">
        <v>112</v>
      </c>
      <c r="B36" s="3" t="s">
        <v>4</v>
      </c>
      <c r="C36" t="s">
        <v>219</v>
      </c>
      <c r="D36" t="s">
        <v>260</v>
      </c>
      <c r="G36" s="3" t="s">
        <v>219</v>
      </c>
      <c r="H36" s="3" t="s">
        <v>260</v>
      </c>
      <c r="I36" s="3" t="s">
        <v>201</v>
      </c>
      <c r="J36" s="3"/>
      <c r="K36" s="3">
        <v>5</v>
      </c>
      <c r="L36" s="3">
        <v>14</v>
      </c>
      <c r="M36" s="3">
        <v>28</v>
      </c>
      <c r="N36" s="3">
        <v>27</v>
      </c>
      <c r="O36" s="3">
        <v>17</v>
      </c>
      <c r="P36" s="3">
        <v>3</v>
      </c>
      <c r="Q36" s="3">
        <v>21</v>
      </c>
      <c r="R36" s="3">
        <v>20</v>
      </c>
      <c r="S36" s="3">
        <v>10</v>
      </c>
      <c r="T36" s="3">
        <v>14</v>
      </c>
      <c r="U36" s="3"/>
      <c r="V36" s="3"/>
    </row>
    <row r="37" spans="1:22" x14ac:dyDescent="0.25">
      <c r="A37" s="3" t="s">
        <v>113</v>
      </c>
      <c r="B37" s="3" t="s">
        <v>4</v>
      </c>
      <c r="C37" t="s">
        <v>220</v>
      </c>
      <c r="D37" t="s">
        <v>255</v>
      </c>
      <c r="G37" s="3" t="s">
        <v>220</v>
      </c>
      <c r="H37" s="3" t="s">
        <v>255</v>
      </c>
      <c r="I37" s="3" t="s">
        <v>202</v>
      </c>
      <c r="J37" s="3"/>
      <c r="K37" s="3">
        <v>10</v>
      </c>
      <c r="L37" s="3">
        <v>21</v>
      </c>
      <c r="M37" s="3">
        <v>17</v>
      </c>
      <c r="N37" s="3">
        <v>1</v>
      </c>
      <c r="O37" s="3">
        <v>14</v>
      </c>
      <c r="P37" s="3">
        <v>17</v>
      </c>
      <c r="Q37" s="3">
        <v>2</v>
      </c>
      <c r="R37" s="3">
        <v>15</v>
      </c>
      <c r="S37" s="3">
        <v>24</v>
      </c>
      <c r="T37" s="3">
        <v>25</v>
      </c>
      <c r="U37" s="3"/>
      <c r="V37" s="3"/>
    </row>
    <row r="38" spans="1:22" x14ac:dyDescent="0.25">
      <c r="A38" s="3" t="s">
        <v>114</v>
      </c>
      <c r="B38" s="3" t="s">
        <v>4</v>
      </c>
      <c r="C38" t="s">
        <v>221</v>
      </c>
      <c r="D38" t="s">
        <v>256</v>
      </c>
      <c r="E38" t="s">
        <v>203</v>
      </c>
      <c r="G38" s="3" t="s">
        <v>221</v>
      </c>
      <c r="H38" s="3" t="s">
        <v>256</v>
      </c>
      <c r="I38" s="3" t="s">
        <v>203</v>
      </c>
      <c r="J38" s="3"/>
      <c r="K38" s="3">
        <v>26</v>
      </c>
      <c r="L38" s="3">
        <v>28</v>
      </c>
      <c r="M38" s="3">
        <v>23</v>
      </c>
      <c r="N38" s="3">
        <v>23</v>
      </c>
      <c r="O38" s="3">
        <v>4</v>
      </c>
      <c r="P38" s="3">
        <v>3</v>
      </c>
      <c r="Q38" s="3">
        <v>22</v>
      </c>
      <c r="R38" s="3">
        <v>5</v>
      </c>
      <c r="S38" s="3">
        <v>23</v>
      </c>
      <c r="T38" s="3">
        <v>11</v>
      </c>
      <c r="U38" s="3"/>
      <c r="V38" s="3"/>
    </row>
    <row r="39" spans="1:22" x14ac:dyDescent="0.25">
      <c r="A39" s="3" t="s">
        <v>115</v>
      </c>
      <c r="B39" s="3" t="s">
        <v>4</v>
      </c>
      <c r="C39" t="s">
        <v>222</v>
      </c>
      <c r="G39" s="3" t="s">
        <v>222</v>
      </c>
      <c r="H39" s="3" t="s">
        <v>257</v>
      </c>
      <c r="I39" s="3" t="s">
        <v>204</v>
      </c>
      <c r="J39" s="3"/>
      <c r="K39" s="3">
        <v>28</v>
      </c>
      <c r="L39" s="3">
        <v>22</v>
      </c>
      <c r="M39" s="3">
        <v>22</v>
      </c>
      <c r="N39" s="3">
        <v>27</v>
      </c>
      <c r="O39" s="3">
        <v>28</v>
      </c>
      <c r="P39" s="3">
        <v>9</v>
      </c>
      <c r="Q39" s="3">
        <v>15</v>
      </c>
      <c r="R39" s="3">
        <v>19</v>
      </c>
      <c r="S39" s="3">
        <v>27</v>
      </c>
      <c r="T39" s="3">
        <v>12</v>
      </c>
      <c r="U39" s="3"/>
      <c r="V39" s="3"/>
    </row>
    <row r="40" spans="1:22" x14ac:dyDescent="0.25">
      <c r="A40" s="3" t="s">
        <v>108</v>
      </c>
      <c r="B40" s="3" t="s">
        <v>4</v>
      </c>
      <c r="C40" t="s">
        <v>223</v>
      </c>
      <c r="D40" t="s">
        <v>258</v>
      </c>
      <c r="G40" s="3" t="s">
        <v>223</v>
      </c>
      <c r="H40" s="3" t="s">
        <v>258</v>
      </c>
      <c r="I40" s="3"/>
      <c r="J40" s="3"/>
      <c r="K40" s="3">
        <v>14</v>
      </c>
      <c r="L40" s="3">
        <v>19</v>
      </c>
      <c r="M40" s="3">
        <v>6</v>
      </c>
      <c r="N40" s="3">
        <v>19</v>
      </c>
      <c r="O40" s="3">
        <v>24</v>
      </c>
      <c r="P40" s="3">
        <v>20</v>
      </c>
      <c r="Q40" s="3">
        <v>18</v>
      </c>
      <c r="R40" s="3">
        <v>13</v>
      </c>
      <c r="S40" s="3">
        <v>8</v>
      </c>
      <c r="T40" s="3">
        <v>21</v>
      </c>
      <c r="U40" s="3"/>
      <c r="V40" s="3"/>
    </row>
    <row r="41" spans="1:22" x14ac:dyDescent="0.25">
      <c r="A41" s="3" t="s">
        <v>116</v>
      </c>
      <c r="B41" s="3" t="s">
        <v>4</v>
      </c>
      <c r="C41" t="s">
        <v>224</v>
      </c>
      <c r="D41" t="s">
        <v>259</v>
      </c>
      <c r="G41" s="3" t="s">
        <v>224</v>
      </c>
      <c r="H41" s="3" t="s">
        <v>259</v>
      </c>
      <c r="I41" s="3"/>
      <c r="J41" s="3"/>
      <c r="K41" s="3">
        <v>19</v>
      </c>
      <c r="L41" s="3">
        <v>22</v>
      </c>
      <c r="M41" s="3">
        <v>1</v>
      </c>
      <c r="N41" s="3">
        <v>23</v>
      </c>
      <c r="O41" s="3">
        <v>24</v>
      </c>
      <c r="P41" s="3">
        <v>28</v>
      </c>
      <c r="Q41" s="3">
        <v>27</v>
      </c>
      <c r="R41" s="3">
        <v>13</v>
      </c>
      <c r="S41" s="3">
        <v>19</v>
      </c>
      <c r="T41" s="3">
        <v>16</v>
      </c>
      <c r="U41" s="3"/>
      <c r="V41" s="3"/>
    </row>
    <row r="42" spans="1:22" x14ac:dyDescent="0.25">
      <c r="A42" s="3" t="s">
        <v>117</v>
      </c>
      <c r="B42" s="3" t="s">
        <v>4</v>
      </c>
      <c r="C42" t="s">
        <v>225</v>
      </c>
      <c r="G42" s="3" t="s">
        <v>225</v>
      </c>
      <c r="H42" s="3" t="s">
        <v>260</v>
      </c>
      <c r="I42" s="3"/>
      <c r="J42" s="3"/>
      <c r="K42" s="3">
        <v>9</v>
      </c>
      <c r="L42" s="3">
        <v>8</v>
      </c>
      <c r="M42" s="3">
        <v>17</v>
      </c>
      <c r="N42" s="3">
        <v>15</v>
      </c>
      <c r="O42" s="3">
        <v>7</v>
      </c>
      <c r="P42" s="3">
        <v>19</v>
      </c>
      <c r="Q42" s="3">
        <v>13</v>
      </c>
      <c r="R42" s="3">
        <v>27</v>
      </c>
      <c r="S42" s="3">
        <v>25</v>
      </c>
      <c r="T42" s="3">
        <v>8</v>
      </c>
      <c r="U42" s="3"/>
      <c r="V42" s="3"/>
    </row>
    <row r="43" spans="1:22" x14ac:dyDescent="0.25">
      <c r="A43" s="3" t="s">
        <v>118</v>
      </c>
      <c r="B43" s="3" t="s">
        <v>4</v>
      </c>
      <c r="C43" t="s">
        <v>226</v>
      </c>
      <c r="G43" s="3" t="s">
        <v>226</v>
      </c>
      <c r="H43" s="3"/>
      <c r="I43" s="3"/>
      <c r="J43" s="3"/>
      <c r="K43" s="3">
        <v>24</v>
      </c>
      <c r="L43" s="3">
        <v>3</v>
      </c>
      <c r="M43" s="3">
        <v>22</v>
      </c>
      <c r="N43" s="3">
        <v>4</v>
      </c>
      <c r="O43" s="3">
        <v>10</v>
      </c>
      <c r="P43" s="3">
        <v>6</v>
      </c>
      <c r="Q43" s="3">
        <v>11</v>
      </c>
      <c r="R43" s="3">
        <v>9</v>
      </c>
      <c r="S43" s="3">
        <v>13</v>
      </c>
      <c r="T43" s="3">
        <v>18</v>
      </c>
      <c r="U43" s="3"/>
      <c r="V43" s="3"/>
    </row>
    <row r="44" spans="1:22" x14ac:dyDescent="0.25">
      <c r="A44" s="3" t="s">
        <v>119</v>
      </c>
      <c r="B44" s="3" t="s">
        <v>4</v>
      </c>
      <c r="C44" t="s">
        <v>227</v>
      </c>
      <c r="G44" s="3" t="s">
        <v>227</v>
      </c>
      <c r="H44" s="3"/>
      <c r="I44" s="3"/>
      <c r="J44" s="3"/>
      <c r="K44" s="3">
        <v>27</v>
      </c>
      <c r="L44" s="3">
        <v>25</v>
      </c>
      <c r="M44" s="3">
        <v>16</v>
      </c>
      <c r="N44" s="3">
        <v>25</v>
      </c>
      <c r="O44" s="3">
        <v>20</v>
      </c>
      <c r="P44" s="3">
        <v>10</v>
      </c>
      <c r="Q44" s="3">
        <v>21</v>
      </c>
      <c r="R44" s="3">
        <v>11</v>
      </c>
      <c r="S44" s="3">
        <v>3</v>
      </c>
      <c r="T44" s="3">
        <v>24</v>
      </c>
      <c r="U44" s="3">
        <v>12</v>
      </c>
      <c r="V44" s="3">
        <v>5</v>
      </c>
    </row>
    <row r="45" spans="1:22" x14ac:dyDescent="0.25">
      <c r="A45" s="3" t="s">
        <v>120</v>
      </c>
      <c r="B45" s="3" t="s">
        <v>4</v>
      </c>
      <c r="C45" t="s">
        <v>228</v>
      </c>
      <c r="G45" s="3" t="s">
        <v>228</v>
      </c>
      <c r="H45" s="3"/>
      <c r="I45" s="3"/>
      <c r="J45" s="3"/>
      <c r="K45" s="3">
        <v>4</v>
      </c>
      <c r="L45" s="3">
        <v>1</v>
      </c>
      <c r="M45" s="3">
        <v>6</v>
      </c>
      <c r="N45" s="3">
        <v>5</v>
      </c>
      <c r="O45" s="3">
        <v>26</v>
      </c>
      <c r="P45" s="3">
        <v>15</v>
      </c>
      <c r="Q45" s="3">
        <v>6</v>
      </c>
      <c r="R45" s="3">
        <v>15</v>
      </c>
      <c r="S45" s="3">
        <v>15</v>
      </c>
      <c r="T45" s="3">
        <v>9</v>
      </c>
      <c r="U45" s="3">
        <v>14</v>
      </c>
      <c r="V45" s="3">
        <v>15</v>
      </c>
    </row>
    <row r="46" spans="1:22" x14ac:dyDescent="0.25">
      <c r="A46" s="3" t="s">
        <v>121</v>
      </c>
      <c r="B46" s="3" t="s">
        <v>4</v>
      </c>
      <c r="C46" t="s">
        <v>229</v>
      </c>
      <c r="G46" s="3" t="s">
        <v>229</v>
      </c>
      <c r="H46" s="3"/>
      <c r="I46" s="3"/>
      <c r="J46" s="3"/>
      <c r="K46" s="3">
        <v>24</v>
      </c>
      <c r="L46" s="3">
        <v>4</v>
      </c>
      <c r="M46" s="3">
        <v>8</v>
      </c>
      <c r="N46" s="3">
        <v>12</v>
      </c>
      <c r="O46" s="3">
        <v>16</v>
      </c>
      <c r="P46" s="3">
        <v>22</v>
      </c>
      <c r="Q46" s="3">
        <v>1</v>
      </c>
      <c r="R46" s="3">
        <v>20</v>
      </c>
      <c r="S46" s="3">
        <v>18</v>
      </c>
      <c r="T46" s="3">
        <v>23</v>
      </c>
      <c r="U46" s="3">
        <v>19</v>
      </c>
      <c r="V46" s="3">
        <v>5</v>
      </c>
    </row>
    <row r="47" spans="1:22" x14ac:dyDescent="0.25">
      <c r="A47" s="3" t="s">
        <v>122</v>
      </c>
      <c r="B47" s="3" t="s">
        <v>4</v>
      </c>
      <c r="C47" t="s">
        <v>230</v>
      </c>
      <c r="G47" s="3" t="s">
        <v>230</v>
      </c>
      <c r="H47" s="3"/>
      <c r="I47" s="3"/>
      <c r="J47" s="3"/>
      <c r="K47" s="3">
        <v>3</v>
      </c>
      <c r="L47" s="3">
        <v>28</v>
      </c>
      <c r="M47" s="3">
        <v>25</v>
      </c>
      <c r="N47" s="3">
        <v>1</v>
      </c>
      <c r="O47" s="3">
        <v>4</v>
      </c>
      <c r="P47" s="3">
        <v>7</v>
      </c>
      <c r="Q47" s="3">
        <v>21</v>
      </c>
      <c r="R47" s="3">
        <v>10</v>
      </c>
      <c r="S47" s="3"/>
      <c r="T47" s="3"/>
      <c r="U47" s="3"/>
      <c r="V47" s="3"/>
    </row>
    <row r="48" spans="1:22" x14ac:dyDescent="0.25">
      <c r="A48" s="3" t="s">
        <v>123</v>
      </c>
      <c r="B48" s="3" t="s">
        <v>4</v>
      </c>
      <c r="C48" t="s">
        <v>231</v>
      </c>
      <c r="G48" s="3" t="s">
        <v>231</v>
      </c>
      <c r="H48" s="3"/>
      <c r="I48" s="3"/>
      <c r="J48" s="3"/>
      <c r="K48" s="3">
        <v>27</v>
      </c>
      <c r="L48" s="3">
        <v>6</v>
      </c>
      <c r="M48" s="3">
        <v>20</v>
      </c>
      <c r="N48" s="3">
        <v>18</v>
      </c>
      <c r="O48" s="3">
        <v>5</v>
      </c>
      <c r="P48" s="3">
        <v>2</v>
      </c>
      <c r="Q48" s="3">
        <v>4</v>
      </c>
      <c r="R48" s="3">
        <v>15</v>
      </c>
      <c r="S48" s="3"/>
      <c r="T48" s="3"/>
      <c r="U48" s="3"/>
      <c r="V48" s="3"/>
    </row>
    <row r="49" spans="1:22" x14ac:dyDescent="0.25">
      <c r="A49" s="3" t="s">
        <v>124</v>
      </c>
      <c r="B49" s="3" t="s">
        <v>4</v>
      </c>
      <c r="C49" t="s">
        <v>232</v>
      </c>
      <c r="G49" s="3" t="s">
        <v>232</v>
      </c>
      <c r="H49" s="3"/>
      <c r="I49" s="3"/>
      <c r="J49" s="3"/>
      <c r="K49" s="3">
        <v>16</v>
      </c>
      <c r="L49" s="3">
        <v>13</v>
      </c>
      <c r="M49" s="3">
        <v>2</v>
      </c>
      <c r="N49" s="3">
        <v>28</v>
      </c>
      <c r="O49" s="3">
        <v>22</v>
      </c>
      <c r="P49" s="3">
        <v>28</v>
      </c>
      <c r="Q49" s="3">
        <v>23</v>
      </c>
      <c r="R49" s="3">
        <v>7</v>
      </c>
      <c r="S49" s="3"/>
      <c r="T49" s="3"/>
      <c r="U49" s="3"/>
      <c r="V49" s="3"/>
    </row>
    <row r="50" spans="1:22" x14ac:dyDescent="0.25">
      <c r="A50" s="3" t="s">
        <v>125</v>
      </c>
      <c r="B50" s="3" t="s">
        <v>4</v>
      </c>
      <c r="C50" t="s">
        <v>233</v>
      </c>
      <c r="G50" s="3" t="s">
        <v>233</v>
      </c>
      <c r="H50" s="3"/>
      <c r="I50" s="3"/>
      <c r="J50" s="3"/>
      <c r="K50" s="3">
        <v>28</v>
      </c>
      <c r="L50" s="3">
        <v>18</v>
      </c>
      <c r="M50" s="3">
        <v>14</v>
      </c>
      <c r="N50" s="3">
        <v>28</v>
      </c>
      <c r="O50" s="3">
        <v>17</v>
      </c>
      <c r="P50" s="3">
        <v>9</v>
      </c>
      <c r="Q50" s="3">
        <v>22</v>
      </c>
      <c r="R50" s="3">
        <v>11</v>
      </c>
      <c r="S50" s="3">
        <v>27</v>
      </c>
      <c r="T50" s="3">
        <v>14</v>
      </c>
      <c r="U50" s="3">
        <v>6</v>
      </c>
      <c r="V50" s="3">
        <v>13</v>
      </c>
    </row>
    <row r="51" spans="1:22" x14ac:dyDescent="0.25">
      <c r="A51" s="3" t="s">
        <v>126</v>
      </c>
      <c r="B51" s="3" t="s">
        <v>4</v>
      </c>
      <c r="C51" t="s">
        <v>234</v>
      </c>
      <c r="G51" s="3" t="s">
        <v>234</v>
      </c>
      <c r="H51" s="3"/>
      <c r="I51" s="3"/>
      <c r="J51" s="3"/>
      <c r="K51" s="3">
        <v>24</v>
      </c>
      <c r="L51" s="3">
        <v>13</v>
      </c>
      <c r="M51" s="3">
        <v>18</v>
      </c>
      <c r="N51" s="3">
        <v>5</v>
      </c>
      <c r="O51" s="3">
        <v>25</v>
      </c>
      <c r="P51" s="3">
        <v>22</v>
      </c>
      <c r="Q51" s="3">
        <v>11</v>
      </c>
      <c r="R51" s="3">
        <v>11</v>
      </c>
      <c r="S51" s="3">
        <v>8</v>
      </c>
      <c r="T51" s="3">
        <v>21</v>
      </c>
      <c r="U51" s="3">
        <v>3</v>
      </c>
      <c r="V51" s="3">
        <v>19</v>
      </c>
    </row>
  </sheetData>
  <dataValidations count="1">
    <dataValidation type="list" allowBlank="1" showInputMessage="1" showErrorMessage="1" sqref="K1:V1048576">
      <formula1>"1,2,3,4,5,6,7,8,9,10,11,12,13,14,15,16,17,18,19,20,21,22,23,24,25,26,27,28"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OFFSET(InputCourse!$A$1,1,0,COUNTA(InputCourse!$A:$A)-1)</xm:f>
          </x14:formula1>
          <xm:sqref>G1:J1048576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29"/>
  <sheetViews>
    <sheetView workbookViewId="0">
      <pane ySplit="1" topLeftCell="A2" activePane="bottomLeft" state="frozen"/>
      <selection pane="bottomLeft" activeCell="E1" sqref="E1"/>
    </sheetView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</cols>
  <sheetData>
    <row r="1" spans="1:16" x14ac:dyDescent="0.25">
      <c r="A1" t="s">
        <v>0</v>
      </c>
      <c r="B1" t="s">
        <v>2</v>
      </c>
      <c r="C1" t="s">
        <v>76</v>
      </c>
      <c r="D1" t="s">
        <v>77</v>
      </c>
      <c r="E1" t="s">
        <v>273</v>
      </c>
      <c r="G1" s="3" t="s">
        <v>1</v>
      </c>
      <c r="P1" s="10"/>
    </row>
    <row r="2" spans="1:16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6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6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6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6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6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6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6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6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6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6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6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6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6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6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4" sqref="G24:G26"/>
    </sheetView>
  </sheetViews>
  <sheetFormatPr defaultRowHeight="15" x14ac:dyDescent="0.25"/>
  <cols>
    <col min="1" max="1" width="10.42578125" bestFit="1" customWidth="1"/>
    <col min="2" max="5" width="2" bestFit="1" customWidth="1"/>
  </cols>
  <sheetData>
    <row r="1" spans="1:5" x14ac:dyDescent="0.25">
      <c r="A1" t="s">
        <v>75</v>
      </c>
      <c r="B1">
        <v>1</v>
      </c>
      <c r="C1">
        <v>2</v>
      </c>
      <c r="D1">
        <v>3</v>
      </c>
      <c r="E1">
        <v>4</v>
      </c>
    </row>
    <row r="2" spans="1:5" x14ac:dyDescent="0.25">
      <c r="A2" t="s">
        <v>6</v>
      </c>
      <c r="C2">
        <v>2</v>
      </c>
    </row>
    <row r="3" spans="1:5" x14ac:dyDescent="0.25">
      <c r="A3" t="s">
        <v>7</v>
      </c>
      <c r="B3">
        <v>1</v>
      </c>
    </row>
    <row r="4" spans="1:5" x14ac:dyDescent="0.25">
      <c r="A4" t="s">
        <v>8</v>
      </c>
      <c r="B4">
        <v>1</v>
      </c>
      <c r="C4">
        <v>2</v>
      </c>
    </row>
    <row r="5" spans="1:5" x14ac:dyDescent="0.25">
      <c r="A5" t="s">
        <v>9</v>
      </c>
      <c r="C5">
        <v>2</v>
      </c>
    </row>
    <row r="6" spans="1:5" x14ac:dyDescent="0.25">
      <c r="A6" t="s">
        <v>10</v>
      </c>
      <c r="B6">
        <v>1</v>
      </c>
    </row>
    <row r="7" spans="1:5" x14ac:dyDescent="0.25">
      <c r="A7" t="s">
        <v>11</v>
      </c>
    </row>
    <row r="8" spans="1:5" x14ac:dyDescent="0.25">
      <c r="A8" t="s">
        <v>12</v>
      </c>
    </row>
    <row r="9" spans="1:5" x14ac:dyDescent="0.25">
      <c r="A9" t="s">
        <v>13</v>
      </c>
      <c r="D9">
        <v>3</v>
      </c>
    </row>
    <row r="10" spans="1:5" x14ac:dyDescent="0.25">
      <c r="A10" t="s">
        <v>14</v>
      </c>
      <c r="D10">
        <v>3</v>
      </c>
    </row>
    <row r="11" spans="1:5" x14ac:dyDescent="0.25">
      <c r="A11" t="s">
        <v>15</v>
      </c>
    </row>
    <row r="12" spans="1:5" x14ac:dyDescent="0.25">
      <c r="A12" t="s">
        <v>16</v>
      </c>
      <c r="E12">
        <v>4</v>
      </c>
    </row>
    <row r="13" spans="1:5" x14ac:dyDescent="0.25">
      <c r="A13" t="s">
        <v>17</v>
      </c>
      <c r="E13">
        <v>4</v>
      </c>
    </row>
    <row r="14" spans="1:5" x14ac:dyDescent="0.25">
      <c r="A14" t="s">
        <v>18</v>
      </c>
      <c r="E14">
        <v>4</v>
      </c>
    </row>
    <row r="15" spans="1:5" x14ac:dyDescent="0.25">
      <c r="A15" t="s">
        <v>19</v>
      </c>
    </row>
    <row r="16" spans="1:5" x14ac:dyDescent="0.25">
      <c r="A16" t="s">
        <v>20</v>
      </c>
    </row>
    <row r="17" spans="1:1" x14ac:dyDescent="0.25">
      <c r="A17" t="s">
        <v>21</v>
      </c>
    </row>
    <row r="18" spans="1:1" x14ac:dyDescent="0.25">
      <c r="A1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InputCourse</vt:lpstr>
      <vt:lpstr>InputProf</vt:lpstr>
      <vt:lpstr>InfoBlock</vt:lpstr>
      <vt:lpstr>InfoPreReq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2017-03-18T21:12:24Z</cp:lastPrinted>
  <dcterms:created xsi:type="dcterms:W3CDTF">2017-03-02T15:37:10Z</dcterms:created>
  <dcterms:modified xsi:type="dcterms:W3CDTF">2017-03-19T20:27:28Z</dcterms:modified>
</cp:coreProperties>
</file>