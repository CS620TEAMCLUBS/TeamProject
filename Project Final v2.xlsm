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23040" windowHeight="9045" tabRatio="685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Calculator!$I$12,Calculator!$D$12,Calculator!$E$12,Calculator!$F$12,Calculator!$C$13,Calculator!$D$13,Calculator!$E$13,Calculator!$F$14,Calculator!$G$14,Calculator!$H$14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Calculator!$I$12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Calculator!$C$20:$I$20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Calculator!$I$12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12</definedName>
    <definedName name="solver_num" localSheetId="1" hidden="1">0</definedName>
    <definedName name="solver_num" localSheetId="3" hidden="1">0</definedName>
    <definedName name="solver_opt" localSheetId="5" hidden="1">Calculator!$C$15</definedName>
    <definedName name="solver_opt" localSheetId="1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Calculator!$C$22:$I$22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0" l="1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<sst xmlns="http://schemas.openxmlformats.org/spreadsheetml/2006/main" count="338" uniqueCount="113">
  <si>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</si>
  <si>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</si>
  <si>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</si>
  <si>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</si>
  <si>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</si>
  <si>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</si>
  <si>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</si>
  <si>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</si>
  <si>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</si>
  <si>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</si>
  <si>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</si>
  <si>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</si>
  <si>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</si>
  <si>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</si>
  <si>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</si>
  <si>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</si>
  <si>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</si>
  <si>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</si>
  <si>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</si>
  <si>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</si>
  <si>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</si>
  <si>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</si>
  <si>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</si>
  <si>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</si>
  <si>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</si>
  <si>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</si>
  <si>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</si>
  <si>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</si>
  <si>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</si>
  <si>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</si>
  <si>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</si>
  <si>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</si>
  <si>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</si>
  <si>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</si>
  <si>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</si>
  <si>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</si>
  <si>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</si>
  <si>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</si>
  <si>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</si>
  <si>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</si>
  <si>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</si>
  <si>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</si>
  <si>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</si>
  <si>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</si>
  <si>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</si>
  <si>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</si>
  <si>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</si>
  <si>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</si>
  <si>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</si>
  <si>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</si>
  <si>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</si>
  <si>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</si>
  <si>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</si>
  <si>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</si>
  <si>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</si>
  <si>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</si>
  <si>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</si>
  <si>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</si>
  <si>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</si>
  <si>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</si>
  <si>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</si>
  <si>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</si>
  <si>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</si>
  <si>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</si>
  <si>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</si>
  <si>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</si>
  <si>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</si>
  <si>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</si>
  <si>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</si>
  <si>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</si>
  <si>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</si>
  <si>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</si>
  <si>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</si>
  <si>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</si>
  <si>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</si>
  <si>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</si>
  <si>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</si>
  <si>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</si>
  <si>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</si>
  <si>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</si>
  <si>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</si>
  <si>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</si>
  <si>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</si>
  <si>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</si>
  <si>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</si>
  <si>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</si>
  <si>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</si>
  <si>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</si>
  <si>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</si>
  <si>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</si>
  <si>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</si>
  <si>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</si>
  <si>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21_x000D_
FIN200 100 - E, F</t>
  </si>
  <si>
    <t>22_x000D_
FIN200 200 - E, F</t>
  </si>
  <si>
    <t>23_x000D_
FIN200 300 - E, F</t>
  </si>
  <si>
    <t>24_x000D_
FIN300 100 - A, B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</si>
  <si>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</si>
  <si>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</si>
  <si>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</si>
  <si>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</si>
  <si>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</si>
  <si>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</si>
  <si>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</si>
  <si>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</si>
  <si>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</si>
  <si>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</si>
  <si>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</si>
  <si>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</si>
  <si>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</si>
  <si>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</si>
  <si>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6_x000D_
FIN100 100 - C, D</t>
  </si>
  <si>
    <t>17_x000D_
FIN100 300 - C, D</t>
  </si>
  <si>
    <t>19_x000D_
FIN100 200 - C,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</si>
</sst>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7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0" borderId="4" xfId="0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229225" y="190500"/>
              <a:ext cx="1371600" cy="70485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S8" totalsRowShown="0" headerRowDxfId="27" dataDxfId="26">
  <autoFilter ref="A1:S8"/>
  <tableColumns count="19">
    <tableColumn id="1" name="GRAD COURSE" dataDxfId="25">
      <calculatedColumnFormula>IF(F2="G", TRUE,FALSE)</calculatedColumnFormula>
    </tableColumn>
    <tableColumn id="2" name="PRE-REQ FLAG" dataDxfId="24">
      <calculatedColumnFormula>IF(ISBLANK(G2),FALSE,TRUE)</calculatedColumnFormula>
    </tableColumn>
    <tableColumn id="3" name="Course Identifier" dataDxfId="23">
      <calculatedColumnFormula>CONCATENATE(D2," ",E2)</calculatedColumnFormula>
    </tableColumn>
    <tableColumn id="4" name="Course ID" dataDxfId="22"/>
    <tableColumn id="5" name="Session ID" dataDxfId="21"/>
    <tableColumn id="6" name="Level" dataDxfId="20"/>
    <tableColumn id="7" name="Pre-req 1" dataDxfId="19"/>
    <tableColumn id="8" name="SESSION_FLAG" dataDxfId="18">
      <calculatedColumnFormula>IF(COUNTIF(Course[Course ID],Course[[#This Row],[Course ID]])&gt;1,"S","")</calculatedColumnFormula>
    </tableColumn>
    <tableColumn id="9" name="Column1" dataDxfId="17"/>
    <tableColumn id="10" name="Column2" dataDxfId="16"/>
    <tableColumn id="11" name="Column3" dataDxfId="15"/>
    <tableColumn id="12" name="Column4" dataDxfId="14"/>
    <tableColumn id="13" name="Column5" dataDxfId="13"/>
    <tableColumn id="14" name="Column6" dataDxfId="12"/>
    <tableColumn id="15" name="Column7" dataDxfId="11"/>
    <tableColumn id="16" name="Column8" dataDxfId="10"/>
    <tableColumn id="17" name="ASSIGNED_FLAG"/>
    <tableColumn id="18" name="BLOCK_ASSIGNED"/>
    <tableColumn id="19" name="PROFESSOR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4" totalsRowShown="0" dataDxfId="8">
  <autoFilter ref="A1:F4"/>
  <tableColumns count="6">
    <tableColumn id="1" name="Name" dataDxfId="7"/>
    <tableColumn id="2" name="Full/Part-time" dataDxfId="6"/>
    <tableColumn id="3" name="Preference_1" dataDxfId="5"/>
    <tableColumn id="4" name="Preference_2" dataDxfId="4"/>
    <tableColumn id="5" name="Preference_3" dataDxfId="3"/>
    <tableColumn id="6" name="Preference_4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tabSelected="1" workbookViewId="0"/>
  </sheetViews>
  <sheetFormatPr defaultRowHeight="15" x14ac:dyDescent="0.25"/>
  <sheetData>
    <row r="1" spans="1:1" x14ac:dyDescent="0.25">
      <c r="A1" s="21" t="s">
        <v>89</v>
      </c>
    </row>
    <row r="2" spans="1:1" x14ac:dyDescent="0.25">
      <c r="A2" s="22" t="s">
        <v>80</v>
      </c>
    </row>
    <row r="3" spans="1:1" x14ac:dyDescent="0.25">
      <c r="A3" s="22" t="s">
        <v>88</v>
      </c>
    </row>
    <row r="4" spans="1:1" x14ac:dyDescent="0.25">
      <c r="A4" s="22" t="s">
        <v>81</v>
      </c>
    </row>
    <row r="5" spans="1:1" x14ac:dyDescent="0.25">
      <c r="A5" s="22" t="s">
        <v>82</v>
      </c>
    </row>
    <row r="6" spans="1:1" x14ac:dyDescent="0.25">
      <c r="A6" s="22" t="s">
        <v>84</v>
      </c>
    </row>
    <row r="7" spans="1:1" x14ac:dyDescent="0.25">
      <c r="A7" s="23" t="s">
        <v>83</v>
      </c>
    </row>
    <row r="8" spans="1:1" x14ac:dyDescent="0.25">
      <c r="A8" s="24" t="s">
        <v>90</v>
      </c>
    </row>
    <row r="9" spans="1:1" x14ac:dyDescent="0.25">
      <c r="A9" s="22" t="s">
        <v>85</v>
      </c>
    </row>
    <row r="10" spans="1:1" x14ac:dyDescent="0.25">
      <c r="A10" s="23" t="s">
        <v>83</v>
      </c>
    </row>
    <row r="11" spans="1:1" x14ac:dyDescent="0.25">
      <c r="A11" s="24" t="s">
        <v>91</v>
      </c>
    </row>
    <row r="12" spans="1:1" x14ac:dyDescent="0.25">
      <c r="A12" s="24" t="s">
        <v>86</v>
      </c>
    </row>
    <row r="13" spans="1:1" x14ac:dyDescent="0.25">
      <c r="A13" s="24" t="s">
        <v>87</v>
      </c>
    </row>
    <row r="14" spans="1:1" x14ac:dyDescent="0.25">
      <c r="A14" s="22" t="s">
        <v>106</v>
      </c>
    </row>
    <row r="15" spans="1:1" x14ac:dyDescent="0.25">
      <c r="A15" s="22" t="s">
        <v>107</v>
      </c>
    </row>
    <row r="16" spans="1:1" x14ac:dyDescent="0.25">
      <c r="A16" s="22" t="s">
        <v>108</v>
      </c>
    </row>
    <row r="17" spans="1:1" x14ac:dyDescent="0.25">
      <c r="A17" s="22" t="s">
        <v>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117"/>
  <sheetViews>
    <sheetView zoomScaleNormal="100" zoomScalePageLayoutView="115" workbookViewId="0">
      <pane ySplit="1" topLeftCell="A2" activePane="bottomLeft" state="frozen"/>
      <selection activeCell="F22" sqref="F22"/>
      <selection pane="bottomLeft" activeCell="A2" sqref="A2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7109375" style="2" hidden="1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7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  <c r="Z1"/>
      <c r="AA1"/>
      <c r="AB1"/>
    </row>
    <row r="2" spans="1:28" x14ac:dyDescent="0.25">
      <c r="A2" s="11" t="b">
        <f t="shared" ref="A2:A8" si="0">IF(F2="G", TRUE,FALSE)</f>
        <v>0</v>
      </c>
      <c r="B2" s="11" t="b">
        <f t="shared" ref="B2:B8" si="1">IF(ISBLANK(G2),FALSE,TRUE)</f>
        <v>0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IF(COUNTIF(Course[Course ID],Course[[#This Row],[Course ID]])&gt;1,"S","")</f>
        <v>S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6</v>
      </c>
      <c r="S2" s="10" t="s">
        <v>11</v>
      </c>
      <c r="Z2" s="20"/>
      <c r="AA2"/>
      <c r="AB2"/>
    </row>
    <row r="3" spans="1:28" x14ac:dyDescent="0.25">
      <c r="A3" s="11" t="b">
        <f t="shared" si="0"/>
        <v>0</v>
      </c>
      <c r="B3" s="11" t="b">
        <f t="shared" si="1"/>
        <v>0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>IF(COUNTIF(Course[Course ID],Course[[#This Row],[Course ID]])&gt;1,"S","")</f>
        <v>S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19</v>
      </c>
      <c r="S3" s="10" t="s">
        <v>11</v>
      </c>
      <c r="Z3" s="20"/>
      <c r="AA3"/>
      <c r="AB3"/>
    </row>
    <row r="4" spans="1:28" x14ac:dyDescent="0.25">
      <c r="A4" s="11" t="b">
        <f t="shared" si="0"/>
        <v>0</v>
      </c>
      <c r="B4" s="11" t="b">
        <f t="shared" si="1"/>
        <v>0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>IF(COUNTIF(Course[Course ID],Course[[#This Row],[Course ID]])&gt;1,"S","")</f>
        <v>S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17</v>
      </c>
      <c r="S4" s="10" t="s">
        <v>11</v>
      </c>
      <c r="Z4" s="20"/>
      <c r="AA4"/>
      <c r="AB4"/>
    </row>
    <row r="5" spans="1:28" x14ac:dyDescent="0.25">
      <c r="A5" s="11" t="b">
        <f t="shared" si="0"/>
        <v>1</v>
      </c>
      <c r="B5" s="11" t="b">
        <f t="shared" si="1"/>
        <v>0</v>
      </c>
      <c r="C5" s="10" t="str">
        <f t="shared" si="2"/>
        <v>FIN200 100</v>
      </c>
      <c r="D5" s="15" t="s">
        <v>34</v>
      </c>
      <c r="E5" s="15">
        <v>100</v>
      </c>
      <c r="F5" s="16" t="s">
        <v>16</v>
      </c>
      <c r="G5" s="16"/>
      <c r="H5" s="11" t="str">
        <f>IF(COUNTIF(Course[Course ID],Course[[#This Row],[Course ID]])&gt;1,"S","")</f>
        <v>S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12</v>
      </c>
      <c r="Z5"/>
      <c r="AA5"/>
      <c r="AB5"/>
    </row>
    <row r="6" spans="1:28" x14ac:dyDescent="0.25">
      <c r="A6" s="11" t="b">
        <f t="shared" si="0"/>
        <v>1</v>
      </c>
      <c r="B6" s="11" t="b">
        <f t="shared" si="1"/>
        <v>0</v>
      </c>
      <c r="C6" s="10" t="str">
        <f t="shared" si="2"/>
        <v>FIN200 200</v>
      </c>
      <c r="D6" s="15" t="s">
        <v>34</v>
      </c>
      <c r="E6" s="15">
        <v>200</v>
      </c>
      <c r="F6" s="16" t="s">
        <v>16</v>
      </c>
      <c r="G6" s="16"/>
      <c r="H6" s="11" t="str">
        <f>IF(COUNTIF(Course[Course ID],Course[[#This Row],[Course ID]])&gt;1,"S","")</f>
        <v>S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12</v>
      </c>
      <c r="Z6"/>
      <c r="AA6"/>
      <c r="AB6"/>
    </row>
    <row r="7" spans="1:28" x14ac:dyDescent="0.25">
      <c r="A7" s="11" t="b">
        <f t="shared" si="0"/>
        <v>1</v>
      </c>
      <c r="B7" s="11" t="b">
        <f t="shared" si="1"/>
        <v>0</v>
      </c>
      <c r="C7" s="10" t="str">
        <f t="shared" si="2"/>
        <v>FIN200 300</v>
      </c>
      <c r="D7" s="15" t="s">
        <v>34</v>
      </c>
      <c r="E7" s="15">
        <v>300</v>
      </c>
      <c r="F7" s="16" t="s">
        <v>16</v>
      </c>
      <c r="G7" s="16"/>
      <c r="H7" s="11" t="str">
        <f>IF(COUNTIF(Course[Course ID],Course[[#This Row],[Course ID]])&gt;1,"S","")</f>
        <v>S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12</v>
      </c>
      <c r="Z7"/>
      <c r="AA7"/>
      <c r="AB7"/>
    </row>
    <row r="8" spans="1:28" s="3" customFormat="1" x14ac:dyDescent="0.25">
      <c r="A8" s="13" t="b">
        <f t="shared" si="0"/>
        <v>1</v>
      </c>
      <c r="B8" s="13" t="b">
        <f t="shared" si="1"/>
        <v>1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 t="s">
        <v>34</v>
      </c>
      <c r="H8" s="13" t="str">
        <f>IF(COUNTIF(Course[Course ID],Course[[#This Row],[Course ID]])&gt;1,"S","")</f>
        <v/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10</v>
      </c>
      <c r="Z8"/>
      <c r="AA8"/>
      <c r="AB8"/>
    </row>
    <row r="9" spans="1:28" s="3" customFormat="1" x14ac:dyDescent="0.25">
      <c r="D9" s="5"/>
      <c r="Q9"/>
      <c r="R9"/>
      <c r="Z9"/>
      <c r="AA9"/>
      <c r="AB9"/>
    </row>
    <row r="10" spans="1:28" x14ac:dyDescent="0.25"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47625</xdr:rowOff>
                  </from>
                  <to>
                    <xdr:col>22</xdr:col>
                    <xdr:colOff>209550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95250</xdr:rowOff>
                  </from>
                  <to>
                    <xdr:col>22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4"/>
  <sheetViews>
    <sheetView workbookViewId="0">
      <pane ySplit="1" topLeftCell="A2" activePane="bottomLeft" state="frozen"/>
      <selection activeCell="T20" sqref="T20"/>
      <selection pane="bottomLeft" activeCell="E20" sqref="E20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zoomScaleNormal="100" workbookViewId="0">
      <selection sqref="A1:G1"/>
    </sheetView>
  </sheetViews>
  <sheetFormatPr defaultColWidth="8.7109375"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18" ht="15.75" thickBot="1" x14ac:dyDescent="0.3">
      <c r="A1" s="44" t="s">
        <v>69</v>
      </c>
      <c r="B1" s="44"/>
      <c r="C1" s="44"/>
      <c r="D1" s="44"/>
      <c r="E1" s="44"/>
      <c r="F1" s="44"/>
      <c r="G1" s="44"/>
      <c r="Q1" t="s">
        <v>75</v>
      </c>
      <c r="R1" t="s">
        <v>76</v>
      </c>
    </row>
    <row r="2" spans="1:18" x14ac:dyDescent="0.25">
      <c r="A2" s="45"/>
      <c r="B2" s="46"/>
      <c r="C2" s="41" t="s">
        <v>70</v>
      </c>
      <c r="D2" s="41" t="s">
        <v>71</v>
      </c>
      <c r="E2" s="41" t="s">
        <v>72</v>
      </c>
      <c r="F2" s="41" t="s">
        <v>73</v>
      </c>
      <c r="G2" s="42" t="s">
        <v>74</v>
      </c>
    </row>
    <row r="3" spans="1:18" x14ac:dyDescent="0.25">
      <c r="A3" s="32" t="s">
        <v>96</v>
      </c>
      <c r="B3" s="25" t="s">
        <v>19</v>
      </c>
      <c r="C3" s="27">
        <v>1</v>
      </c>
      <c r="D3" s="27">
        <v>2</v>
      </c>
      <c r="E3" s="27">
        <v>1</v>
      </c>
      <c r="F3" s="28">
        <v>3</v>
      </c>
      <c r="G3" s="33">
        <v>2</v>
      </c>
    </row>
    <row r="4" spans="1:18" x14ac:dyDescent="0.25">
      <c r="A4" s="32" t="s">
        <v>97</v>
      </c>
      <c r="B4" s="25" t="s">
        <v>20</v>
      </c>
      <c r="C4" s="29">
        <v>4</v>
      </c>
      <c r="D4" s="31">
        <v>5</v>
      </c>
      <c r="E4" s="29">
        <v>4</v>
      </c>
      <c r="F4" s="28">
        <v>3</v>
      </c>
      <c r="G4" s="36">
        <v>5</v>
      </c>
    </row>
    <row r="5" spans="1:18" ht="30" x14ac:dyDescent="0.25">
      <c r="A5" s="32" t="s">
        <v>98</v>
      </c>
      <c r="B5" s="25" t="s">
        <v>21</v>
      </c>
      <c r="C5" s="31" t="s">
        <v>110</v>
      </c>
      <c r="D5" s="29">
        <v>7</v>
      </c>
      <c r="E5" s="30">
        <v>10</v>
      </c>
      <c r="F5" s="31" t="s">
        <v>110</v>
      </c>
      <c r="G5" s="34">
        <v>7</v>
      </c>
    </row>
    <row r="6" spans="1:18" x14ac:dyDescent="0.25">
      <c r="A6" s="32" t="s">
        <v>99</v>
      </c>
      <c r="B6" s="25" t="s">
        <v>22</v>
      </c>
      <c r="C6" s="31">
        <v>8</v>
      </c>
      <c r="D6" s="29">
        <v>9</v>
      </c>
      <c r="E6" s="30">
        <v>10</v>
      </c>
      <c r="F6" s="31">
        <v>8</v>
      </c>
      <c r="G6" s="34">
        <v>9</v>
      </c>
    </row>
    <row r="7" spans="1:18" x14ac:dyDescent="0.25">
      <c r="A7" s="32" t="s">
        <v>100</v>
      </c>
      <c r="B7" s="25" t="s">
        <v>23</v>
      </c>
      <c r="C7" s="29">
        <v>11</v>
      </c>
      <c r="D7" s="30" t="s">
        <v>79</v>
      </c>
      <c r="E7" s="30" t="s">
        <v>79</v>
      </c>
      <c r="F7" s="29">
        <v>11</v>
      </c>
      <c r="G7" s="43">
        <v>16</v>
      </c>
    </row>
    <row r="8" spans="1:18" x14ac:dyDescent="0.25">
      <c r="A8" s="35" t="s">
        <v>101</v>
      </c>
      <c r="B8" s="26" t="s">
        <v>13</v>
      </c>
      <c r="C8" s="31">
        <v>12</v>
      </c>
      <c r="D8" s="29">
        <v>13</v>
      </c>
      <c r="E8" s="31">
        <v>12</v>
      </c>
      <c r="F8" s="29">
        <v>13</v>
      </c>
      <c r="G8" s="43">
        <v>16</v>
      </c>
    </row>
    <row r="9" spans="1:18" x14ac:dyDescent="0.25">
      <c r="A9" s="32" t="s">
        <v>102</v>
      </c>
      <c r="B9" s="25" t="s">
        <v>16</v>
      </c>
      <c r="C9" s="29">
        <v>14</v>
      </c>
      <c r="D9" s="31">
        <v>15</v>
      </c>
      <c r="E9" s="29">
        <v>14</v>
      </c>
      <c r="F9" s="31">
        <v>15</v>
      </c>
      <c r="G9" s="36"/>
    </row>
    <row r="10" spans="1:18" ht="30" x14ac:dyDescent="0.25">
      <c r="A10" s="32" t="s">
        <v>103</v>
      </c>
      <c r="B10" s="25" t="s">
        <v>77</v>
      </c>
      <c r="C10" s="31" t="s">
        <v>111</v>
      </c>
      <c r="D10" s="29">
        <v>18</v>
      </c>
      <c r="E10" s="31" t="s">
        <v>112</v>
      </c>
      <c r="F10" s="29">
        <v>10</v>
      </c>
      <c r="G10" s="36"/>
    </row>
    <row r="11" spans="1:18" ht="30" x14ac:dyDescent="0.25">
      <c r="A11" s="32" t="s">
        <v>104</v>
      </c>
      <c r="B11" s="25" t="s">
        <v>78</v>
      </c>
      <c r="C11" s="27" t="s">
        <v>92</v>
      </c>
      <c r="D11" s="27" t="s">
        <v>93</v>
      </c>
      <c r="E11" s="27" t="s">
        <v>94</v>
      </c>
      <c r="F11" s="27" t="s">
        <v>95</v>
      </c>
      <c r="G11" s="36"/>
    </row>
    <row r="12" spans="1:18" ht="15.75" thickBot="1" x14ac:dyDescent="0.3">
      <c r="A12" s="37" t="s">
        <v>105</v>
      </c>
      <c r="B12" s="38" t="s">
        <v>78</v>
      </c>
      <c r="C12" s="39">
        <v>25</v>
      </c>
      <c r="D12" s="39">
        <v>26</v>
      </c>
      <c r="E12" s="39">
        <v>27</v>
      </c>
      <c r="F12" s="39">
        <v>28</v>
      </c>
      <c r="G12" s="40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2017-03-02T04:32:28Z</cp:lastPrinted>
  <dcterms:created xsi:type="dcterms:W3CDTF">2017-02-16T01:30:00Z</dcterms:created>
  <dcterms:modified xsi:type="dcterms:W3CDTF">2017-03-02T04:45:09Z</dcterms:modified>
</cp:coreProperties>
</file>