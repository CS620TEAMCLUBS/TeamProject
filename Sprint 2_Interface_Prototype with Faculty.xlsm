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yfeng\Desktop\Courses\CS620\Assigments\Team Project\"/>
    </mc:Choice>
  </mc:AlternateContent>
  <bookViews>
    <workbookView xWindow="0" yWindow="0" windowWidth="20490" windowHeight="7905" tabRatio="913"/>
  </bookViews>
  <sheets>
    <sheet name="IProf" sheetId="3" r:id="rId1"/>
    <sheet name="HProf" sheetId="13" r:id="rId2"/>
    <sheet name="ICourse" sheetId="1" r:id="rId3"/>
    <sheet name="InfoPreReq" sheetId="4" r:id="rId4"/>
    <sheet name="OBlock" sheetId="2" r:id="rId5"/>
    <sheet name="OCourse" sheetId="11" r:id="rId6"/>
    <sheet name="OProf" sheetId="9" r:id="rId7"/>
    <sheet name="PrintOut" sheetId="14" r:id="rId8"/>
    <sheet name="CProf" sheetId="10" state="hidden" r:id="rId9"/>
    <sheet name="CCourse" sheetId="12" state="hidden" r:id="rId10"/>
    <sheet name="Candidates" sheetId="15" state="hidden" r:id="rId11"/>
  </sheets>
  <functionGroups builtInGroupCount="18"/>
  <definedNames>
    <definedName name="_xlnm._FilterDatabase" localSheetId="10" hidden="1">Candidates!$A$1:$I$1</definedName>
    <definedName name="_xlnm._FilterDatabase" localSheetId="4" hidden="1">OBlock!$A$1:$B$29</definedName>
  </definedNames>
  <calcPr calcId="152511" concurrentCalc="0"/>
  <pivotCaches>
    <pivotCache cacheId="6" r:id="rId1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C7" i="15" l="1"/>
  <c r="BB7" i="15"/>
  <c r="BA7" i="15"/>
  <c r="F12" i="15"/>
  <c r="BA12" i="15"/>
  <c r="BB12" i="15"/>
  <c r="E12" i="15"/>
  <c r="D12" i="15"/>
  <c r="F11" i="15"/>
  <c r="BA11" i="15"/>
  <c r="BB11" i="15"/>
  <c r="E11" i="15"/>
  <c r="D11" i="15"/>
  <c r="F10" i="15"/>
  <c r="BA10" i="15"/>
  <c r="BB10" i="15"/>
  <c r="BC10" i="15"/>
  <c r="E10" i="15"/>
  <c r="D10" i="15"/>
  <c r="F9" i="15"/>
  <c r="BA9" i="15"/>
  <c r="BB9" i="15"/>
  <c r="E9" i="15"/>
  <c r="D9" i="15"/>
  <c r="F8" i="15"/>
  <c r="BA8" i="15"/>
  <c r="BB8" i="15"/>
  <c r="E8" i="15"/>
  <c r="D8" i="15"/>
  <c r="F7" i="15"/>
  <c r="E7" i="15"/>
  <c r="D7" i="15"/>
  <c r="F6" i="15"/>
  <c r="BA6" i="15"/>
  <c r="BB6" i="15"/>
  <c r="E6" i="15"/>
  <c r="D6" i="15"/>
  <c r="F5" i="15"/>
  <c r="BA5" i="15"/>
  <c r="BB5" i="15"/>
  <c r="E5" i="15"/>
  <c r="D5" i="15"/>
  <c r="F4" i="15"/>
  <c r="BA4" i="15"/>
  <c r="BB4" i="15"/>
  <c r="BC4" i="15"/>
  <c r="E4" i="15"/>
  <c r="D4" i="15"/>
  <c r="F3" i="15"/>
  <c r="BA3" i="15"/>
  <c r="BB3" i="15"/>
  <c r="BC3" i="15"/>
  <c r="E3" i="15"/>
  <c r="D3" i="15"/>
  <c r="F2" i="15"/>
  <c r="BA2" i="15"/>
  <c r="BB2" i="15"/>
  <c r="BC2" i="15"/>
  <c r="E2" i="15"/>
  <c r="D2" i="15"/>
  <c r="H44" i="12"/>
  <c r="G44" i="12"/>
  <c r="H42" i="12"/>
  <c r="G42" i="12"/>
  <c r="H60" i="12"/>
  <c r="G60" i="12"/>
  <c r="H10" i="12"/>
  <c r="G10" i="12"/>
  <c r="H104" i="12"/>
  <c r="G104" i="12"/>
  <c r="H34" i="12"/>
  <c r="G34" i="12"/>
  <c r="H52" i="12"/>
  <c r="G52" i="12"/>
  <c r="H36" i="12"/>
  <c r="G36" i="12"/>
  <c r="H91" i="12"/>
  <c r="G91" i="12"/>
  <c r="H7" i="12"/>
  <c r="G7" i="12"/>
  <c r="H106" i="12"/>
  <c r="G106" i="12"/>
  <c r="H82" i="12"/>
  <c r="G82" i="12"/>
  <c r="H71" i="12"/>
  <c r="G71" i="12"/>
  <c r="H50" i="12"/>
  <c r="G50" i="12"/>
  <c r="H40" i="12"/>
  <c r="G40" i="12"/>
  <c r="H43" i="12"/>
  <c r="G43" i="12"/>
  <c r="H41" i="12"/>
  <c r="G41" i="12"/>
  <c r="H35" i="12"/>
  <c r="G35" i="12"/>
  <c r="H103" i="12"/>
  <c r="G103" i="12"/>
  <c r="J14" i="12"/>
  <c r="H14" i="12"/>
  <c r="G14" i="12"/>
  <c r="F14" i="12"/>
  <c r="Q2" i="10"/>
  <c r="P2" i="10"/>
  <c r="O2" i="10"/>
  <c r="N2" i="10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2" i="12"/>
  <c r="F3" i="12"/>
  <c r="F4" i="12"/>
  <c r="F5" i="12"/>
  <c r="F6" i="12"/>
  <c r="F7" i="12"/>
  <c r="F8" i="12"/>
  <c r="F9" i="12"/>
  <c r="F10" i="12"/>
  <c r="F11" i="12"/>
  <c r="F12" i="12"/>
  <c r="F13" i="12"/>
  <c r="F34" i="12"/>
  <c r="F37" i="12"/>
  <c r="F40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35" i="12"/>
  <c r="F38" i="12"/>
  <c r="F41" i="12"/>
  <c r="F36" i="12"/>
  <c r="F39" i="12"/>
  <c r="F42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2" i="12"/>
  <c r="G3" i="12"/>
  <c r="G4" i="12"/>
  <c r="G5" i="12"/>
  <c r="G6" i="12"/>
  <c r="G8" i="12"/>
  <c r="G9" i="12"/>
  <c r="G11" i="12"/>
  <c r="G12" i="12"/>
  <c r="G13" i="12"/>
  <c r="G37" i="12"/>
  <c r="G45" i="12"/>
  <c r="G46" i="12"/>
  <c r="G47" i="12"/>
  <c r="G48" i="12"/>
  <c r="G49" i="12"/>
  <c r="G51" i="12"/>
  <c r="G53" i="12"/>
  <c r="G54" i="12"/>
  <c r="G55" i="12"/>
  <c r="G56" i="12"/>
  <c r="G57" i="12"/>
  <c r="G58" i="12"/>
  <c r="G59" i="12"/>
  <c r="G61" i="12"/>
  <c r="G62" i="12"/>
  <c r="G63" i="12"/>
  <c r="G64" i="12"/>
  <c r="G65" i="12"/>
  <c r="G66" i="12"/>
  <c r="G67" i="12"/>
  <c r="G68" i="12"/>
  <c r="G69" i="12"/>
  <c r="G70" i="12"/>
  <c r="G72" i="12"/>
  <c r="G73" i="12"/>
  <c r="G74" i="12"/>
  <c r="G75" i="12"/>
  <c r="G76" i="12"/>
  <c r="G77" i="12"/>
  <c r="G78" i="12"/>
  <c r="G79" i="12"/>
  <c r="G80" i="12"/>
  <c r="G81" i="12"/>
  <c r="G83" i="12"/>
  <c r="G84" i="12"/>
  <c r="G85" i="12"/>
  <c r="G86" i="12"/>
  <c r="G87" i="12"/>
  <c r="G88" i="12"/>
  <c r="G89" i="12"/>
  <c r="G90" i="12"/>
  <c r="G92" i="12"/>
  <c r="G93" i="12"/>
  <c r="G94" i="12"/>
  <c r="G95" i="12"/>
  <c r="G96" i="12"/>
  <c r="G97" i="12"/>
  <c r="G98" i="12"/>
  <c r="G99" i="12"/>
  <c r="G100" i="12"/>
  <c r="G101" i="12"/>
  <c r="G102" i="12"/>
  <c r="G105" i="12"/>
  <c r="G38" i="12"/>
  <c r="G39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2" i="12"/>
  <c r="H3" i="12"/>
  <c r="H4" i="12"/>
  <c r="H5" i="12"/>
  <c r="H6" i="12"/>
  <c r="H8" i="12"/>
  <c r="H9" i="12"/>
  <c r="H11" i="12"/>
  <c r="H12" i="12"/>
  <c r="H13" i="12"/>
  <c r="H37" i="12"/>
  <c r="H45" i="12"/>
  <c r="H46" i="12"/>
  <c r="H47" i="12"/>
  <c r="H48" i="12"/>
  <c r="H49" i="12"/>
  <c r="H51" i="12"/>
  <c r="H53" i="12"/>
  <c r="H54" i="12"/>
  <c r="H55" i="12"/>
  <c r="H56" i="12"/>
  <c r="H57" i="12"/>
  <c r="H58" i="12"/>
  <c r="H59" i="12"/>
  <c r="H61" i="12"/>
  <c r="H62" i="12"/>
  <c r="H63" i="12"/>
  <c r="H64" i="12"/>
  <c r="H65" i="12"/>
  <c r="H66" i="12"/>
  <c r="H67" i="12"/>
  <c r="H68" i="12"/>
  <c r="H69" i="12"/>
  <c r="H70" i="12"/>
  <c r="H72" i="12"/>
  <c r="H73" i="12"/>
  <c r="H74" i="12"/>
  <c r="H75" i="12"/>
  <c r="H76" i="12"/>
  <c r="H77" i="12"/>
  <c r="H78" i="12"/>
  <c r="H79" i="12"/>
  <c r="H80" i="12"/>
  <c r="H81" i="12"/>
  <c r="H83" i="12"/>
  <c r="H84" i="12"/>
  <c r="H85" i="12"/>
  <c r="H86" i="12"/>
  <c r="H87" i="12"/>
  <c r="H88" i="12"/>
  <c r="H89" i="12"/>
  <c r="H90" i="12"/>
  <c r="H92" i="12"/>
  <c r="H93" i="12"/>
  <c r="H94" i="12"/>
  <c r="H95" i="12"/>
  <c r="H96" i="12"/>
  <c r="H97" i="12"/>
  <c r="H98" i="12"/>
  <c r="H99" i="12"/>
  <c r="H100" i="12"/>
  <c r="H101" i="12"/>
  <c r="H102" i="12"/>
  <c r="H105" i="12"/>
  <c r="H38" i="12"/>
  <c r="H39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2" i="12"/>
  <c r="J3" i="12"/>
  <c r="J4" i="12"/>
  <c r="J5" i="12"/>
  <c r="J6" i="12"/>
  <c r="J7" i="12"/>
  <c r="J8" i="12"/>
  <c r="J9" i="12"/>
  <c r="J10" i="12"/>
  <c r="J11" i="12"/>
  <c r="J12" i="12"/>
  <c r="J13" i="12"/>
  <c r="J34" i="12"/>
  <c r="J37" i="12"/>
  <c r="J40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98" i="12"/>
  <c r="J99" i="12"/>
  <c r="J100" i="12"/>
  <c r="J101" i="12"/>
  <c r="J102" i="12"/>
  <c r="J103" i="12"/>
  <c r="J104" i="12"/>
  <c r="J105" i="12"/>
  <c r="J106" i="12"/>
  <c r="J35" i="12"/>
  <c r="J38" i="12"/>
  <c r="J41" i="12"/>
  <c r="J36" i="12"/>
  <c r="J39" i="12"/>
  <c r="J42" i="12"/>
  <c r="N3" i="10"/>
  <c r="N4" i="10"/>
  <c r="N5" i="10"/>
  <c r="N6" i="10"/>
  <c r="N7" i="10"/>
  <c r="N8" i="10"/>
  <c r="N9" i="10"/>
  <c r="N10" i="10"/>
  <c r="N11" i="10"/>
  <c r="N12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6" i="10"/>
  <c r="N27" i="10"/>
  <c r="N28" i="10"/>
  <c r="N29" i="10"/>
  <c r="N30" i="10"/>
  <c r="N31" i="10"/>
  <c r="N32" i="10"/>
  <c r="N33" i="10"/>
  <c r="N34" i="10"/>
  <c r="N35" i="10"/>
  <c r="N36" i="10"/>
  <c r="N37" i="10"/>
  <c r="N38" i="10"/>
  <c r="N39" i="10"/>
  <c r="N40" i="10"/>
  <c r="N41" i="10"/>
  <c r="N42" i="10"/>
  <c r="N43" i="10"/>
  <c r="N44" i="10"/>
  <c r="N45" i="10"/>
  <c r="N46" i="10"/>
  <c r="N47" i="10"/>
  <c r="N48" i="10"/>
  <c r="N49" i="10"/>
  <c r="N50" i="10"/>
  <c r="N51" i="10"/>
  <c r="O3" i="10"/>
  <c r="O4" i="10"/>
  <c r="O5" i="10"/>
  <c r="O6" i="10"/>
  <c r="O7" i="10"/>
  <c r="O8" i="10"/>
  <c r="O9" i="10"/>
  <c r="O10" i="10"/>
  <c r="O11" i="10"/>
  <c r="O12" i="10"/>
  <c r="O13" i="10"/>
  <c r="O14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41" i="10"/>
  <c r="O42" i="10"/>
  <c r="O43" i="10"/>
  <c r="O44" i="10"/>
  <c r="O45" i="10"/>
  <c r="O46" i="10"/>
  <c r="O47" i="10"/>
  <c r="O48" i="10"/>
  <c r="O49" i="10"/>
  <c r="O50" i="10"/>
  <c r="O51" i="10"/>
  <c r="P3" i="10"/>
  <c r="P4" i="10"/>
  <c r="P5" i="10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Q3" i="10"/>
  <c r="Q4" i="10"/>
  <c r="Q5" i="10"/>
  <c r="Q6" i="10"/>
  <c r="Q7" i="10"/>
  <c r="Q8" i="10"/>
  <c r="Q9" i="10"/>
  <c r="Q10" i="10"/>
  <c r="Q11" i="10"/>
  <c r="Q12" i="10"/>
  <c r="Q13" i="10"/>
  <c r="Q14" i="10"/>
  <c r="Q15" i="10"/>
  <c r="Q16" i="10"/>
  <c r="Q17" i="10"/>
  <c r="Q18" i="10"/>
  <c r="Q19" i="10"/>
  <c r="Q20" i="10"/>
  <c r="Q21" i="10"/>
  <c r="Q22" i="10"/>
  <c r="Q23" i="10"/>
  <c r="Q24" i="10"/>
  <c r="Q25" i="10"/>
  <c r="Q26" i="10"/>
  <c r="Q27" i="10"/>
  <c r="Q28" i="10"/>
  <c r="Q29" i="10"/>
  <c r="Q30" i="10"/>
  <c r="Q31" i="10"/>
  <c r="Q32" i="10"/>
  <c r="Q33" i="10"/>
  <c r="Q34" i="10"/>
  <c r="Q35" i="10"/>
  <c r="Q36" i="10"/>
  <c r="Q37" i="10"/>
  <c r="Q38" i="10"/>
  <c r="Q39" i="10"/>
  <c r="Q40" i="10"/>
  <c r="Q41" i="10"/>
  <c r="Q42" i="10"/>
  <c r="Q43" i="10"/>
  <c r="Q44" i="10"/>
  <c r="Q45" i="10"/>
  <c r="Q46" i="10"/>
  <c r="Q47" i="10"/>
  <c r="Q48" i="10"/>
  <c r="Q49" i="10"/>
  <c r="Q50" i="10"/>
  <c r="Q51" i="10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</calcChain>
</file>

<file path=xl/comments1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
required
dropdown selection from historical data, but new value can be added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required
dropdown selection (F,P)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Num of sessions to teach this semester
Dropdown (0-4)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Required,
Dropdown selection (Open courses)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S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T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U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V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W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X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Y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Z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A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B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D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E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F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G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H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I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J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K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Required
dropdown -1 ~ -6
-1 means last semester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Last name, First name
required
dropdown selection from historical data, but new value can be added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required
dropdown selection (F,P)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Num of sessions to teach this semester
Dropdown (0-4)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Required,
Dropdown selection (Open courses)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S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T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U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V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W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X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Y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Z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A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B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D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E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F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G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H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I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J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K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L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Department Shortname +3 digits string
required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3 digits string
default entry 100,
required info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required
dropdown selection (U,G)</t>
        </r>
      </text>
    </comment>
  </commentList>
</comments>
</file>

<file path=xl/comments4.xml><?xml version="1.0" encoding="utf-8"?>
<comments xmlns="http://schemas.openxmlformats.org/spreadsheetml/2006/main">
  <authors>
    <author>Windows User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Which semester data is used. 
Current one is 0, previous one is -1, etc
range: 0 ~ -6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Preference number / total number of preferences
highest rank preference is 1
String</t>
        </r>
      </text>
    </comment>
  </commentList>
</comments>
</file>

<file path=xl/comments5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
required
dropdown selection from historical data, but new value can be added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required
dropdown selection (F,P)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Num of sessions to teach this semester
Dropdown (0-4)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Required,
Dropdown selection (Open courses)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</commentList>
</comments>
</file>

<file path=xl/comments6.xml><?xml version="1.0" encoding="utf-8"?>
<comments xmlns="http://schemas.openxmlformats.org/spreadsheetml/2006/main">
  <authors>
    <author>Windows User</author>
  </authors>
  <commentList>
    <comment ref="I1" authorId="0" shapeId="0">
      <text>
        <r>
          <rPr>
            <b/>
            <sz val="9"/>
            <color indexed="81"/>
            <rFont val="Tahoma"/>
            <family val="2"/>
          </rPr>
          <t>Insufficient: 2
Same: 1
Extra: 0</t>
        </r>
      </text>
    </comment>
  </commentList>
</comments>
</file>

<file path=xl/sharedStrings.xml><?xml version="1.0" encoding="utf-8"?>
<sst xmlns="http://schemas.openxmlformats.org/spreadsheetml/2006/main" count="2664" uniqueCount="369">
  <si>
    <t>Block</t>
  </si>
  <si>
    <t>Session</t>
  </si>
  <si>
    <t>Level</t>
  </si>
  <si>
    <t>U</t>
  </si>
  <si>
    <t>F</t>
  </si>
  <si>
    <t>G</t>
  </si>
  <si>
    <t>CS100</t>
  </si>
  <si>
    <t>CS200</t>
  </si>
  <si>
    <t>CS300</t>
  </si>
  <si>
    <t>CS400</t>
  </si>
  <si>
    <t>CS500</t>
  </si>
  <si>
    <t>CS600</t>
  </si>
  <si>
    <t>CS700</t>
  </si>
  <si>
    <t>CS800</t>
  </si>
  <si>
    <t>CS900</t>
  </si>
  <si>
    <t>CS901</t>
  </si>
  <si>
    <t>CS902</t>
  </si>
  <si>
    <t>CS903</t>
  </si>
  <si>
    <t>Name</t>
  </si>
  <si>
    <t>Full/Part-time</t>
  </si>
  <si>
    <t>Preference_1</t>
  </si>
  <si>
    <t>Preference_2</t>
  </si>
  <si>
    <t>Preference_3</t>
  </si>
  <si>
    <t>Preference_4</t>
  </si>
  <si>
    <t>A, B</t>
  </si>
  <si>
    <t>C, D</t>
  </si>
  <si>
    <t>E, F</t>
  </si>
  <si>
    <t>G, H</t>
  </si>
  <si>
    <t>P</t>
  </si>
  <si>
    <t>I, J</t>
  </si>
  <si>
    <t>K, L</t>
  </si>
  <si>
    <t>CS100 100</t>
  </si>
  <si>
    <t>CS200 100</t>
  </si>
  <si>
    <t>CS300 100</t>
  </si>
  <si>
    <t>CS400 100</t>
  </si>
  <si>
    <t>M, N</t>
  </si>
  <si>
    <t>CS500 100</t>
  </si>
  <si>
    <t>O, P</t>
  </si>
  <si>
    <t>Q, R</t>
  </si>
  <si>
    <t>SessionPK</t>
  </si>
  <si>
    <t>AvaiProf</t>
  </si>
  <si>
    <t>Course</t>
  </si>
  <si>
    <t>F/P</t>
  </si>
  <si>
    <t/>
  </si>
  <si>
    <t>Pre-Req</t>
  </si>
  <si>
    <t>Before_Noon</t>
  </si>
  <si>
    <t>After_Noon</t>
  </si>
  <si>
    <t>Professor</t>
  </si>
  <si>
    <t>Session_1</t>
  </si>
  <si>
    <t>Session_2</t>
  </si>
  <si>
    <t>Session_3</t>
  </si>
  <si>
    <t>Session_4</t>
  </si>
  <si>
    <t>S,T</t>
  </si>
  <si>
    <t>U,V</t>
  </si>
  <si>
    <t>W,X</t>
  </si>
  <si>
    <t>Y,Z</t>
  </si>
  <si>
    <t>AA,A</t>
  </si>
  <si>
    <t>AA,B</t>
  </si>
  <si>
    <t>AA,C</t>
  </si>
  <si>
    <t>AA,D</t>
  </si>
  <si>
    <t>AA,E</t>
  </si>
  <si>
    <t>AA,F</t>
  </si>
  <si>
    <t>AA,G</t>
  </si>
  <si>
    <t>AA,H</t>
  </si>
  <si>
    <t>AA,I</t>
  </si>
  <si>
    <t>AA,J</t>
  </si>
  <si>
    <t>AA,K</t>
  </si>
  <si>
    <t>AA,L</t>
  </si>
  <si>
    <t>AA,M</t>
  </si>
  <si>
    <t>AA,N</t>
  </si>
  <si>
    <t>AA,O</t>
  </si>
  <si>
    <t>AA,P</t>
  </si>
  <si>
    <t>AA,Q</t>
  </si>
  <si>
    <t>AA,R</t>
  </si>
  <si>
    <t>AA,Z</t>
  </si>
  <si>
    <t>AA,S</t>
  </si>
  <si>
    <t>AA,T</t>
  </si>
  <si>
    <t>AA,U</t>
  </si>
  <si>
    <t>AA,V</t>
  </si>
  <si>
    <t>AA,W</t>
  </si>
  <si>
    <t>AA,X</t>
  </si>
  <si>
    <t>AA,Y</t>
  </si>
  <si>
    <t>AB,A</t>
  </si>
  <si>
    <t>AB,B</t>
  </si>
  <si>
    <t>AB,C</t>
  </si>
  <si>
    <t>AB,D</t>
  </si>
  <si>
    <t>AB,E</t>
  </si>
  <si>
    <t>AB,F</t>
  </si>
  <si>
    <t>AB,G</t>
  </si>
  <si>
    <t>AB,H</t>
  </si>
  <si>
    <t>AB,I</t>
  </si>
  <si>
    <t>AB,J</t>
  </si>
  <si>
    <t>AB,K</t>
  </si>
  <si>
    <t>MA101</t>
  </si>
  <si>
    <t>MA102</t>
  </si>
  <si>
    <t>MA103</t>
  </si>
  <si>
    <t>MA104</t>
  </si>
  <si>
    <t>MA105</t>
  </si>
  <si>
    <t>MA106</t>
  </si>
  <si>
    <t>MA107</t>
  </si>
  <si>
    <t>MA108</t>
  </si>
  <si>
    <t>MA109</t>
  </si>
  <si>
    <t>MA110</t>
  </si>
  <si>
    <t>MA111</t>
  </si>
  <si>
    <t>MA112</t>
  </si>
  <si>
    <t>MA113</t>
  </si>
  <si>
    <t>MA114</t>
  </si>
  <si>
    <t>MA115</t>
  </si>
  <si>
    <t>MA116</t>
  </si>
  <si>
    <t>MA117</t>
  </si>
  <si>
    <t>MA118</t>
  </si>
  <si>
    <t>MA119</t>
  </si>
  <si>
    <t>MA120</t>
  </si>
  <si>
    <t>MA121</t>
  </si>
  <si>
    <t>MA122</t>
  </si>
  <si>
    <t>MA123</t>
  </si>
  <si>
    <t>MA124</t>
  </si>
  <si>
    <t>MA125</t>
  </si>
  <si>
    <t>MA126</t>
  </si>
  <si>
    <t>MA127</t>
  </si>
  <si>
    <t>MA128</t>
  </si>
  <si>
    <t>MA129</t>
  </si>
  <si>
    <t>MA130</t>
  </si>
  <si>
    <t>MA131</t>
  </si>
  <si>
    <t>MA132</t>
  </si>
  <si>
    <t>MA133</t>
  </si>
  <si>
    <t>MA134</t>
  </si>
  <si>
    <t>MA135</t>
  </si>
  <si>
    <t>MA136</t>
  </si>
  <si>
    <t>MA137</t>
  </si>
  <si>
    <t>MA138</t>
  </si>
  <si>
    <t>MA139</t>
  </si>
  <si>
    <t>MA140</t>
  </si>
  <si>
    <t>MA141</t>
  </si>
  <si>
    <t>MA142</t>
  </si>
  <si>
    <t>MA143</t>
  </si>
  <si>
    <t>MA144</t>
  </si>
  <si>
    <t>MA145</t>
  </si>
  <si>
    <t>MA146</t>
  </si>
  <si>
    <t>MA147</t>
  </si>
  <si>
    <t>MA148</t>
  </si>
  <si>
    <t>MA149</t>
  </si>
  <si>
    <t>MA150</t>
  </si>
  <si>
    <t>MA151</t>
  </si>
  <si>
    <t>MA152</t>
  </si>
  <si>
    <t>MA153</t>
  </si>
  <si>
    <t>MA154</t>
  </si>
  <si>
    <t>MA155</t>
  </si>
  <si>
    <t>MA156</t>
  </si>
  <si>
    <t>MA157</t>
  </si>
  <si>
    <t>MA158</t>
  </si>
  <si>
    <t>MA159</t>
  </si>
  <si>
    <t>MA160</t>
  </si>
  <si>
    <t>MA161</t>
  </si>
  <si>
    <t>MA162</t>
  </si>
  <si>
    <t>MA163</t>
  </si>
  <si>
    <t>MA164</t>
  </si>
  <si>
    <t>MA165</t>
  </si>
  <si>
    <t>MA166</t>
  </si>
  <si>
    <t>MA167</t>
  </si>
  <si>
    <t>SessionNum</t>
  </si>
  <si>
    <t>ID</t>
  </si>
  <si>
    <t>Preference_5</t>
  </si>
  <si>
    <t>Preference_6</t>
  </si>
  <si>
    <t>Block_1</t>
  </si>
  <si>
    <t>Block_2</t>
  </si>
  <si>
    <t>Block_3</t>
  </si>
  <si>
    <t>Block_4</t>
  </si>
  <si>
    <t>Block_5</t>
  </si>
  <si>
    <t>Block_6</t>
  </si>
  <si>
    <t>Block_7</t>
  </si>
  <si>
    <t>Block_8</t>
  </si>
  <si>
    <t>Block_9</t>
  </si>
  <si>
    <t>Block_10</t>
  </si>
  <si>
    <t>Block_11</t>
  </si>
  <si>
    <t>Block_12</t>
  </si>
  <si>
    <t>Block_13</t>
  </si>
  <si>
    <t>Block_14</t>
  </si>
  <si>
    <t>Block_15</t>
  </si>
  <si>
    <t>Block_16</t>
  </si>
  <si>
    <t>Block_17</t>
  </si>
  <si>
    <t>Block_18</t>
  </si>
  <si>
    <t>Block_19</t>
  </si>
  <si>
    <t>Block_20</t>
  </si>
  <si>
    <t>Block_21</t>
  </si>
  <si>
    <t>Block_22</t>
  </si>
  <si>
    <t>Block_23</t>
  </si>
  <si>
    <t>Block_24</t>
  </si>
  <si>
    <t>Block_25</t>
  </si>
  <si>
    <t>Block_26</t>
  </si>
  <si>
    <t>Block_27</t>
  </si>
  <si>
    <t>Block_28</t>
  </si>
  <si>
    <t>TimePrefInput</t>
  </si>
  <si>
    <t>SessionSource_1</t>
  </si>
  <si>
    <t>SessionSource_2</t>
  </si>
  <si>
    <t>SessionSource_3</t>
  </si>
  <si>
    <t>SessionSource_4</t>
  </si>
  <si>
    <t>Semester</t>
  </si>
  <si>
    <t>TimePrefNum</t>
  </si>
  <si>
    <t>FI100</t>
  </si>
  <si>
    <t>FI200</t>
  </si>
  <si>
    <t>FI300</t>
  </si>
  <si>
    <t>WORKSHEET</t>
  </si>
  <si>
    <t>MONDAY</t>
  </si>
  <si>
    <t>TUESDAY</t>
  </si>
  <si>
    <t>WEDNESDAY</t>
  </si>
  <si>
    <t>THURSDAY</t>
  </si>
  <si>
    <t>FRIDAY</t>
  </si>
  <si>
    <t>8:00-9:20</t>
  </si>
  <si>
    <t>A</t>
  </si>
  <si>
    <t>1_x000D_</t>
  </si>
  <si>
    <t>2_x000D_</t>
  </si>
  <si>
    <t>9:30-10:50</t>
  </si>
  <si>
    <t>B</t>
  </si>
  <si>
    <t>5_x000D_</t>
  </si>
  <si>
    <t>11:00-12:20</t>
  </si>
  <si>
    <t>C</t>
  </si>
  <si>
    <t>7_x000D_</t>
  </si>
  <si>
    <t>10_x000D_</t>
  </si>
  <si>
    <t>12:30-1:50</t>
  </si>
  <si>
    <t>D</t>
  </si>
  <si>
    <t>8_x000D_</t>
  </si>
  <si>
    <t>9_x000D_</t>
  </si>
  <si>
    <t>2:00-3:20</t>
  </si>
  <si>
    <t>E</t>
  </si>
  <si>
    <t>11_x000D_</t>
  </si>
  <si>
    <t>ACTIVITY PERIOD</t>
  </si>
  <si>
    <t>3:30-4:50</t>
  </si>
  <si>
    <t>13_x000D_</t>
  </si>
  <si>
    <t>5:00-6:20</t>
  </si>
  <si>
    <t>14_x000D_</t>
  </si>
  <si>
    <t>15_x000D_</t>
  </si>
  <si>
    <t>6:30-9:10</t>
  </si>
  <si>
    <t>EVENING</t>
  </si>
  <si>
    <t>17_x000D_</t>
  </si>
  <si>
    <t>18_x000D_</t>
  </si>
  <si>
    <t>19_x000D_</t>
  </si>
  <si>
    <t>5:00-7:20</t>
  </si>
  <si>
    <t>GRAD</t>
  </si>
  <si>
    <t>21_x000D_</t>
  </si>
  <si>
    <t>22_x000D_</t>
  </si>
  <si>
    <t>23_x000D_</t>
  </si>
  <si>
    <t>7:30-9:50</t>
  </si>
  <si>
    <t>25_x000D_</t>
  </si>
  <si>
    <t>26_x000D_</t>
  </si>
  <si>
    <t>27_x000D_</t>
  </si>
  <si>
    <t>Session ID</t>
  </si>
  <si>
    <t>#Session</t>
  </si>
  <si>
    <t>AvaiSpot</t>
  </si>
  <si>
    <t>Pref_1</t>
  </si>
  <si>
    <t>Pref_2</t>
  </si>
  <si>
    <t>Pref_3</t>
  </si>
  <si>
    <t>Pref_4</t>
  </si>
  <si>
    <t>Pref_5</t>
  </si>
  <si>
    <t>Pref_6</t>
  </si>
  <si>
    <t>Source_1</t>
  </si>
  <si>
    <t>Source_2</t>
  </si>
  <si>
    <t>Source_3</t>
  </si>
  <si>
    <t>Source_4</t>
  </si>
  <si>
    <t>FI400</t>
  </si>
  <si>
    <t>FI500</t>
  </si>
  <si>
    <t>Insufficient</t>
  </si>
  <si>
    <t>FI100 100</t>
  </si>
  <si>
    <t>FI100 200</t>
  </si>
  <si>
    <t>FI100 300</t>
  </si>
  <si>
    <t>FI100 400</t>
  </si>
  <si>
    <t>FI200 100</t>
  </si>
  <si>
    <t>FI200 200</t>
  </si>
  <si>
    <t>FI200 300</t>
  </si>
  <si>
    <t>FI200 400</t>
  </si>
  <si>
    <t>FI300 100</t>
  </si>
  <si>
    <t>FI300 200</t>
  </si>
  <si>
    <t>FI300 300</t>
  </si>
  <si>
    <t>FI300 400</t>
  </si>
  <si>
    <t>FI400 100</t>
  </si>
  <si>
    <t>FI400 200</t>
  </si>
  <si>
    <t>FI400 300</t>
  </si>
  <si>
    <t>FI400 400</t>
  </si>
  <si>
    <t>FI500 100</t>
  </si>
  <si>
    <t>FI500 200</t>
  </si>
  <si>
    <t>FI500 300</t>
  </si>
  <si>
    <t>FI500 400</t>
  </si>
  <si>
    <t>CS600 100</t>
  </si>
  <si>
    <t>CS700 100</t>
  </si>
  <si>
    <t>CS800 100</t>
  </si>
  <si>
    <t>CS900 100</t>
  </si>
  <si>
    <t>CS901 100</t>
  </si>
  <si>
    <t>CS902 100</t>
  </si>
  <si>
    <t>CS903 100</t>
  </si>
  <si>
    <t>MA101 100</t>
  </si>
  <si>
    <t>MA102 100</t>
  </si>
  <si>
    <t>MA103 100</t>
  </si>
  <si>
    <t>MA104 100</t>
  </si>
  <si>
    <t>MA105 100</t>
  </si>
  <si>
    <t>MA106 100</t>
  </si>
  <si>
    <t>MA107 100</t>
  </si>
  <si>
    <t>MA108 100</t>
  </si>
  <si>
    <t>MA109 100</t>
  </si>
  <si>
    <t>MA110 100</t>
  </si>
  <si>
    <t>MA111 100</t>
  </si>
  <si>
    <t>MA112 100</t>
  </si>
  <si>
    <t>MA113 100</t>
  </si>
  <si>
    <t>MA114 100</t>
  </si>
  <si>
    <t>MA115 100</t>
  </si>
  <si>
    <t>MA116 100</t>
  </si>
  <si>
    <t>MA117 100</t>
  </si>
  <si>
    <t>MA118 100</t>
  </si>
  <si>
    <t>MA119 100</t>
  </si>
  <si>
    <t>MA120 100</t>
  </si>
  <si>
    <t>MA121 100</t>
  </si>
  <si>
    <t>MA122 100</t>
  </si>
  <si>
    <t>MA123 100</t>
  </si>
  <si>
    <t>MA124 100</t>
  </si>
  <si>
    <t>MA125 100</t>
  </si>
  <si>
    <t>MA126 100</t>
  </si>
  <si>
    <t>MA127 100</t>
  </si>
  <si>
    <t>MA128 100</t>
  </si>
  <si>
    <t>MA129 100</t>
  </si>
  <si>
    <t>MA130 100</t>
  </si>
  <si>
    <t>MA131 100</t>
  </si>
  <si>
    <t>MA132 100</t>
  </si>
  <si>
    <t>MA133 100</t>
  </si>
  <si>
    <t>MA134 100</t>
  </si>
  <si>
    <t>MA135 100</t>
  </si>
  <si>
    <t>MA136 100</t>
  </si>
  <si>
    <t>MA137 100</t>
  </si>
  <si>
    <t>MA138 100</t>
  </si>
  <si>
    <t>MA139 100</t>
  </si>
  <si>
    <t>MA140 100</t>
  </si>
  <si>
    <t>MA141 100</t>
  </si>
  <si>
    <t>MA142 100</t>
  </si>
  <si>
    <t>MA143 100</t>
  </si>
  <si>
    <t>MA144 100</t>
  </si>
  <si>
    <t>MA145 100</t>
  </si>
  <si>
    <t>MA146 100</t>
  </si>
  <si>
    <t>MA147 100</t>
  </si>
  <si>
    <t>MA148 100</t>
  </si>
  <si>
    <t>MA149 100</t>
  </si>
  <si>
    <t>MA150 100</t>
  </si>
  <si>
    <t>MA151 100</t>
  </si>
  <si>
    <t>MA152 100</t>
  </si>
  <si>
    <t>MA153 100</t>
  </si>
  <si>
    <t>MA154 100</t>
  </si>
  <si>
    <t>MA155 100</t>
  </si>
  <si>
    <t>MA156 100</t>
  </si>
  <si>
    <t>MA157 100</t>
  </si>
  <si>
    <t>MA158 100</t>
  </si>
  <si>
    <t>MA159 100</t>
  </si>
  <si>
    <t>MA160 100</t>
  </si>
  <si>
    <t>MA161 100</t>
  </si>
  <si>
    <t>MA162 100</t>
  </si>
  <si>
    <t>MA163 100</t>
  </si>
  <si>
    <t>MA164 100</t>
  </si>
  <si>
    <t>MA165 100</t>
  </si>
  <si>
    <t>MA166 100</t>
  </si>
  <si>
    <t>MA167 100</t>
  </si>
  <si>
    <t>AvailSession</t>
  </si>
  <si>
    <t>MA101 200</t>
  </si>
  <si>
    <t>MA102 200</t>
  </si>
  <si>
    <t>MA103 200</t>
  </si>
  <si>
    <t>Decided</t>
  </si>
  <si>
    <t>NumAvaiProf</t>
  </si>
  <si>
    <t>NumAvaiSpot</t>
  </si>
  <si>
    <t>TBANum</t>
  </si>
  <si>
    <t>Faculties</t>
  </si>
  <si>
    <t>Available Spots</t>
  </si>
  <si>
    <t>MA101 300</t>
  </si>
  <si>
    <t>MA102 300</t>
  </si>
  <si>
    <t>MA103 300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</si>
</sst>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/>
        <bgColor theme="1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6">
    <xf numFmtId="0" fontId="0" fillId="0" borderId="0" xfId="0"/>
    <xf numFmtId="0" fontId="3" fillId="0" borderId="0" xfId="0" applyFont="1" applyFill="1"/>
    <xf numFmtId="0" fontId="4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/>
    <xf numFmtId="0" fontId="4" fillId="0" borderId="0" xfId="1" applyFont="1" applyFill="1" applyBorder="1" applyAlignment="1">
      <alignment horizontal="center"/>
    </xf>
    <xf numFmtId="0" fontId="4" fillId="0" borderId="0" xfId="0" applyFont="1" applyFill="1" applyBorder="1"/>
    <xf numFmtId="0" fontId="4" fillId="0" borderId="0" xfId="0" applyFont="1" applyFill="1"/>
    <xf numFmtId="0" fontId="6" fillId="0" borderId="3" xfId="0" applyFont="1" applyBorder="1" applyAlignment="1">
      <alignment horizontal="center" vertical="top"/>
    </xf>
    <xf numFmtId="0" fontId="6" fillId="0" borderId="4" xfId="0" applyFont="1" applyBorder="1" applyAlignment="1">
      <alignment horizontal="center" vertical="top"/>
    </xf>
    <xf numFmtId="0" fontId="0" fillId="0" borderId="5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7" xfId="0" applyBorder="1" applyAlignment="1">
      <alignment horizontal="left" vertical="top" wrapText="1" justifyLastLine="1"/>
    </xf>
    <xf numFmtId="0" fontId="0" fillId="4" borderId="7" xfId="0" applyFill="1" applyBorder="1" applyAlignment="1">
      <alignment horizontal="left" vertical="top" wrapText="1" justifyLastLine="1"/>
    </xf>
    <xf numFmtId="0" fontId="0" fillId="0" borderId="8" xfId="0" applyBorder="1" applyAlignment="1">
      <alignment horizontal="left" vertical="top" wrapText="1" justifyLastLine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4" borderId="7" xfId="0" applyFill="1" applyBorder="1" applyAlignment="1">
      <alignment horizontal="left" vertical="top" wrapText="1"/>
    </xf>
    <xf numFmtId="0" fontId="0" fillId="4" borderId="7" xfId="0" applyFill="1" applyBorder="1" applyAlignment="1">
      <alignment horizontal="left" vertical="top"/>
    </xf>
    <xf numFmtId="0" fontId="0" fillId="4" borderId="8" xfId="0" applyFill="1" applyBorder="1" applyAlignment="1">
      <alignment horizontal="left" vertical="top" wrapText="1"/>
    </xf>
    <xf numFmtId="20" fontId="0" fillId="0" borderId="5" xfId="0" applyNumberFormat="1" applyBorder="1" applyAlignment="1">
      <alignment vertical="top"/>
    </xf>
    <xf numFmtId="20" fontId="0" fillId="0" borderId="6" xfId="0" applyNumberFormat="1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11" xfId="0" applyBorder="1" applyAlignment="1">
      <alignment horizontal="left" vertical="top" wrapText="1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2" fillId="3" borderId="0" xfId="0" applyFont="1" applyFill="1"/>
    <xf numFmtId="0" fontId="2" fillId="5" borderId="13" xfId="0" applyFont="1" applyFill="1" applyBorder="1"/>
    <xf numFmtId="0" fontId="3" fillId="3" borderId="0" xfId="0" applyFont="1" applyFill="1"/>
    <xf numFmtId="0" fontId="6" fillId="0" borderId="0" xfId="0" applyFont="1"/>
    <xf numFmtId="0" fontId="0" fillId="0" borderId="0" xfId="0" applyNumberFormat="1"/>
    <xf numFmtId="0" fontId="6" fillId="0" borderId="0" xfId="0" applyFont="1" applyAlignment="1">
      <alignment horizontal="center"/>
    </xf>
    <xf numFmtId="0" fontId="6" fillId="0" borderId="1" xfId="0" applyFont="1" applyBorder="1" applyAlignment="1">
      <alignment horizontal="center" vertical="top"/>
    </xf>
    <xf numFmtId="0" fontId="6" fillId="0" borderId="2" xfId="0" applyFont="1" applyBorder="1" applyAlignment="1">
      <alignment horizontal="center" vertical="top"/>
    </xf>
  </cellXfs>
  <cellStyles count="2">
    <cellStyle name="Good" xfId="1" builtinId="26"/>
    <cellStyle name="Normal" xfId="0" builtinId="0"/>
  </cellStyles>
  <dxfs count="10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</dxf>
    <dxf>
      <fill>
        <patternFill patternType="solid"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5</xdr:col>
          <xdr:colOff>581025</xdr:colOff>
          <xdr:row>2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Faculty Assignment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User" refreshedDate="42824.671089236108" createdVersion="5" refreshedVersion="5" minRefreshableVersion="3" recordCount="105">
  <cacheSource type="worksheet">
    <worksheetSource name="Course"/>
  </cacheSource>
  <cacheFields count="3">
    <cacheField name="Course" numFmtId="0">
      <sharedItems count="89">
        <s v="FI100"/>
        <s v="FI200"/>
        <s v="FI300"/>
        <s v="FI400"/>
        <s v="FI500"/>
        <s v="CS100"/>
        <s v="CS200"/>
        <s v="CS300"/>
        <s v="CS400"/>
        <s v="CS500"/>
        <s v="CS600"/>
        <s v="CS700"/>
        <s v="CS800"/>
        <s v="CS900"/>
        <s v="CS901"/>
        <s v="CS902"/>
        <s v="CS903"/>
        <s v="MA101"/>
        <s v="MA102"/>
        <s v="MA103"/>
        <s v="MA104"/>
        <s v="MA105"/>
        <s v="MA106"/>
        <s v="MA107"/>
        <s v="MA108"/>
        <s v="MA109"/>
        <s v="MA110"/>
        <s v="MA111"/>
        <s v="MA112"/>
        <s v="MA113"/>
        <s v="MA114"/>
        <s v="MA115"/>
        <s v="MA116"/>
        <s v="MA117"/>
        <s v="MA118"/>
        <s v="MA119"/>
        <s v="MA120"/>
        <s v="MA121"/>
        <s v="MA122"/>
        <s v="MA123"/>
        <s v="MA124"/>
        <s v="MA125"/>
        <s v="MA126"/>
        <s v="MA127"/>
        <s v="MA128"/>
        <s v="MA129"/>
        <s v="MA130"/>
        <s v="MA131"/>
        <s v="MA132"/>
        <s v="MA133"/>
        <s v="MA134"/>
        <s v="MA135"/>
        <s v="MA136"/>
        <s v="MA137"/>
        <s v="MA138"/>
        <s v="MA139"/>
        <s v="MA140"/>
        <s v="MA141"/>
        <s v="MA142"/>
        <s v="MA143"/>
        <s v="MA144"/>
        <s v="MA145"/>
        <s v="MA146"/>
        <s v="MA147"/>
        <s v="MA148"/>
        <s v="MA149"/>
        <s v="MA150"/>
        <s v="MA151"/>
        <s v="MA152"/>
        <s v="MA153"/>
        <s v="MA154"/>
        <s v="MA155"/>
        <s v="MA156"/>
        <s v="MA157"/>
        <s v="MA158"/>
        <s v="MA159"/>
        <s v="MA160"/>
        <s v="MA161"/>
        <s v="MA162"/>
        <s v="MA163"/>
        <s v="MA164"/>
        <s v="MA165"/>
        <s v="MA166"/>
        <s v="MA167"/>
        <s v="FIN500" u="1"/>
        <s v="FIN400" u="1"/>
        <s v="FIN300" u="1"/>
        <s v="FIN200" u="1"/>
        <s v="FIN100" u="1"/>
      </sharedItems>
    </cacheField>
    <cacheField name="Session" numFmtId="0">
      <sharedItems containsSemiMixedTypes="0" containsString="0" containsNumber="1" containsInteger="1" minValue="100" maxValue="400"/>
    </cacheField>
    <cacheField name="Leve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5">
  <r>
    <x v="0"/>
    <n v="100"/>
    <s v="U"/>
  </r>
  <r>
    <x v="0"/>
    <n v="200"/>
    <s v="U"/>
  </r>
  <r>
    <x v="0"/>
    <n v="300"/>
    <s v="U"/>
  </r>
  <r>
    <x v="0"/>
    <n v="400"/>
    <s v="U"/>
  </r>
  <r>
    <x v="1"/>
    <n v="100"/>
    <s v="U"/>
  </r>
  <r>
    <x v="1"/>
    <n v="200"/>
    <s v="U"/>
  </r>
  <r>
    <x v="1"/>
    <n v="300"/>
    <s v="U"/>
  </r>
  <r>
    <x v="1"/>
    <n v="400"/>
    <s v="U"/>
  </r>
  <r>
    <x v="2"/>
    <n v="100"/>
    <s v="U"/>
  </r>
  <r>
    <x v="2"/>
    <n v="200"/>
    <s v="U"/>
  </r>
  <r>
    <x v="2"/>
    <n v="300"/>
    <s v="U"/>
  </r>
  <r>
    <x v="2"/>
    <n v="400"/>
    <s v="U"/>
  </r>
  <r>
    <x v="3"/>
    <n v="100"/>
    <s v="U"/>
  </r>
  <r>
    <x v="3"/>
    <n v="200"/>
    <s v="U"/>
  </r>
  <r>
    <x v="3"/>
    <n v="300"/>
    <s v="U"/>
  </r>
  <r>
    <x v="3"/>
    <n v="400"/>
    <s v="U"/>
  </r>
  <r>
    <x v="4"/>
    <n v="100"/>
    <s v="U"/>
  </r>
  <r>
    <x v="4"/>
    <n v="200"/>
    <s v="U"/>
  </r>
  <r>
    <x v="4"/>
    <n v="300"/>
    <s v="U"/>
  </r>
  <r>
    <x v="4"/>
    <n v="400"/>
    <s v="U"/>
  </r>
  <r>
    <x v="5"/>
    <n v="100"/>
    <s v="G"/>
  </r>
  <r>
    <x v="6"/>
    <n v="100"/>
    <s v="G"/>
  </r>
  <r>
    <x v="7"/>
    <n v="100"/>
    <s v="G"/>
  </r>
  <r>
    <x v="8"/>
    <n v="100"/>
    <s v="G"/>
  </r>
  <r>
    <x v="9"/>
    <n v="100"/>
    <s v="G"/>
  </r>
  <r>
    <x v="10"/>
    <n v="100"/>
    <s v="G"/>
  </r>
  <r>
    <x v="11"/>
    <n v="100"/>
    <s v="G"/>
  </r>
  <r>
    <x v="12"/>
    <n v="100"/>
    <s v="G"/>
  </r>
  <r>
    <x v="13"/>
    <n v="100"/>
    <s v="G"/>
  </r>
  <r>
    <x v="14"/>
    <n v="100"/>
    <s v="G"/>
  </r>
  <r>
    <x v="15"/>
    <n v="100"/>
    <s v="G"/>
  </r>
  <r>
    <x v="16"/>
    <n v="100"/>
    <s v="G"/>
  </r>
  <r>
    <x v="17"/>
    <n v="100"/>
    <s v="U"/>
  </r>
  <r>
    <x v="18"/>
    <n v="100"/>
    <s v="U"/>
  </r>
  <r>
    <x v="19"/>
    <n v="100"/>
    <s v="U"/>
  </r>
  <r>
    <x v="20"/>
    <n v="100"/>
    <s v="U"/>
  </r>
  <r>
    <x v="21"/>
    <n v="100"/>
    <s v="U"/>
  </r>
  <r>
    <x v="22"/>
    <n v="100"/>
    <s v="U"/>
  </r>
  <r>
    <x v="23"/>
    <n v="100"/>
    <s v="U"/>
  </r>
  <r>
    <x v="24"/>
    <n v="100"/>
    <s v="U"/>
  </r>
  <r>
    <x v="25"/>
    <n v="100"/>
    <s v="U"/>
  </r>
  <r>
    <x v="26"/>
    <n v="100"/>
    <s v="U"/>
  </r>
  <r>
    <x v="27"/>
    <n v="100"/>
    <s v="U"/>
  </r>
  <r>
    <x v="28"/>
    <n v="100"/>
    <s v="U"/>
  </r>
  <r>
    <x v="29"/>
    <n v="100"/>
    <s v="U"/>
  </r>
  <r>
    <x v="30"/>
    <n v="100"/>
    <s v="U"/>
  </r>
  <r>
    <x v="31"/>
    <n v="100"/>
    <s v="U"/>
  </r>
  <r>
    <x v="32"/>
    <n v="100"/>
    <s v="U"/>
  </r>
  <r>
    <x v="33"/>
    <n v="100"/>
    <s v="U"/>
  </r>
  <r>
    <x v="34"/>
    <n v="100"/>
    <s v="U"/>
  </r>
  <r>
    <x v="35"/>
    <n v="100"/>
    <s v="U"/>
  </r>
  <r>
    <x v="36"/>
    <n v="100"/>
    <s v="U"/>
  </r>
  <r>
    <x v="37"/>
    <n v="100"/>
    <s v="U"/>
  </r>
  <r>
    <x v="38"/>
    <n v="100"/>
    <s v="U"/>
  </r>
  <r>
    <x v="39"/>
    <n v="100"/>
    <s v="U"/>
  </r>
  <r>
    <x v="40"/>
    <n v="100"/>
    <s v="U"/>
  </r>
  <r>
    <x v="41"/>
    <n v="100"/>
    <s v="U"/>
  </r>
  <r>
    <x v="42"/>
    <n v="100"/>
    <s v="U"/>
  </r>
  <r>
    <x v="43"/>
    <n v="100"/>
    <s v="U"/>
  </r>
  <r>
    <x v="44"/>
    <n v="100"/>
    <s v="U"/>
  </r>
  <r>
    <x v="45"/>
    <n v="100"/>
    <s v="U"/>
  </r>
  <r>
    <x v="46"/>
    <n v="100"/>
    <s v="U"/>
  </r>
  <r>
    <x v="47"/>
    <n v="100"/>
    <s v="U"/>
  </r>
  <r>
    <x v="48"/>
    <n v="100"/>
    <s v="U"/>
  </r>
  <r>
    <x v="49"/>
    <n v="100"/>
    <s v="U"/>
  </r>
  <r>
    <x v="50"/>
    <n v="100"/>
    <s v="U"/>
  </r>
  <r>
    <x v="51"/>
    <n v="100"/>
    <s v="U"/>
  </r>
  <r>
    <x v="52"/>
    <n v="100"/>
    <s v="U"/>
  </r>
  <r>
    <x v="53"/>
    <n v="100"/>
    <s v="U"/>
  </r>
  <r>
    <x v="54"/>
    <n v="100"/>
    <s v="U"/>
  </r>
  <r>
    <x v="55"/>
    <n v="100"/>
    <s v="U"/>
  </r>
  <r>
    <x v="56"/>
    <n v="100"/>
    <s v="U"/>
  </r>
  <r>
    <x v="57"/>
    <n v="100"/>
    <s v="U"/>
  </r>
  <r>
    <x v="58"/>
    <n v="100"/>
    <s v="U"/>
  </r>
  <r>
    <x v="59"/>
    <n v="100"/>
    <s v="U"/>
  </r>
  <r>
    <x v="60"/>
    <n v="100"/>
    <s v="U"/>
  </r>
  <r>
    <x v="61"/>
    <n v="100"/>
    <s v="U"/>
  </r>
  <r>
    <x v="62"/>
    <n v="100"/>
    <s v="U"/>
  </r>
  <r>
    <x v="63"/>
    <n v="100"/>
    <s v="U"/>
  </r>
  <r>
    <x v="64"/>
    <n v="100"/>
    <s v="U"/>
  </r>
  <r>
    <x v="65"/>
    <n v="100"/>
    <s v="U"/>
  </r>
  <r>
    <x v="66"/>
    <n v="100"/>
    <s v="U"/>
  </r>
  <r>
    <x v="67"/>
    <n v="100"/>
    <s v="U"/>
  </r>
  <r>
    <x v="68"/>
    <n v="100"/>
    <s v="U"/>
  </r>
  <r>
    <x v="69"/>
    <n v="100"/>
    <s v="U"/>
  </r>
  <r>
    <x v="70"/>
    <n v="100"/>
    <s v="U"/>
  </r>
  <r>
    <x v="71"/>
    <n v="100"/>
    <s v="U"/>
  </r>
  <r>
    <x v="72"/>
    <n v="100"/>
    <s v="U"/>
  </r>
  <r>
    <x v="73"/>
    <n v="100"/>
    <s v="U"/>
  </r>
  <r>
    <x v="74"/>
    <n v="100"/>
    <s v="U"/>
  </r>
  <r>
    <x v="75"/>
    <n v="100"/>
    <s v="U"/>
  </r>
  <r>
    <x v="76"/>
    <n v="100"/>
    <s v="U"/>
  </r>
  <r>
    <x v="77"/>
    <n v="100"/>
    <s v="U"/>
  </r>
  <r>
    <x v="78"/>
    <n v="100"/>
    <s v="U"/>
  </r>
  <r>
    <x v="79"/>
    <n v="100"/>
    <s v="U"/>
  </r>
  <r>
    <x v="80"/>
    <n v="100"/>
    <s v="U"/>
  </r>
  <r>
    <x v="81"/>
    <n v="100"/>
    <s v="U"/>
  </r>
  <r>
    <x v="82"/>
    <n v="100"/>
    <s v="U"/>
  </r>
  <r>
    <x v="83"/>
    <n v="100"/>
    <s v="U"/>
  </r>
  <r>
    <x v="17"/>
    <n v="200"/>
    <s v="U"/>
  </r>
  <r>
    <x v="18"/>
    <n v="200"/>
    <s v="U"/>
  </r>
  <r>
    <x v="19"/>
    <n v="200"/>
    <s v="U"/>
  </r>
  <r>
    <x v="17"/>
    <n v="300"/>
    <s v="U"/>
  </r>
  <r>
    <x v="18"/>
    <n v="300"/>
    <s v="U"/>
  </r>
  <r>
    <x v="19"/>
    <n v="300"/>
    <s v="U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CourseList" cacheId="6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 rowHeaderCaption="Course">
  <location ref="A1:A85" firstHeaderRow="1" firstDataRow="1" firstDataCol="1"/>
  <pivotFields count="3">
    <pivotField axis="axisRow" showAll="0">
      <items count="90"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m="1" x="88"/>
        <item m="1" x="87"/>
        <item m="1" x="86"/>
        <item m="1" x="85"/>
        <item m="1" x="84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0"/>
        <item x="1"/>
        <item x="2"/>
        <item x="3"/>
        <item x="4"/>
        <item t="default"/>
      </items>
    </pivotField>
    <pivotField showAll="0"/>
    <pivotField showAll="0"/>
  </pivotFields>
  <rowFields count="1">
    <field x="0"/>
  </rowFields>
  <rowItems count="8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</rowItems>
  <colItems count="1">
    <i/>
  </colItems>
  <formats count="2">
    <format dxfId="8">
      <pivotArea field="0" type="button" dataOnly="0" labelOnly="1" outline="0" axis="axisRow" fieldPosition="0"/>
    </format>
    <format dxfId="7">
      <pivotArea field="0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Prof" displayName="Prof" ref="A1:AK51" totalsRowShown="0" headerRowDxfId="101" dataDxfId="100">
  <tableColumns count="37">
    <tableColumn id="1" name="Name" dataDxfId="99"/>
    <tableColumn id="2" name="Full/Part-time" dataDxfId="98"/>
    <tableColumn id="20" name="#Session" dataDxfId="97"/>
    <tableColumn id="3" name="Preference_1" dataDxfId="96"/>
    <tableColumn id="4" name="Preference_2" dataDxfId="95"/>
    <tableColumn id="5" name="Preference_3" dataDxfId="94"/>
    <tableColumn id="6" name="Preference_4" dataDxfId="93"/>
    <tableColumn id="24" name="Preference_5" dataDxfId="92"/>
    <tableColumn id="19" name="Preference_6" dataDxfId="91"/>
    <tableColumn id="7" name="Block_1" dataDxfId="90"/>
    <tableColumn id="8" name="Block_2" dataDxfId="89"/>
    <tableColumn id="9" name="Block_3" dataDxfId="88"/>
    <tableColumn id="10" name="Block_4" dataDxfId="87"/>
    <tableColumn id="11" name="Block_5" dataDxfId="86"/>
    <tableColumn id="12" name="Block_6" dataDxfId="85"/>
    <tableColumn id="13" name="Block_7" dataDxfId="84"/>
    <tableColumn id="18" name="Block_8" dataDxfId="83"/>
    <tableColumn id="14" name="Block_9" dataDxfId="82"/>
    <tableColumn id="15" name="Block_10" dataDxfId="81"/>
    <tableColumn id="16" name="Block_11" dataDxfId="80"/>
    <tableColumn id="17" name="Block_12" dataDxfId="79"/>
    <tableColumn id="25" name="Block_13" dataDxfId="78"/>
    <tableColumn id="26" name="Block_14" dataDxfId="77"/>
    <tableColumn id="27" name="Block_15" dataDxfId="76"/>
    <tableColumn id="28" name="Block_16" dataDxfId="75"/>
    <tableColumn id="29" name="Block_17" dataDxfId="74"/>
    <tableColumn id="30" name="Block_18" dataDxfId="73"/>
    <tableColumn id="31" name="Block_19" dataDxfId="72"/>
    <tableColumn id="32" name="Block_20" dataDxfId="71"/>
    <tableColumn id="33" name="Block_21" dataDxfId="70"/>
    <tableColumn id="34" name="Block_22" dataDxfId="69"/>
    <tableColumn id="35" name="Block_23" dataDxfId="68"/>
    <tableColumn id="36" name="Block_24" dataDxfId="67"/>
    <tableColumn id="37" name="Block_25" dataDxfId="66"/>
    <tableColumn id="38" name="Block_26" dataDxfId="65"/>
    <tableColumn id="39" name="Block_27" dataDxfId="64"/>
    <tableColumn id="40" name="Block_28" dataDxfId="6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5" name="HProf" displayName="HProf" ref="A1:AL2" totalsRowShown="0" headerRowDxfId="62" dataDxfId="61">
  <autoFilter ref="A1:AL2"/>
  <tableColumns count="38">
    <tableColumn id="1" name="Semester" dataDxfId="60"/>
    <tableColumn id="2" name="Name" dataDxfId="59"/>
    <tableColumn id="3" name="Full/Part-time" dataDxfId="58"/>
    <tableColumn id="38" name="#Session" dataDxfId="57"/>
    <tableColumn id="4" name="Preference_1" dataDxfId="56"/>
    <tableColumn id="5" name="Preference_2" dataDxfId="55"/>
    <tableColumn id="6" name="Preference_3" dataDxfId="54"/>
    <tableColumn id="7" name="Preference_4" dataDxfId="53"/>
    <tableColumn id="8" name="Preference_5" dataDxfId="52"/>
    <tableColumn id="9" name="Preference_6" dataDxfId="51"/>
    <tableColumn id="10" name="Block_1" dataDxfId="50"/>
    <tableColumn id="11" name="Block_2" dataDxfId="49"/>
    <tableColumn id="12" name="Block_3" dataDxfId="48"/>
    <tableColumn id="13" name="Block_4" dataDxfId="47"/>
    <tableColumn id="14" name="Block_5" dataDxfId="46"/>
    <tableColumn id="15" name="Block_6" dataDxfId="45"/>
    <tableColumn id="16" name="Block_7" dataDxfId="44"/>
    <tableColumn id="17" name="Block_8" dataDxfId="43"/>
    <tableColumn id="18" name="Block_9" dataDxfId="42"/>
    <tableColumn id="19" name="Block_10" dataDxfId="41"/>
    <tableColumn id="20" name="Block_11" dataDxfId="40"/>
    <tableColumn id="21" name="Block_12" dataDxfId="39"/>
    <tableColumn id="22" name="Block_13" dataDxfId="38"/>
    <tableColumn id="23" name="Block_14" dataDxfId="37"/>
    <tableColumn id="24" name="Block_15" dataDxfId="36"/>
    <tableColumn id="25" name="Block_16" dataDxfId="35"/>
    <tableColumn id="26" name="Block_17" dataDxfId="34"/>
    <tableColumn id="27" name="Block_18" dataDxfId="33"/>
    <tableColumn id="28" name="Block_19" dataDxfId="32"/>
    <tableColumn id="29" name="Block_20" dataDxfId="31"/>
    <tableColumn id="30" name="Block_21" dataDxfId="30"/>
    <tableColumn id="31" name="Block_22" dataDxfId="29"/>
    <tableColumn id="32" name="Block_23" dataDxfId="28"/>
    <tableColumn id="33" name="Block_24" dataDxfId="27"/>
    <tableColumn id="34" name="Block_25" dataDxfId="26"/>
    <tableColumn id="35" name="Block_26" dataDxfId="25"/>
    <tableColumn id="36" name="Block_27" dataDxfId="24"/>
    <tableColumn id="37" name="Block_28" dataDxfId="2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Course" displayName="Course" ref="A1:C106" totalsRowShown="0" headerRowDxfId="22" dataDxfId="21">
  <tableColumns count="3">
    <tableColumn id="2" name="Course" dataDxfId="20"/>
    <tableColumn id="3" name="Session" dataDxfId="19"/>
    <tableColumn id="4" name="Level" dataDxfId="18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1" name="Block" displayName="Block" ref="A1:E29" totalsRowShown="0">
  <autoFilter ref="A1:E29"/>
  <tableColumns count="5">
    <tableColumn id="1" name="Block"/>
    <tableColumn id="3" name="Level"/>
    <tableColumn id="7" name="Before_Noon"/>
    <tableColumn id="8" name="After_Noon"/>
    <tableColumn id="2" name="SessionNum" dataDxfId="17">
      <calculatedColumnFormula>COUNTA(OFFSET(Block[[#This Row],[Block]],0,6,1,2000))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8" name="CProf" displayName="CProf" ref="A1:Q51" totalsRowShown="0" headerRowDxfId="16" headerRowBorderDxfId="15" tableBorderDxfId="14" totalsRowBorderDxfId="13">
  <autoFilter ref="A1:Q51"/>
  <tableColumns count="17">
    <tableColumn id="1" name="Name"/>
    <tableColumn id="2" name="Full/Part-time"/>
    <tableColumn id="3" name="AvailSession"/>
    <tableColumn id="4" name="Pref_1"/>
    <tableColumn id="5" name="Pref_2"/>
    <tableColumn id="6" name="Pref_3"/>
    <tableColumn id="7" name="Pref_4"/>
    <tableColumn id="8" name="Pref_5"/>
    <tableColumn id="9" name="Pref_6"/>
    <tableColumn id="38" name="Session_1"/>
    <tableColumn id="39" name="Session_2"/>
    <tableColumn id="40" name="Session_3"/>
    <tableColumn id="41" name="Session_4"/>
    <tableColumn id="42" name="Source_1" dataDxfId="12">
      <calculatedColumnFormula>IFERROR(MATCH(LEFT(CProf[[#This Row],[Session_1]],5),CProf[[#This Row],[Pref_1]:[Pref_6]],0),"")</calculatedColumnFormula>
    </tableColumn>
    <tableColumn id="43" name="Source_2" dataDxfId="11">
      <calculatedColumnFormula>IFERROR(MATCH(LEFT(CProf[[#This Row],[Session_2]],5),CProf[[#This Row],[Pref_1]:[Pref_6]],0),"")</calculatedColumnFormula>
    </tableColumn>
    <tableColumn id="44" name="Source_3" dataDxfId="10">
      <calculatedColumnFormula>IFERROR(MATCH(LEFT(CProf[[#This Row],[Session_3]],5),CProf[[#This Row],[Pref_1]:[Pref_6]],0),"")</calculatedColumnFormula>
    </tableColumn>
    <tableColumn id="45" name="Source_4" dataDxfId="9">
      <calculatedColumnFormula>IFERROR(MATCH(LEFT(CProf[[#This Row],[Session_4]],5),CProf[[#This Row],[Pref_1]:[Pref_6]],0),"")</calculatedColumnFormula>
    </tableColumn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id="7" name="CCourse" displayName="CCourse" ref="B1:L106" totalsRowShown="0">
  <autoFilter ref="B1:L106"/>
  <tableColumns count="11">
    <tableColumn id="1" name="Course"/>
    <tableColumn id="2" name="Session"/>
    <tableColumn id="3" name="Level"/>
    <tableColumn id="4" name="SessionPK" dataDxfId="1"/>
    <tableColumn id="5" name="AvaiProf" dataDxfId="6">
      <calculatedColumnFormula>COUNTIF(CProf[[Pref_1]:[Pref_6]],CCourse[[#This Row],[Course]])</calculatedColumnFormula>
    </tableColumn>
    <tableColumn id="6" name="AvaiSpot" dataDxfId="5">
      <calculatedColumnFormula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calculatedColumnFormula>
    </tableColumn>
    <tableColumn id="9" name="SessionNum" dataDxfId="4">
      <calculatedColumnFormula>COUNTIF(CCourse[Course],CCourse[[#This Row],[Course]])-COUNTIF(CProf[[Session_1]:[Session_4]],CCourse[[#This Row],[Course]]&amp;"*")</calculatedColumnFormula>
    </tableColumn>
    <tableColumn id="10" name="Insufficient" dataDxfId="3">
      <calculatedColumnFormula>IF(ISBLANK(CCourse[[#This Row],[Professor]]),IF(CCourse[[#This Row],[SessionNum]]&gt;CCourse[[#This Row],[AvaiSpot]],2,IF(CCourse[[#This Row],[AvaiSpot]]=CCourse[[#This Row],[SessionNum]],1,0)),10)</calculatedColumnFormula>
    </tableColumn>
    <tableColumn id="8" name="F/P" dataDxfId="2">
      <calculatedColumnFormula>IFERROR(INDEX(CProf[Full/Part-time],MATCH(CCourse[[#This Row],[Professor]],CProf[Name],0)),"")</calculatedColumnFormula>
    </tableColumn>
    <tableColumn id="7" name="Professor"/>
    <tableColumn id="13" name="ID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3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omments" Target="../comments6.xml"/><Relationship Id="rId4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</sheetPr>
  <dimension ref="A1:AK51"/>
  <sheetViews>
    <sheetView tabSelected="1" workbookViewId="0"/>
  </sheetViews>
  <sheetFormatPr defaultRowHeight="15" x14ac:dyDescent="0.25"/>
  <cols>
    <col min="1" max="3" width="9.140625" style="5"/>
    <col min="4" max="7" width="12.85546875" style="5" bestFit="1" customWidth="1"/>
    <col min="8" max="9" width="12.85546875" style="5" customWidth="1"/>
    <col min="10" max="18" width="7.7109375" style="5" bestFit="1" customWidth="1"/>
    <col min="19" max="37" width="8.7109375" style="5" bestFit="1" customWidth="1"/>
    <col min="38" max="16384" width="9.140625" style="5"/>
  </cols>
  <sheetData>
    <row r="1" spans="1:37" x14ac:dyDescent="0.25">
      <c r="A1" s="5" t="s">
        <v>18</v>
      </c>
      <c r="B1" s="5" t="s">
        <v>19</v>
      </c>
      <c r="C1" s="5" t="s">
        <v>247</v>
      </c>
      <c r="D1" s="5" t="s">
        <v>20</v>
      </c>
      <c r="E1" s="5" t="s">
        <v>21</v>
      </c>
      <c r="F1" s="5" t="s">
        <v>22</v>
      </c>
      <c r="G1" s="5" t="s">
        <v>23</v>
      </c>
      <c r="H1" s="5" t="s">
        <v>162</v>
      </c>
      <c r="I1" s="5" t="s">
        <v>163</v>
      </c>
      <c r="J1" s="5" t="s">
        <v>164</v>
      </c>
      <c r="K1" s="5" t="s">
        <v>165</v>
      </c>
      <c r="L1" s="5" t="s">
        <v>166</v>
      </c>
      <c r="M1" s="5" t="s">
        <v>167</v>
      </c>
      <c r="N1" s="5" t="s">
        <v>168</v>
      </c>
      <c r="O1" s="5" t="s">
        <v>169</v>
      </c>
      <c r="P1" s="5" t="s">
        <v>170</v>
      </c>
      <c r="Q1" s="5" t="s">
        <v>171</v>
      </c>
      <c r="R1" s="5" t="s">
        <v>172</v>
      </c>
      <c r="S1" s="5" t="s">
        <v>173</v>
      </c>
      <c r="T1" s="5" t="s">
        <v>174</v>
      </c>
      <c r="U1" s="5" t="s">
        <v>175</v>
      </c>
      <c r="V1" s="5" t="s">
        <v>176</v>
      </c>
      <c r="W1" s="5" t="s">
        <v>177</v>
      </c>
      <c r="X1" s="5" t="s">
        <v>178</v>
      </c>
      <c r="Y1" s="5" t="s">
        <v>179</v>
      </c>
      <c r="Z1" s="5" t="s">
        <v>180</v>
      </c>
      <c r="AA1" s="5" t="s">
        <v>181</v>
      </c>
      <c r="AB1" s="5" t="s">
        <v>182</v>
      </c>
      <c r="AC1" s="5" t="s">
        <v>183</v>
      </c>
      <c r="AD1" s="5" t="s">
        <v>184</v>
      </c>
      <c r="AE1" s="5" t="s">
        <v>185</v>
      </c>
      <c r="AF1" s="5" t="s">
        <v>186</v>
      </c>
      <c r="AG1" s="5" t="s">
        <v>187</v>
      </c>
      <c r="AH1" s="5" t="s">
        <v>188</v>
      </c>
      <c r="AI1" s="5" t="s">
        <v>189</v>
      </c>
      <c r="AJ1" s="5" t="s">
        <v>190</v>
      </c>
      <c r="AK1" s="5" t="s">
        <v>191</v>
      </c>
    </row>
    <row r="2" spans="1:37" x14ac:dyDescent="0.25">
      <c r="A2" s="5" t="s">
        <v>24</v>
      </c>
      <c r="B2" s="5" t="s">
        <v>4</v>
      </c>
      <c r="C2" s="5">
        <v>1</v>
      </c>
      <c r="D2" s="5" t="s">
        <v>105</v>
      </c>
      <c r="E2" s="5" t="s">
        <v>157</v>
      </c>
      <c r="F2" s="5" t="s">
        <v>148</v>
      </c>
      <c r="G2" s="5" t="s">
        <v>13</v>
      </c>
      <c r="H2" s="5" t="s">
        <v>9</v>
      </c>
      <c r="J2" s="5">
        <v>-100</v>
      </c>
      <c r="K2" s="5" t="s">
        <v>43</v>
      </c>
      <c r="L2" s="5" t="s">
        <v>43</v>
      </c>
      <c r="M2" s="5">
        <v>-100</v>
      </c>
      <c r="N2" s="5">
        <v>-100</v>
      </c>
      <c r="O2" s="5">
        <v>26</v>
      </c>
      <c r="P2" s="5">
        <v>-100</v>
      </c>
      <c r="Q2" s="5">
        <v>41</v>
      </c>
      <c r="R2" s="5">
        <v>58</v>
      </c>
      <c r="S2" s="5" t="s">
        <v>43</v>
      </c>
      <c r="T2" s="5">
        <v>-100</v>
      </c>
      <c r="U2" s="5" t="s">
        <v>43</v>
      </c>
      <c r="V2" s="5">
        <v>30</v>
      </c>
      <c r="W2" s="5">
        <v>66</v>
      </c>
      <c r="X2" s="5">
        <v>35</v>
      </c>
      <c r="Y2" s="5">
        <v>52</v>
      </c>
      <c r="Z2" s="5">
        <v>87</v>
      </c>
      <c r="AA2" s="5" t="s">
        <v>43</v>
      </c>
      <c r="AB2" s="5">
        <v>89</v>
      </c>
      <c r="AC2" s="5">
        <v>-100</v>
      </c>
      <c r="AD2" s="5">
        <v>-100</v>
      </c>
      <c r="AE2" s="5" t="s">
        <v>43</v>
      </c>
      <c r="AF2" s="5">
        <v>30</v>
      </c>
      <c r="AG2" s="5">
        <v>66</v>
      </c>
      <c r="AH2" s="5">
        <v>-100</v>
      </c>
      <c r="AI2" s="5">
        <v>62</v>
      </c>
      <c r="AJ2" s="5">
        <v>93</v>
      </c>
      <c r="AK2" s="5">
        <v>14</v>
      </c>
    </row>
    <row r="3" spans="1:37" x14ac:dyDescent="0.25">
      <c r="A3" s="5" t="s">
        <v>25</v>
      </c>
      <c r="B3" s="5" t="s">
        <v>4</v>
      </c>
      <c r="C3" s="5">
        <v>4</v>
      </c>
      <c r="D3" s="5" t="s">
        <v>124</v>
      </c>
      <c r="E3" s="5" t="s">
        <v>119</v>
      </c>
      <c r="F3" s="5" t="s">
        <v>199</v>
      </c>
      <c r="G3" s="5" t="s">
        <v>141</v>
      </c>
      <c r="H3" s="5" t="s">
        <v>103</v>
      </c>
      <c r="J3" s="5">
        <v>34</v>
      </c>
      <c r="K3" s="5" t="s">
        <v>43</v>
      </c>
      <c r="L3" s="5">
        <v>-100</v>
      </c>
      <c r="M3" s="5">
        <v>46</v>
      </c>
      <c r="N3" s="5">
        <v>7</v>
      </c>
      <c r="O3" s="5" t="s">
        <v>43</v>
      </c>
      <c r="P3" s="5">
        <v>8</v>
      </c>
      <c r="Q3" s="5">
        <v>27</v>
      </c>
      <c r="R3" s="5">
        <v>-100</v>
      </c>
      <c r="S3" s="5">
        <v>40</v>
      </c>
      <c r="T3" s="5">
        <v>10</v>
      </c>
      <c r="U3" s="5">
        <v>-100</v>
      </c>
      <c r="V3" s="5">
        <v>-100</v>
      </c>
      <c r="W3" s="5">
        <v>-100</v>
      </c>
      <c r="X3" s="5">
        <v>98</v>
      </c>
      <c r="Y3" s="5">
        <v>51</v>
      </c>
      <c r="Z3" s="5">
        <v>-100</v>
      </c>
      <c r="AA3" s="5" t="s">
        <v>43</v>
      </c>
      <c r="AB3" s="5">
        <v>-100</v>
      </c>
      <c r="AC3" s="5">
        <v>-100</v>
      </c>
      <c r="AD3" s="5">
        <v>72</v>
      </c>
      <c r="AE3" s="5" t="s">
        <v>43</v>
      </c>
      <c r="AF3" s="5">
        <v>-100</v>
      </c>
      <c r="AG3" s="5" t="s">
        <v>43</v>
      </c>
      <c r="AH3" s="5">
        <v>-100</v>
      </c>
      <c r="AI3" s="5">
        <v>71</v>
      </c>
      <c r="AJ3" s="5" t="s">
        <v>43</v>
      </c>
      <c r="AK3" s="5">
        <v>-100</v>
      </c>
    </row>
    <row r="4" spans="1:37" x14ac:dyDescent="0.25">
      <c r="A4" s="5" t="s">
        <v>26</v>
      </c>
      <c r="B4" s="5" t="s">
        <v>4</v>
      </c>
      <c r="C4" s="5">
        <v>3</v>
      </c>
      <c r="D4" s="5" t="s">
        <v>13</v>
      </c>
      <c r="E4" s="5" t="s">
        <v>108</v>
      </c>
      <c r="F4" s="5" t="s">
        <v>148</v>
      </c>
      <c r="G4" s="5" t="s">
        <v>126</v>
      </c>
      <c r="H4" s="5" t="s">
        <v>152</v>
      </c>
      <c r="I4" s="5" t="s">
        <v>145</v>
      </c>
      <c r="J4" s="5">
        <v>-100</v>
      </c>
      <c r="K4" s="5">
        <v>-100</v>
      </c>
      <c r="L4" s="5">
        <v>-100</v>
      </c>
      <c r="M4" s="5">
        <v>-100</v>
      </c>
      <c r="N4" s="5" t="s">
        <v>43</v>
      </c>
      <c r="O4" s="5">
        <v>-100</v>
      </c>
      <c r="P4" s="5">
        <v>98</v>
      </c>
      <c r="Q4" s="5">
        <v>-100</v>
      </c>
      <c r="R4" s="5">
        <v>-100</v>
      </c>
      <c r="S4" s="5">
        <v>-100</v>
      </c>
      <c r="T4" s="5">
        <v>-100</v>
      </c>
      <c r="U4" s="5" t="s">
        <v>43</v>
      </c>
      <c r="V4" s="5" t="s">
        <v>43</v>
      </c>
      <c r="W4" s="5">
        <v>-100</v>
      </c>
      <c r="X4" s="5">
        <v>-100</v>
      </c>
      <c r="Y4" s="5">
        <v>-100</v>
      </c>
      <c r="Z4" s="5">
        <v>30</v>
      </c>
      <c r="AA4" s="5">
        <v>-100</v>
      </c>
      <c r="AB4" s="5">
        <v>8</v>
      </c>
      <c r="AC4" s="5">
        <v>59</v>
      </c>
      <c r="AD4" s="5">
        <v>-100</v>
      </c>
      <c r="AE4" s="5">
        <v>-100</v>
      </c>
      <c r="AF4" s="5" t="s">
        <v>43</v>
      </c>
      <c r="AG4" s="5" t="s">
        <v>43</v>
      </c>
      <c r="AH4" s="5">
        <v>27</v>
      </c>
      <c r="AI4" s="5">
        <v>-100</v>
      </c>
      <c r="AJ4" s="5" t="s">
        <v>43</v>
      </c>
      <c r="AK4" s="5">
        <v>-100</v>
      </c>
    </row>
    <row r="5" spans="1:37" x14ac:dyDescent="0.25">
      <c r="A5" s="5" t="s">
        <v>27</v>
      </c>
      <c r="B5" s="5" t="s">
        <v>28</v>
      </c>
      <c r="C5" s="5">
        <v>1</v>
      </c>
      <c r="D5" s="5" t="s">
        <v>158</v>
      </c>
      <c r="E5" s="5" t="s">
        <v>201</v>
      </c>
      <c r="F5" s="5" t="s">
        <v>12</v>
      </c>
      <c r="G5" s="5" t="s">
        <v>98</v>
      </c>
      <c r="H5" s="5" t="s">
        <v>120</v>
      </c>
      <c r="I5" s="5" t="s">
        <v>99</v>
      </c>
      <c r="J5" s="5">
        <v>19</v>
      </c>
      <c r="K5" s="5">
        <v>-100</v>
      </c>
      <c r="L5" s="5">
        <v>-100</v>
      </c>
      <c r="M5" s="5">
        <v>-100</v>
      </c>
      <c r="N5" s="5">
        <v>84</v>
      </c>
      <c r="O5" s="5" t="s">
        <v>43</v>
      </c>
      <c r="P5" s="5" t="s">
        <v>43</v>
      </c>
      <c r="Q5" s="5" t="s">
        <v>43</v>
      </c>
      <c r="R5" s="5">
        <v>-100</v>
      </c>
      <c r="S5" s="5">
        <v>-100</v>
      </c>
      <c r="T5" s="5" t="s">
        <v>43</v>
      </c>
      <c r="U5" s="5" t="s">
        <v>43</v>
      </c>
      <c r="V5" s="5">
        <v>-100</v>
      </c>
      <c r="W5" s="5">
        <v>-100</v>
      </c>
      <c r="X5" s="5" t="s">
        <v>43</v>
      </c>
      <c r="Y5" s="5" t="s">
        <v>43</v>
      </c>
      <c r="Z5" s="5">
        <v>-100</v>
      </c>
      <c r="AA5" s="5">
        <v>69</v>
      </c>
      <c r="AB5" s="5">
        <v>-100</v>
      </c>
      <c r="AC5" s="5">
        <v>-100</v>
      </c>
      <c r="AD5" s="5">
        <v>-100</v>
      </c>
      <c r="AE5" s="5" t="s">
        <v>43</v>
      </c>
      <c r="AF5" s="5" t="s">
        <v>43</v>
      </c>
      <c r="AG5" s="5">
        <v>-100</v>
      </c>
      <c r="AH5" s="5">
        <v>-100</v>
      </c>
      <c r="AI5" s="5">
        <v>-100</v>
      </c>
      <c r="AJ5" s="5">
        <v>-100</v>
      </c>
      <c r="AK5" s="5">
        <v>-100</v>
      </c>
    </row>
    <row r="6" spans="1:37" x14ac:dyDescent="0.25">
      <c r="A6" s="5" t="s">
        <v>29</v>
      </c>
      <c r="B6" s="5" t="s">
        <v>4</v>
      </c>
      <c r="C6" s="5">
        <v>2</v>
      </c>
      <c r="D6" s="5" t="s">
        <v>131</v>
      </c>
      <c r="E6" s="5" t="s">
        <v>113</v>
      </c>
      <c r="F6" s="5" t="s">
        <v>108</v>
      </c>
      <c r="G6" s="5" t="s">
        <v>109</v>
      </c>
      <c r="H6" s="5" t="s">
        <v>147</v>
      </c>
      <c r="I6" s="5" t="s">
        <v>115</v>
      </c>
      <c r="J6" s="5">
        <v>17</v>
      </c>
      <c r="K6" s="5">
        <v>-100</v>
      </c>
      <c r="L6" s="5" t="s">
        <v>43</v>
      </c>
      <c r="M6" s="5" t="s">
        <v>43</v>
      </c>
      <c r="N6" s="5">
        <v>-100</v>
      </c>
      <c r="O6" s="5">
        <v>-100</v>
      </c>
      <c r="P6" s="5">
        <v>-100</v>
      </c>
      <c r="Q6" s="5" t="s">
        <v>43</v>
      </c>
      <c r="R6" s="5">
        <v>27</v>
      </c>
      <c r="S6" s="5">
        <v>19</v>
      </c>
      <c r="T6" s="5">
        <v>-100</v>
      </c>
      <c r="U6" s="5">
        <v>3</v>
      </c>
      <c r="V6" s="5">
        <v>9</v>
      </c>
      <c r="W6" s="5" t="s">
        <v>43</v>
      </c>
      <c r="X6" s="5" t="s">
        <v>43</v>
      </c>
      <c r="Y6" s="5">
        <v>-100</v>
      </c>
      <c r="Z6" s="5">
        <v>68</v>
      </c>
      <c r="AA6" s="5">
        <v>84</v>
      </c>
      <c r="AB6" s="5" t="s">
        <v>43</v>
      </c>
      <c r="AC6" s="5" t="s">
        <v>43</v>
      </c>
      <c r="AD6" s="5">
        <v>10</v>
      </c>
      <c r="AE6" s="5">
        <v>-100</v>
      </c>
      <c r="AF6" s="5">
        <v>-100</v>
      </c>
      <c r="AG6" s="5">
        <v>-100</v>
      </c>
      <c r="AH6" s="5" t="s">
        <v>43</v>
      </c>
      <c r="AI6" s="5">
        <v>-100</v>
      </c>
      <c r="AJ6" s="5" t="s">
        <v>43</v>
      </c>
      <c r="AK6" s="5" t="s">
        <v>43</v>
      </c>
    </row>
    <row r="7" spans="1:37" x14ac:dyDescent="0.25">
      <c r="A7" s="5" t="s">
        <v>30</v>
      </c>
      <c r="B7" s="5" t="s">
        <v>4</v>
      </c>
      <c r="C7" s="5">
        <v>3</v>
      </c>
      <c r="D7" s="5" t="s">
        <v>104</v>
      </c>
      <c r="E7" s="5" t="s">
        <v>148</v>
      </c>
      <c r="F7" s="5" t="s">
        <v>118</v>
      </c>
      <c r="G7" s="5" t="s">
        <v>260</v>
      </c>
      <c r="H7" s="5" t="s">
        <v>159</v>
      </c>
      <c r="I7" s="5" t="s">
        <v>123</v>
      </c>
      <c r="J7" s="5">
        <v>-100</v>
      </c>
      <c r="K7" s="5">
        <v>-100</v>
      </c>
      <c r="L7" s="5">
        <v>26</v>
      </c>
      <c r="M7" s="5">
        <v>-100</v>
      </c>
      <c r="N7" s="5">
        <v>28</v>
      </c>
      <c r="O7" s="5">
        <v>-100</v>
      </c>
      <c r="P7" s="5">
        <v>-100</v>
      </c>
      <c r="Q7" s="5">
        <v>-100</v>
      </c>
      <c r="R7" s="5">
        <v>-100</v>
      </c>
      <c r="S7" s="5">
        <v>52</v>
      </c>
      <c r="T7" s="5">
        <v>-100</v>
      </c>
      <c r="U7" s="5">
        <v>-100</v>
      </c>
      <c r="V7" s="5">
        <v>-100</v>
      </c>
      <c r="W7" s="5">
        <v>81</v>
      </c>
      <c r="X7" s="5" t="s">
        <v>43</v>
      </c>
      <c r="Y7" s="5">
        <v>33</v>
      </c>
      <c r="Z7" s="5">
        <v>-100</v>
      </c>
      <c r="AA7" s="5" t="s">
        <v>43</v>
      </c>
      <c r="AB7" s="5">
        <v>-100</v>
      </c>
      <c r="AC7" s="5">
        <v>-100</v>
      </c>
      <c r="AD7" s="5">
        <v>-100</v>
      </c>
      <c r="AE7" s="5">
        <v>-100</v>
      </c>
      <c r="AF7" s="5" t="s">
        <v>43</v>
      </c>
      <c r="AG7" s="5">
        <v>-100</v>
      </c>
      <c r="AH7" s="5">
        <v>-100</v>
      </c>
      <c r="AI7" s="5" t="s">
        <v>43</v>
      </c>
      <c r="AJ7" s="5">
        <v>52</v>
      </c>
      <c r="AK7" s="5">
        <v>-100</v>
      </c>
    </row>
    <row r="8" spans="1:37" x14ac:dyDescent="0.25">
      <c r="A8" s="5" t="s">
        <v>35</v>
      </c>
      <c r="B8" s="5" t="s">
        <v>28</v>
      </c>
      <c r="C8" s="5">
        <v>3</v>
      </c>
      <c r="D8" s="5" t="s">
        <v>129</v>
      </c>
      <c r="E8" s="5" t="s">
        <v>99</v>
      </c>
      <c r="F8" s="5" t="s">
        <v>141</v>
      </c>
      <c r="G8" s="5" t="s">
        <v>11</v>
      </c>
      <c r="H8" s="5" t="s">
        <v>120</v>
      </c>
      <c r="I8" s="5" t="s">
        <v>136</v>
      </c>
      <c r="J8" s="5">
        <v>-100</v>
      </c>
      <c r="K8" s="5">
        <v>-100</v>
      </c>
      <c r="L8" s="5">
        <v>-100</v>
      </c>
      <c r="M8" s="5">
        <v>-100</v>
      </c>
      <c r="N8" s="5">
        <v>-100</v>
      </c>
      <c r="O8" s="5">
        <v>-100</v>
      </c>
      <c r="P8" s="5">
        <v>-100</v>
      </c>
      <c r="Q8" s="5">
        <v>67</v>
      </c>
      <c r="R8" s="5" t="s">
        <v>43</v>
      </c>
      <c r="S8" s="5">
        <v>-100</v>
      </c>
      <c r="T8" s="5">
        <v>9</v>
      </c>
      <c r="U8" s="5" t="s">
        <v>43</v>
      </c>
      <c r="V8" s="5">
        <v>-100</v>
      </c>
      <c r="W8" s="5">
        <v>-100</v>
      </c>
      <c r="X8" s="5">
        <v>-100</v>
      </c>
      <c r="Y8" s="5">
        <v>29</v>
      </c>
      <c r="Z8" s="5">
        <v>99</v>
      </c>
      <c r="AA8" s="5" t="s">
        <v>43</v>
      </c>
      <c r="AB8" s="5">
        <v>-100</v>
      </c>
      <c r="AC8" s="5">
        <v>-100</v>
      </c>
      <c r="AD8" s="5">
        <v>-100</v>
      </c>
      <c r="AE8" s="5">
        <v>37</v>
      </c>
      <c r="AF8" s="5">
        <v>-100</v>
      </c>
      <c r="AG8" s="5">
        <v>64</v>
      </c>
      <c r="AH8" s="5">
        <v>88</v>
      </c>
      <c r="AI8" s="5">
        <v>-100</v>
      </c>
      <c r="AJ8" s="5" t="s">
        <v>43</v>
      </c>
      <c r="AK8" s="5">
        <v>-100</v>
      </c>
    </row>
    <row r="9" spans="1:37" x14ac:dyDescent="0.25">
      <c r="A9" s="5" t="s">
        <v>37</v>
      </c>
      <c r="B9" s="5" t="s">
        <v>28</v>
      </c>
      <c r="C9" s="5">
        <v>3</v>
      </c>
      <c r="D9" s="5" t="s">
        <v>132</v>
      </c>
      <c r="E9" s="5" t="s">
        <v>121</v>
      </c>
      <c r="F9" s="5" t="s">
        <v>156</v>
      </c>
      <c r="G9" s="5" t="s">
        <v>122</v>
      </c>
      <c r="H9" s="5" t="s">
        <v>144</v>
      </c>
      <c r="J9" s="5">
        <v>94</v>
      </c>
      <c r="K9" s="5">
        <v>15</v>
      </c>
      <c r="L9" s="5">
        <v>-100</v>
      </c>
      <c r="M9" s="5" t="s">
        <v>43</v>
      </c>
      <c r="N9" s="5">
        <v>-100</v>
      </c>
      <c r="O9" s="5">
        <v>-100</v>
      </c>
      <c r="P9" s="5" t="s">
        <v>43</v>
      </c>
      <c r="Q9" s="5">
        <v>85</v>
      </c>
      <c r="R9" s="5">
        <v>-100</v>
      </c>
      <c r="S9" s="5">
        <v>22</v>
      </c>
      <c r="T9" s="5">
        <v>88</v>
      </c>
      <c r="U9" s="5">
        <v>-100</v>
      </c>
      <c r="V9" s="5">
        <v>-100</v>
      </c>
      <c r="W9" s="5">
        <v>-100</v>
      </c>
      <c r="X9" s="5">
        <v>-100</v>
      </c>
      <c r="Y9" s="5">
        <v>-100</v>
      </c>
      <c r="Z9" s="5">
        <v>-100</v>
      </c>
      <c r="AA9" s="5">
        <v>75</v>
      </c>
      <c r="AB9" s="5">
        <v>-100</v>
      </c>
      <c r="AC9" s="5">
        <v>2</v>
      </c>
      <c r="AD9" s="5" t="s">
        <v>43</v>
      </c>
      <c r="AE9" s="5">
        <v>16</v>
      </c>
      <c r="AF9" s="5">
        <v>3</v>
      </c>
      <c r="AG9" s="5">
        <v>-100</v>
      </c>
      <c r="AH9" s="5">
        <v>83</v>
      </c>
      <c r="AI9" s="5">
        <v>-100</v>
      </c>
      <c r="AJ9" s="5" t="s">
        <v>43</v>
      </c>
      <c r="AK9" s="5">
        <v>-100</v>
      </c>
    </row>
    <row r="10" spans="1:37" x14ac:dyDescent="0.25">
      <c r="A10" s="5" t="s">
        <v>38</v>
      </c>
      <c r="B10" s="5" t="s">
        <v>4</v>
      </c>
      <c r="C10" s="5">
        <v>4</v>
      </c>
      <c r="D10" s="5" t="s">
        <v>147</v>
      </c>
      <c r="E10" s="5" t="s">
        <v>149</v>
      </c>
      <c r="F10" s="5" t="s">
        <v>8</v>
      </c>
      <c r="G10" s="5" t="s">
        <v>201</v>
      </c>
      <c r="H10" s="5" t="s">
        <v>138</v>
      </c>
      <c r="I10" s="5" t="s">
        <v>150</v>
      </c>
      <c r="J10" s="5">
        <v>-100</v>
      </c>
      <c r="K10" s="5">
        <v>-100</v>
      </c>
      <c r="L10" s="5" t="s">
        <v>43</v>
      </c>
      <c r="M10" s="5">
        <v>-100</v>
      </c>
      <c r="N10" s="5">
        <v>-100</v>
      </c>
      <c r="O10" s="5">
        <v>81</v>
      </c>
      <c r="P10" s="5">
        <v>-100</v>
      </c>
      <c r="Q10" s="5">
        <v>-100</v>
      </c>
      <c r="R10" s="5" t="s">
        <v>43</v>
      </c>
      <c r="S10" s="5">
        <v>-100</v>
      </c>
      <c r="T10" s="5">
        <v>-100</v>
      </c>
      <c r="U10" s="5">
        <v>-100</v>
      </c>
      <c r="V10" s="5">
        <v>-100</v>
      </c>
      <c r="W10" s="5" t="s">
        <v>43</v>
      </c>
      <c r="X10" s="5">
        <v>-100</v>
      </c>
      <c r="Y10" s="5">
        <v>95</v>
      </c>
      <c r="Z10" s="5">
        <v>-100</v>
      </c>
      <c r="AA10" s="5" t="s">
        <v>43</v>
      </c>
      <c r="AB10" s="5">
        <v>96</v>
      </c>
      <c r="AC10" s="5">
        <v>-100</v>
      </c>
      <c r="AD10" s="5">
        <v>12</v>
      </c>
      <c r="AE10" s="5" t="s">
        <v>43</v>
      </c>
      <c r="AF10" s="5">
        <v>-100</v>
      </c>
      <c r="AG10" s="5">
        <v>-100</v>
      </c>
      <c r="AH10" s="5">
        <v>60</v>
      </c>
      <c r="AI10" s="5">
        <v>-100</v>
      </c>
      <c r="AJ10" s="5">
        <v>62</v>
      </c>
      <c r="AK10" s="5">
        <v>78</v>
      </c>
    </row>
    <row r="11" spans="1:37" x14ac:dyDescent="0.25">
      <c r="A11" s="5" t="s">
        <v>52</v>
      </c>
      <c r="B11" s="5" t="s">
        <v>4</v>
      </c>
      <c r="C11" s="5">
        <v>1</v>
      </c>
      <c r="D11" s="5" t="s">
        <v>121</v>
      </c>
      <c r="E11" s="5" t="s">
        <v>111</v>
      </c>
      <c r="F11" s="5" t="s">
        <v>142</v>
      </c>
      <c r="G11" s="5" t="s">
        <v>103</v>
      </c>
      <c r="H11" s="5" t="s">
        <v>141</v>
      </c>
      <c r="I11" s="5" t="s">
        <v>151</v>
      </c>
      <c r="J11" s="5" t="s">
        <v>43</v>
      </c>
      <c r="K11" s="5">
        <v>-100</v>
      </c>
      <c r="L11" s="5">
        <v>-100</v>
      </c>
      <c r="M11" s="5">
        <v>-100</v>
      </c>
      <c r="N11" s="5">
        <v>6</v>
      </c>
      <c r="O11" s="5">
        <v>-100</v>
      </c>
      <c r="P11" s="5" t="s">
        <v>43</v>
      </c>
      <c r="Q11" s="5">
        <v>-100</v>
      </c>
      <c r="R11" s="5">
        <v>-100</v>
      </c>
      <c r="S11" s="5">
        <v>32</v>
      </c>
      <c r="T11" s="5">
        <v>79</v>
      </c>
      <c r="U11" s="5" t="s">
        <v>43</v>
      </c>
      <c r="V11" s="5" t="s">
        <v>43</v>
      </c>
      <c r="W11" s="5">
        <v>-100</v>
      </c>
      <c r="X11" s="5">
        <v>-100</v>
      </c>
      <c r="Y11" s="5">
        <v>-100</v>
      </c>
      <c r="Z11" s="5">
        <v>-100</v>
      </c>
      <c r="AA11" s="5">
        <v>-100</v>
      </c>
      <c r="AB11" s="5">
        <v>-100</v>
      </c>
      <c r="AC11" s="5">
        <v>-100</v>
      </c>
      <c r="AD11" s="5">
        <v>34</v>
      </c>
      <c r="AE11" s="5">
        <v>-100</v>
      </c>
      <c r="AF11" s="5" t="s">
        <v>43</v>
      </c>
      <c r="AG11" s="5" t="s">
        <v>43</v>
      </c>
      <c r="AH11" s="5">
        <v>84</v>
      </c>
      <c r="AI11" s="5">
        <v>-100</v>
      </c>
      <c r="AJ11" s="5">
        <v>-100</v>
      </c>
      <c r="AK11" s="5">
        <v>10</v>
      </c>
    </row>
    <row r="12" spans="1:37" x14ac:dyDescent="0.25">
      <c r="A12" s="5" t="s">
        <v>53</v>
      </c>
      <c r="B12" s="5" t="s">
        <v>4</v>
      </c>
      <c r="C12" s="5">
        <v>4</v>
      </c>
      <c r="D12" s="5" t="s">
        <v>95</v>
      </c>
      <c r="E12" s="5" t="s">
        <v>110</v>
      </c>
      <c r="F12" s="5" t="s">
        <v>139</v>
      </c>
      <c r="G12" s="5" t="s">
        <v>102</v>
      </c>
      <c r="H12" s="5" t="s">
        <v>127</v>
      </c>
      <c r="I12" s="5" t="s">
        <v>200</v>
      </c>
      <c r="J12" s="5">
        <v>-100</v>
      </c>
      <c r="K12" s="5">
        <v>-100</v>
      </c>
      <c r="L12" s="5">
        <v>-100</v>
      </c>
      <c r="M12" s="5">
        <v>96</v>
      </c>
      <c r="N12" s="5" t="s">
        <v>43</v>
      </c>
      <c r="O12" s="5">
        <v>-100</v>
      </c>
      <c r="P12" s="5">
        <v>51</v>
      </c>
      <c r="Q12" s="5">
        <v>-100</v>
      </c>
      <c r="R12" s="5">
        <v>18</v>
      </c>
      <c r="S12" s="5">
        <v>-100</v>
      </c>
      <c r="T12" s="5">
        <v>-100</v>
      </c>
      <c r="U12" s="5" t="s">
        <v>43</v>
      </c>
      <c r="V12" s="5">
        <v>4</v>
      </c>
      <c r="W12" s="5">
        <v>-100</v>
      </c>
      <c r="X12" s="5">
        <v>-100</v>
      </c>
      <c r="Y12" s="5" t="s">
        <v>43</v>
      </c>
      <c r="Z12" s="5">
        <v>-100</v>
      </c>
      <c r="AA12" s="5">
        <v>-100</v>
      </c>
      <c r="AB12" s="5">
        <v>-100</v>
      </c>
      <c r="AC12" s="5">
        <v>10</v>
      </c>
      <c r="AD12" s="5">
        <v>-100</v>
      </c>
      <c r="AE12" s="5">
        <v>40</v>
      </c>
      <c r="AF12" s="5">
        <v>-100</v>
      </c>
      <c r="AG12" s="5">
        <v>49</v>
      </c>
      <c r="AH12" s="5" t="s">
        <v>43</v>
      </c>
      <c r="AI12" s="5">
        <v>29</v>
      </c>
      <c r="AJ12" s="5" t="s">
        <v>43</v>
      </c>
      <c r="AK12" s="5">
        <v>-100</v>
      </c>
    </row>
    <row r="13" spans="1:37" x14ac:dyDescent="0.25">
      <c r="A13" s="5" t="s">
        <v>54</v>
      </c>
      <c r="B13" s="5" t="s">
        <v>4</v>
      </c>
      <c r="C13" s="5">
        <v>2</v>
      </c>
      <c r="D13" s="5" t="s">
        <v>9</v>
      </c>
      <c r="E13" s="5" t="s">
        <v>97</v>
      </c>
      <c r="F13" s="5" t="s">
        <v>119</v>
      </c>
      <c r="G13" s="5" t="s">
        <v>133</v>
      </c>
      <c r="H13" s="5" t="s">
        <v>129</v>
      </c>
      <c r="I13" s="5" t="s">
        <v>259</v>
      </c>
      <c r="J13" s="5">
        <v>-100</v>
      </c>
      <c r="K13" s="5">
        <v>89</v>
      </c>
      <c r="L13" s="5">
        <v>-100</v>
      </c>
      <c r="M13" s="5">
        <v>-100</v>
      </c>
      <c r="N13" s="5">
        <v>80</v>
      </c>
      <c r="O13" s="5">
        <v>-100</v>
      </c>
      <c r="P13" s="5">
        <v>83</v>
      </c>
      <c r="Q13" s="5" t="s">
        <v>43</v>
      </c>
      <c r="R13" s="5">
        <v>-100</v>
      </c>
      <c r="S13" s="5">
        <v>99</v>
      </c>
      <c r="T13" s="5" t="s">
        <v>43</v>
      </c>
      <c r="U13" s="5">
        <v>-100</v>
      </c>
      <c r="V13" s="5">
        <v>40</v>
      </c>
      <c r="W13" s="5">
        <v>82</v>
      </c>
      <c r="X13" s="5">
        <v>-100</v>
      </c>
      <c r="Y13" s="5">
        <v>-100</v>
      </c>
      <c r="Z13" s="5" t="s">
        <v>43</v>
      </c>
      <c r="AA13" s="5">
        <v>70</v>
      </c>
      <c r="AB13" s="5" t="s">
        <v>43</v>
      </c>
      <c r="AC13" s="5">
        <v>24</v>
      </c>
      <c r="AD13" s="5">
        <v>-100</v>
      </c>
      <c r="AE13" s="5" t="s">
        <v>43</v>
      </c>
      <c r="AF13" s="5">
        <v>-100</v>
      </c>
      <c r="AG13" s="5" t="s">
        <v>43</v>
      </c>
      <c r="AH13" s="5">
        <v>-100</v>
      </c>
      <c r="AI13" s="5">
        <v>-100</v>
      </c>
      <c r="AJ13" s="5">
        <v>-100</v>
      </c>
      <c r="AK13" s="5">
        <v>55</v>
      </c>
    </row>
    <row r="14" spans="1:37" x14ac:dyDescent="0.25">
      <c r="A14" s="5" t="s">
        <v>55</v>
      </c>
      <c r="B14" s="5" t="s">
        <v>4</v>
      </c>
      <c r="C14" s="5">
        <v>4</v>
      </c>
      <c r="D14" s="5" t="s">
        <v>156</v>
      </c>
      <c r="E14" s="5" t="s">
        <v>96</v>
      </c>
      <c r="F14" s="5" t="s">
        <v>152</v>
      </c>
      <c r="G14" s="5" t="s">
        <v>114</v>
      </c>
      <c r="H14" s="5" t="s">
        <v>157</v>
      </c>
      <c r="I14" s="5" t="s">
        <v>112</v>
      </c>
      <c r="J14" s="5">
        <v>-100</v>
      </c>
      <c r="K14" s="5">
        <v>-100</v>
      </c>
      <c r="L14" s="5">
        <v>-100</v>
      </c>
      <c r="M14" s="5">
        <v>80</v>
      </c>
      <c r="N14" s="5">
        <v>-100</v>
      </c>
      <c r="O14" s="5">
        <v>-100</v>
      </c>
      <c r="P14" s="5" t="s">
        <v>43</v>
      </c>
      <c r="Q14" s="5" t="s">
        <v>43</v>
      </c>
      <c r="R14" s="5">
        <v>-100</v>
      </c>
      <c r="S14" s="5">
        <v>-100</v>
      </c>
      <c r="T14" s="5" t="s">
        <v>43</v>
      </c>
      <c r="U14" s="5">
        <v>5</v>
      </c>
      <c r="V14" s="5" t="s">
        <v>43</v>
      </c>
      <c r="W14" s="5">
        <v>-100</v>
      </c>
      <c r="X14" s="5" t="s">
        <v>43</v>
      </c>
      <c r="Y14" s="5">
        <v>-100</v>
      </c>
      <c r="Z14" s="5">
        <v>-100</v>
      </c>
      <c r="AA14" s="5">
        <v>26</v>
      </c>
      <c r="AB14" s="5">
        <v>65</v>
      </c>
      <c r="AC14" s="5">
        <v>-100</v>
      </c>
      <c r="AD14" s="5">
        <v>-100</v>
      </c>
      <c r="AE14" s="5">
        <v>-100</v>
      </c>
      <c r="AF14" s="5">
        <v>80</v>
      </c>
      <c r="AG14" s="5">
        <v>20</v>
      </c>
      <c r="AH14" s="5">
        <v>-100</v>
      </c>
      <c r="AI14" s="5">
        <v>-100</v>
      </c>
      <c r="AJ14" s="5">
        <v>-100</v>
      </c>
      <c r="AK14" s="5" t="s">
        <v>43</v>
      </c>
    </row>
    <row r="15" spans="1:37" x14ac:dyDescent="0.25">
      <c r="A15" s="5" t="s">
        <v>56</v>
      </c>
      <c r="B15" s="5" t="s">
        <v>4</v>
      </c>
      <c r="C15" s="5">
        <v>4</v>
      </c>
      <c r="D15" s="5" t="s">
        <v>95</v>
      </c>
      <c r="E15" s="5" t="s">
        <v>101</v>
      </c>
      <c r="F15" s="5" t="s">
        <v>15</v>
      </c>
      <c r="G15" s="5" t="s">
        <v>135</v>
      </c>
      <c r="H15" s="5" t="s">
        <v>105</v>
      </c>
      <c r="I15" s="5" t="s">
        <v>134</v>
      </c>
      <c r="J15" s="5" t="s">
        <v>43</v>
      </c>
      <c r="K15" s="5">
        <v>-100</v>
      </c>
      <c r="L15" s="5">
        <v>43</v>
      </c>
      <c r="M15" s="5">
        <v>-100</v>
      </c>
      <c r="N15" s="5">
        <v>-100</v>
      </c>
      <c r="O15" s="5">
        <v>18</v>
      </c>
      <c r="P15" s="5">
        <v>5</v>
      </c>
      <c r="Q15" s="5">
        <v>-100</v>
      </c>
      <c r="R15" s="5">
        <v>96</v>
      </c>
      <c r="S15" s="5">
        <v>4</v>
      </c>
      <c r="T15" s="5" t="s">
        <v>43</v>
      </c>
      <c r="U15" s="5">
        <v>-100</v>
      </c>
      <c r="V15" s="5">
        <v>60</v>
      </c>
      <c r="W15" s="5">
        <v>-100</v>
      </c>
      <c r="X15" s="5">
        <v>-100</v>
      </c>
      <c r="Y15" s="5" t="s">
        <v>43</v>
      </c>
      <c r="Z15" s="5">
        <v>94</v>
      </c>
      <c r="AA15" s="5">
        <v>25</v>
      </c>
      <c r="AB15" s="5" t="s">
        <v>43</v>
      </c>
      <c r="AC15" s="5">
        <v>-100</v>
      </c>
      <c r="AD15" s="5">
        <v>1</v>
      </c>
      <c r="AE15" s="5">
        <v>-100</v>
      </c>
      <c r="AF15" s="5">
        <v>-100</v>
      </c>
      <c r="AG15" s="5" t="s">
        <v>43</v>
      </c>
      <c r="AH15" s="5">
        <v>-100</v>
      </c>
      <c r="AI15" s="5">
        <v>-100</v>
      </c>
      <c r="AJ15" s="5">
        <v>-100</v>
      </c>
      <c r="AK15" s="5">
        <v>-100</v>
      </c>
    </row>
    <row r="16" spans="1:37" x14ac:dyDescent="0.25">
      <c r="A16" s="5" t="s">
        <v>57</v>
      </c>
      <c r="B16" s="5" t="s">
        <v>4</v>
      </c>
      <c r="C16" s="5">
        <v>4</v>
      </c>
      <c r="D16" s="5" t="s">
        <v>95</v>
      </c>
      <c r="E16" s="5" t="s">
        <v>157</v>
      </c>
      <c r="F16" s="5" t="s">
        <v>137</v>
      </c>
      <c r="G16" s="5" t="s">
        <v>135</v>
      </c>
      <c r="H16" s="5" t="s">
        <v>99</v>
      </c>
      <c r="I16" s="5" t="s">
        <v>8</v>
      </c>
      <c r="J16" s="5">
        <v>53</v>
      </c>
      <c r="K16" s="5">
        <v>23</v>
      </c>
      <c r="L16" s="5">
        <v>-100</v>
      </c>
      <c r="M16" s="5" t="s">
        <v>43</v>
      </c>
      <c r="N16" s="5">
        <v>-100</v>
      </c>
      <c r="O16" s="5">
        <v>-100</v>
      </c>
      <c r="P16" s="5">
        <v>41</v>
      </c>
      <c r="Q16" s="5">
        <v>-100</v>
      </c>
      <c r="R16" s="5">
        <v>-100</v>
      </c>
      <c r="S16" s="5">
        <v>52</v>
      </c>
      <c r="T16" s="5">
        <v>-100</v>
      </c>
      <c r="U16" s="5" t="s">
        <v>43</v>
      </c>
      <c r="V16" s="5">
        <v>-100</v>
      </c>
      <c r="W16" s="5">
        <v>-100</v>
      </c>
      <c r="X16" s="5">
        <v>92</v>
      </c>
      <c r="Y16" s="5">
        <v>58</v>
      </c>
      <c r="Z16" s="5" t="s">
        <v>43</v>
      </c>
      <c r="AA16" s="5">
        <v>72</v>
      </c>
      <c r="AB16" s="5">
        <v>-100</v>
      </c>
      <c r="AC16" s="5">
        <v>-100</v>
      </c>
      <c r="AD16" s="5">
        <v>-100</v>
      </c>
      <c r="AE16" s="5">
        <v>34</v>
      </c>
      <c r="AF16" s="5">
        <v>-100</v>
      </c>
      <c r="AG16" s="5" t="s">
        <v>43</v>
      </c>
      <c r="AH16" s="5">
        <v>23</v>
      </c>
      <c r="AI16" s="5">
        <v>-100</v>
      </c>
      <c r="AJ16" s="5">
        <v>-100</v>
      </c>
      <c r="AK16" s="5">
        <v>27</v>
      </c>
    </row>
    <row r="17" spans="1:37" x14ac:dyDescent="0.25">
      <c r="A17" s="5" t="s">
        <v>58</v>
      </c>
      <c r="B17" s="5" t="s">
        <v>4</v>
      </c>
      <c r="C17" s="5">
        <v>0</v>
      </c>
      <c r="D17" s="5" t="s">
        <v>132</v>
      </c>
      <c r="E17" s="5" t="s">
        <v>153</v>
      </c>
      <c r="F17" s="5" t="s">
        <v>108</v>
      </c>
      <c r="G17" s="5" t="s">
        <v>114</v>
      </c>
      <c r="H17" s="5" t="s">
        <v>107</v>
      </c>
      <c r="I17" s="5" t="s">
        <v>10</v>
      </c>
      <c r="J17" s="5">
        <v>-100</v>
      </c>
      <c r="K17" s="5">
        <v>-100</v>
      </c>
      <c r="L17" s="5" t="s">
        <v>43</v>
      </c>
      <c r="M17" s="5">
        <v>77</v>
      </c>
      <c r="N17" s="5" t="s">
        <v>43</v>
      </c>
      <c r="O17" s="5">
        <v>59</v>
      </c>
      <c r="P17" s="5" t="s">
        <v>43</v>
      </c>
      <c r="Q17" s="5" t="s">
        <v>43</v>
      </c>
      <c r="R17" s="5">
        <v>-100</v>
      </c>
      <c r="S17" s="5">
        <v>-100</v>
      </c>
      <c r="T17" s="5">
        <v>-100</v>
      </c>
      <c r="U17" s="5">
        <v>34</v>
      </c>
      <c r="V17" s="5" t="s">
        <v>43</v>
      </c>
      <c r="W17" s="5">
        <v>-100</v>
      </c>
      <c r="X17" s="5" t="s">
        <v>43</v>
      </c>
      <c r="Y17" s="5">
        <v>41</v>
      </c>
      <c r="Z17" s="5">
        <v>-100</v>
      </c>
      <c r="AA17" s="5">
        <v>-100</v>
      </c>
      <c r="AB17" s="5">
        <v>-100</v>
      </c>
      <c r="AC17" s="5" t="s">
        <v>43</v>
      </c>
      <c r="AD17" s="5">
        <v>-100</v>
      </c>
      <c r="AE17" s="5">
        <v>-100</v>
      </c>
      <c r="AF17" s="5">
        <v>-100</v>
      </c>
      <c r="AG17" s="5">
        <v>27</v>
      </c>
      <c r="AH17" s="5">
        <v>75</v>
      </c>
      <c r="AI17" s="5">
        <v>-100</v>
      </c>
      <c r="AJ17" s="5" t="s">
        <v>43</v>
      </c>
      <c r="AK17" s="5" t="s">
        <v>43</v>
      </c>
    </row>
    <row r="18" spans="1:37" x14ac:dyDescent="0.25">
      <c r="A18" s="5" t="s">
        <v>59</v>
      </c>
      <c r="B18" s="5" t="s">
        <v>4</v>
      </c>
      <c r="C18" s="5">
        <v>4</v>
      </c>
      <c r="D18" s="5" t="s">
        <v>15</v>
      </c>
      <c r="E18" s="5" t="s">
        <v>9</v>
      </c>
      <c r="F18" s="5" t="s">
        <v>128</v>
      </c>
      <c r="G18" s="5" t="s">
        <v>155</v>
      </c>
      <c r="H18" s="5" t="s">
        <v>156</v>
      </c>
      <c r="I18" s="5" t="s">
        <v>106</v>
      </c>
      <c r="J18" s="5">
        <v>-100</v>
      </c>
      <c r="K18" s="5">
        <v>-100</v>
      </c>
      <c r="L18" s="5" t="s">
        <v>43</v>
      </c>
      <c r="M18" s="5" t="s">
        <v>43</v>
      </c>
      <c r="N18" s="5">
        <v>-100</v>
      </c>
      <c r="O18" s="5">
        <v>-100</v>
      </c>
      <c r="P18" s="5">
        <v>-100</v>
      </c>
      <c r="Q18" s="5">
        <v>-100</v>
      </c>
      <c r="R18" s="5">
        <v>59</v>
      </c>
      <c r="S18" s="5">
        <v>39</v>
      </c>
      <c r="T18" s="5">
        <v>-100</v>
      </c>
      <c r="U18" s="5">
        <v>-100</v>
      </c>
      <c r="V18" s="5">
        <v>-100</v>
      </c>
      <c r="W18" s="5" t="s">
        <v>43</v>
      </c>
      <c r="X18" s="5">
        <v>95</v>
      </c>
      <c r="Y18" s="5" t="s">
        <v>43</v>
      </c>
      <c r="Z18" s="5">
        <v>-100</v>
      </c>
      <c r="AA18" s="5">
        <v>-100</v>
      </c>
      <c r="AB18" s="5">
        <v>-100</v>
      </c>
      <c r="AC18" s="5" t="s">
        <v>43</v>
      </c>
      <c r="AD18" s="5">
        <v>-100</v>
      </c>
      <c r="AE18" s="5">
        <v>-100</v>
      </c>
      <c r="AF18" s="5" t="s">
        <v>43</v>
      </c>
      <c r="AG18" s="5">
        <v>10</v>
      </c>
      <c r="AH18" s="5" t="s">
        <v>43</v>
      </c>
      <c r="AI18" s="5">
        <v>98</v>
      </c>
      <c r="AJ18" s="5">
        <v>37</v>
      </c>
      <c r="AK18" s="5">
        <v>-100</v>
      </c>
    </row>
    <row r="19" spans="1:37" x14ac:dyDescent="0.25">
      <c r="A19" s="5" t="s">
        <v>60</v>
      </c>
      <c r="B19" s="5" t="s">
        <v>4</v>
      </c>
      <c r="C19" s="5">
        <v>4</v>
      </c>
      <c r="D19" s="5" t="s">
        <v>122</v>
      </c>
      <c r="E19" s="5" t="s">
        <v>138</v>
      </c>
      <c r="F19" s="5" t="s">
        <v>14</v>
      </c>
      <c r="G19" s="5" t="s">
        <v>6</v>
      </c>
      <c r="H19" s="5" t="s">
        <v>97</v>
      </c>
      <c r="J19" s="5">
        <v>-100</v>
      </c>
      <c r="K19" s="5" t="s">
        <v>43</v>
      </c>
      <c r="L19" s="5">
        <v>-100</v>
      </c>
      <c r="M19" s="5">
        <v>-100</v>
      </c>
      <c r="N19" s="5">
        <v>-100</v>
      </c>
      <c r="O19" s="5">
        <v>-100</v>
      </c>
      <c r="P19" s="5">
        <v>-100</v>
      </c>
      <c r="Q19" s="5">
        <v>22</v>
      </c>
      <c r="R19" s="5">
        <v>73</v>
      </c>
      <c r="S19" s="5" t="s">
        <v>43</v>
      </c>
      <c r="T19" s="5" t="s">
        <v>43</v>
      </c>
      <c r="U19" s="5" t="s">
        <v>43</v>
      </c>
      <c r="V19" s="5">
        <v>-100</v>
      </c>
      <c r="W19" s="5">
        <v>69</v>
      </c>
      <c r="X19" s="5">
        <v>-100</v>
      </c>
      <c r="Y19" s="5">
        <v>-100</v>
      </c>
      <c r="Z19" s="5">
        <v>22</v>
      </c>
      <c r="AA19" s="5" t="s">
        <v>43</v>
      </c>
      <c r="AB19" s="5">
        <v>94</v>
      </c>
      <c r="AC19" s="5">
        <v>-100</v>
      </c>
      <c r="AD19" s="5">
        <v>-100</v>
      </c>
      <c r="AE19" s="5">
        <v>-100</v>
      </c>
      <c r="AF19" s="5" t="s">
        <v>43</v>
      </c>
      <c r="AG19" s="5">
        <v>-100</v>
      </c>
      <c r="AH19" s="5">
        <v>20</v>
      </c>
      <c r="AI19" s="5">
        <v>23</v>
      </c>
      <c r="AJ19" s="5">
        <v>-100</v>
      </c>
      <c r="AK19" s="5">
        <v>-100</v>
      </c>
    </row>
    <row r="20" spans="1:37" x14ac:dyDescent="0.25">
      <c r="A20" s="5" t="s">
        <v>61</v>
      </c>
      <c r="B20" s="5" t="s">
        <v>28</v>
      </c>
      <c r="C20" s="5">
        <v>1</v>
      </c>
      <c r="D20" s="5" t="s">
        <v>145</v>
      </c>
      <c r="E20" s="5" t="s">
        <v>141</v>
      </c>
      <c r="F20" s="5" t="s">
        <v>153</v>
      </c>
      <c r="G20" s="5" t="s">
        <v>259</v>
      </c>
      <c r="H20" s="5" t="s">
        <v>119</v>
      </c>
      <c r="J20" s="5">
        <v>-100</v>
      </c>
      <c r="K20" s="5">
        <v>54</v>
      </c>
      <c r="L20" s="5">
        <v>14</v>
      </c>
      <c r="M20" s="5">
        <v>81</v>
      </c>
      <c r="N20" s="5">
        <v>-100</v>
      </c>
      <c r="O20" s="5">
        <v>30</v>
      </c>
      <c r="P20" s="5" t="s">
        <v>43</v>
      </c>
      <c r="Q20" s="5">
        <v>43</v>
      </c>
      <c r="R20" s="5">
        <v>-100</v>
      </c>
      <c r="S20" s="5" t="s">
        <v>43</v>
      </c>
      <c r="T20" s="5">
        <v>-100</v>
      </c>
      <c r="U20" s="5">
        <v>-100</v>
      </c>
      <c r="V20" s="5">
        <v>-100</v>
      </c>
      <c r="W20" s="5">
        <v>-100</v>
      </c>
      <c r="X20" s="5" t="s">
        <v>43</v>
      </c>
      <c r="Y20" s="5">
        <v>-100</v>
      </c>
      <c r="Z20" s="5" t="s">
        <v>43</v>
      </c>
      <c r="AA20" s="5" t="s">
        <v>43</v>
      </c>
      <c r="AB20" s="5" t="s">
        <v>43</v>
      </c>
      <c r="AC20" s="5" t="s">
        <v>43</v>
      </c>
      <c r="AD20" s="5" t="s">
        <v>43</v>
      </c>
      <c r="AE20" s="5">
        <v>-100</v>
      </c>
      <c r="AF20" s="5">
        <v>-100</v>
      </c>
      <c r="AG20" s="5">
        <v>-100</v>
      </c>
      <c r="AH20" s="5">
        <v>-100</v>
      </c>
      <c r="AI20" s="5">
        <v>53</v>
      </c>
      <c r="AJ20" s="5">
        <v>-100</v>
      </c>
      <c r="AK20" s="5" t="s">
        <v>43</v>
      </c>
    </row>
    <row r="21" spans="1:37" x14ac:dyDescent="0.25">
      <c r="A21" s="5" t="s">
        <v>62</v>
      </c>
      <c r="B21" s="5" t="s">
        <v>28</v>
      </c>
      <c r="C21" s="5">
        <v>4</v>
      </c>
      <c r="D21" s="5" t="s">
        <v>95</v>
      </c>
      <c r="E21" s="5" t="s">
        <v>118</v>
      </c>
      <c r="F21" s="5" t="s">
        <v>132</v>
      </c>
      <c r="G21" s="5" t="s">
        <v>115</v>
      </c>
      <c r="H21" s="5" t="s">
        <v>122</v>
      </c>
      <c r="J21" s="5">
        <v>-100</v>
      </c>
      <c r="K21" s="5">
        <v>-100</v>
      </c>
      <c r="L21" s="5">
        <v>-100</v>
      </c>
      <c r="M21" s="5" t="s">
        <v>43</v>
      </c>
      <c r="N21" s="5">
        <v>2</v>
      </c>
      <c r="O21" s="5">
        <v>75</v>
      </c>
      <c r="P21" s="5">
        <v>-100</v>
      </c>
      <c r="Q21" s="5">
        <v>-100</v>
      </c>
      <c r="R21" s="5">
        <v>-100</v>
      </c>
      <c r="S21" s="5">
        <v>-100</v>
      </c>
      <c r="T21" s="5">
        <v>89</v>
      </c>
      <c r="U21" s="5">
        <v>-100</v>
      </c>
      <c r="V21" s="5">
        <v>-100</v>
      </c>
      <c r="W21" s="5">
        <v>37</v>
      </c>
      <c r="X21" s="5">
        <v>-100</v>
      </c>
      <c r="Y21" s="5" t="s">
        <v>43</v>
      </c>
      <c r="Z21" s="5" t="s">
        <v>43</v>
      </c>
      <c r="AA21" s="5" t="s">
        <v>43</v>
      </c>
      <c r="AB21" s="5">
        <v>-100</v>
      </c>
      <c r="AC21" s="5">
        <v>96</v>
      </c>
      <c r="AD21" s="5">
        <v>85</v>
      </c>
      <c r="AE21" s="5" t="s">
        <v>43</v>
      </c>
      <c r="AF21" s="5">
        <v>-100</v>
      </c>
      <c r="AG21" s="5">
        <v>-100</v>
      </c>
      <c r="AH21" s="5">
        <v>-100</v>
      </c>
      <c r="AI21" s="5">
        <v>-100</v>
      </c>
      <c r="AJ21" s="5">
        <v>56</v>
      </c>
      <c r="AK21" s="5">
        <v>-100</v>
      </c>
    </row>
    <row r="22" spans="1:37" x14ac:dyDescent="0.25">
      <c r="A22" s="5" t="s">
        <v>63</v>
      </c>
      <c r="B22" s="5" t="s">
        <v>28</v>
      </c>
      <c r="C22" s="5">
        <v>1</v>
      </c>
      <c r="D22" s="5" t="s">
        <v>109</v>
      </c>
      <c r="E22" s="5" t="s">
        <v>135</v>
      </c>
      <c r="F22" s="5" t="s">
        <v>158</v>
      </c>
      <c r="G22" s="5" t="s">
        <v>123</v>
      </c>
      <c r="H22" s="5" t="s">
        <v>130</v>
      </c>
      <c r="J22" s="5" t="s">
        <v>43</v>
      </c>
      <c r="K22" s="5">
        <v>9</v>
      </c>
      <c r="L22" s="5">
        <v>-100</v>
      </c>
      <c r="M22" s="5">
        <v>-100</v>
      </c>
      <c r="N22" s="5">
        <v>-100</v>
      </c>
      <c r="O22" s="5" t="s">
        <v>43</v>
      </c>
      <c r="P22" s="5">
        <v>-100</v>
      </c>
      <c r="Q22" s="5">
        <v>-100</v>
      </c>
      <c r="R22" s="5">
        <v>-100</v>
      </c>
      <c r="S22" s="5" t="s">
        <v>43</v>
      </c>
      <c r="T22" s="5">
        <v>-100</v>
      </c>
      <c r="U22" s="5">
        <v>5</v>
      </c>
      <c r="V22" s="5" t="s">
        <v>43</v>
      </c>
      <c r="W22" s="5">
        <v>-100</v>
      </c>
      <c r="X22" s="5" t="s">
        <v>43</v>
      </c>
      <c r="Y22" s="5">
        <v>-100</v>
      </c>
      <c r="Z22" s="5">
        <v>-100</v>
      </c>
      <c r="AA22" s="5">
        <v>-100</v>
      </c>
      <c r="AB22" s="5">
        <v>-100</v>
      </c>
      <c r="AC22" s="5">
        <v>-100</v>
      </c>
      <c r="AD22" s="5" t="s">
        <v>43</v>
      </c>
      <c r="AE22" s="5">
        <v>-100</v>
      </c>
      <c r="AF22" s="5">
        <v>-100</v>
      </c>
      <c r="AG22" s="5" t="s">
        <v>43</v>
      </c>
      <c r="AH22" s="5">
        <v>71</v>
      </c>
      <c r="AI22" s="5" t="s">
        <v>43</v>
      </c>
      <c r="AJ22" s="5">
        <v>-100</v>
      </c>
      <c r="AK22" s="5">
        <v>62</v>
      </c>
    </row>
    <row r="23" spans="1:37" x14ac:dyDescent="0.25">
      <c r="A23" s="5" t="s">
        <v>64</v>
      </c>
      <c r="B23" s="5" t="s">
        <v>28</v>
      </c>
      <c r="C23" s="5">
        <v>4</v>
      </c>
      <c r="D23" s="5" t="s">
        <v>110</v>
      </c>
      <c r="E23" s="5" t="s">
        <v>124</v>
      </c>
      <c r="F23" s="5" t="s">
        <v>199</v>
      </c>
      <c r="G23" s="5" t="s">
        <v>136</v>
      </c>
      <c r="H23" s="5" t="s">
        <v>138</v>
      </c>
      <c r="J23" s="5">
        <v>-100</v>
      </c>
      <c r="K23" s="5">
        <v>50</v>
      </c>
      <c r="L23" s="5">
        <v>-100</v>
      </c>
      <c r="M23" s="5">
        <v>-100</v>
      </c>
      <c r="N23" s="5">
        <v>37</v>
      </c>
      <c r="O23" s="5">
        <v>-100</v>
      </c>
      <c r="P23" s="5">
        <v>-100</v>
      </c>
      <c r="Q23" s="5" t="s">
        <v>43</v>
      </c>
      <c r="R23" s="5">
        <v>34</v>
      </c>
      <c r="S23" s="5">
        <v>-100</v>
      </c>
      <c r="T23" s="5" t="s">
        <v>43</v>
      </c>
      <c r="U23" s="5">
        <v>-100</v>
      </c>
      <c r="V23" s="5">
        <v>-100</v>
      </c>
      <c r="W23" s="5" t="s">
        <v>43</v>
      </c>
      <c r="X23" s="5">
        <v>90</v>
      </c>
      <c r="Y23" s="5">
        <v>-100</v>
      </c>
      <c r="Z23" s="5">
        <v>-100</v>
      </c>
      <c r="AA23" s="5">
        <v>46</v>
      </c>
      <c r="AB23" s="5">
        <v>-100</v>
      </c>
      <c r="AC23" s="5">
        <v>-100</v>
      </c>
      <c r="AD23" s="5" t="s">
        <v>43</v>
      </c>
      <c r="AE23" s="5" t="s">
        <v>43</v>
      </c>
      <c r="AF23" s="5">
        <v>92</v>
      </c>
      <c r="AG23" s="5">
        <v>5</v>
      </c>
      <c r="AH23" s="5" t="s">
        <v>43</v>
      </c>
      <c r="AI23" s="5">
        <v>67</v>
      </c>
      <c r="AJ23" s="5">
        <v>-100</v>
      </c>
      <c r="AK23" s="5">
        <v>-100</v>
      </c>
    </row>
    <row r="24" spans="1:37" x14ac:dyDescent="0.25">
      <c r="A24" s="5" t="s">
        <v>65</v>
      </c>
      <c r="B24" s="5" t="s">
        <v>28</v>
      </c>
      <c r="C24" s="5">
        <v>4</v>
      </c>
      <c r="D24" s="5" t="s">
        <v>260</v>
      </c>
      <c r="E24" s="5" t="s">
        <v>143</v>
      </c>
      <c r="F24" s="5" t="s">
        <v>138</v>
      </c>
      <c r="G24" s="5" t="s">
        <v>144</v>
      </c>
      <c r="H24" s="5" t="s">
        <v>142</v>
      </c>
      <c r="J24" s="5" t="s">
        <v>43</v>
      </c>
      <c r="K24" s="5">
        <v>-100</v>
      </c>
      <c r="L24" s="5" t="s">
        <v>43</v>
      </c>
      <c r="M24" s="5">
        <v>-100</v>
      </c>
      <c r="N24" s="5">
        <v>-100</v>
      </c>
      <c r="O24" s="5">
        <v>32</v>
      </c>
      <c r="P24" s="5">
        <v>46</v>
      </c>
      <c r="Q24" s="5" t="s">
        <v>43</v>
      </c>
      <c r="R24" s="5">
        <v>57</v>
      </c>
      <c r="S24" s="5">
        <v>-100</v>
      </c>
      <c r="T24" s="5">
        <v>99</v>
      </c>
      <c r="U24" s="5" t="s">
        <v>43</v>
      </c>
      <c r="V24" s="5" t="s">
        <v>43</v>
      </c>
      <c r="W24" s="5">
        <v>34</v>
      </c>
      <c r="X24" s="5" t="s">
        <v>43</v>
      </c>
      <c r="Y24" s="5">
        <v>41</v>
      </c>
      <c r="Z24" s="5">
        <v>-100</v>
      </c>
      <c r="AA24" s="5" t="s">
        <v>43</v>
      </c>
      <c r="AB24" s="5" t="s">
        <v>43</v>
      </c>
      <c r="AC24" s="5">
        <v>-100</v>
      </c>
      <c r="AD24" s="5" t="s">
        <v>43</v>
      </c>
      <c r="AE24" s="5">
        <v>-100</v>
      </c>
      <c r="AF24" s="5">
        <v>-100</v>
      </c>
      <c r="AG24" s="5">
        <v>-100</v>
      </c>
      <c r="AH24" s="5" t="s">
        <v>43</v>
      </c>
      <c r="AI24" s="5">
        <v>69</v>
      </c>
      <c r="AJ24" s="5">
        <v>-100</v>
      </c>
      <c r="AK24" s="5">
        <v>-100</v>
      </c>
    </row>
    <row r="25" spans="1:37" x14ac:dyDescent="0.25">
      <c r="A25" s="5" t="s">
        <v>66</v>
      </c>
      <c r="B25" s="5" t="s">
        <v>28</v>
      </c>
      <c r="C25" s="5">
        <v>3</v>
      </c>
      <c r="D25" s="5" t="s">
        <v>132</v>
      </c>
      <c r="E25" s="5" t="s">
        <v>145</v>
      </c>
      <c r="F25" s="5" t="s">
        <v>102</v>
      </c>
      <c r="G25" s="5" t="s">
        <v>150</v>
      </c>
      <c r="H25" s="5" t="s">
        <v>143</v>
      </c>
      <c r="J25" s="5" t="s">
        <v>43</v>
      </c>
      <c r="K25" s="5">
        <v>-100</v>
      </c>
      <c r="L25" s="5">
        <v>35</v>
      </c>
      <c r="M25" s="5">
        <v>-100</v>
      </c>
      <c r="N25" s="5">
        <v>-100</v>
      </c>
      <c r="O25" s="5">
        <v>-100</v>
      </c>
      <c r="P25" s="5">
        <v>78</v>
      </c>
      <c r="Q25" s="5">
        <v>97</v>
      </c>
      <c r="R25" s="5" t="s">
        <v>43</v>
      </c>
      <c r="S25" s="5">
        <v>-100</v>
      </c>
      <c r="T25" s="5" t="s">
        <v>43</v>
      </c>
      <c r="U25" s="5">
        <v>-100</v>
      </c>
      <c r="V25" s="5">
        <v>54</v>
      </c>
      <c r="W25" s="5" t="s">
        <v>43</v>
      </c>
      <c r="X25" s="5" t="s">
        <v>43</v>
      </c>
      <c r="Y25" s="5">
        <v>53</v>
      </c>
      <c r="Z25" s="5">
        <v>6</v>
      </c>
      <c r="AA25" s="5">
        <v>-100</v>
      </c>
      <c r="AB25" s="5">
        <v>-100</v>
      </c>
      <c r="AC25" s="5" t="s">
        <v>43</v>
      </c>
      <c r="AD25" s="5">
        <v>55</v>
      </c>
      <c r="AE25" s="5" t="s">
        <v>43</v>
      </c>
      <c r="AF25" s="5">
        <v>-100</v>
      </c>
      <c r="AG25" s="5" t="s">
        <v>43</v>
      </c>
      <c r="AH25" s="5">
        <v>-100</v>
      </c>
      <c r="AI25" s="5">
        <v>42</v>
      </c>
      <c r="AJ25" s="5">
        <v>-100</v>
      </c>
      <c r="AK25" s="5">
        <v>-100</v>
      </c>
    </row>
    <row r="26" spans="1:37" x14ac:dyDescent="0.25">
      <c r="A26" s="5" t="s">
        <v>67</v>
      </c>
      <c r="B26" s="5" t="s">
        <v>28</v>
      </c>
      <c r="C26" s="5">
        <v>4</v>
      </c>
      <c r="D26" s="5" t="s">
        <v>127</v>
      </c>
      <c r="E26" s="5" t="s">
        <v>153</v>
      </c>
      <c r="F26" s="5" t="s">
        <v>102</v>
      </c>
      <c r="G26" s="5" t="s">
        <v>151</v>
      </c>
      <c r="H26" s="5" t="s">
        <v>144</v>
      </c>
      <c r="J26" s="5">
        <v>-100</v>
      </c>
      <c r="K26" s="5">
        <v>72</v>
      </c>
      <c r="L26" s="5">
        <v>-100</v>
      </c>
      <c r="M26" s="5">
        <v>-100</v>
      </c>
      <c r="N26" s="5">
        <v>83</v>
      </c>
      <c r="O26" s="5">
        <v>-100</v>
      </c>
      <c r="P26" s="5" t="s">
        <v>43</v>
      </c>
      <c r="Q26" s="5" t="s">
        <v>43</v>
      </c>
      <c r="R26" s="5">
        <v>61</v>
      </c>
      <c r="S26" s="5">
        <v>-100</v>
      </c>
      <c r="T26" s="5">
        <v>-100</v>
      </c>
      <c r="U26" s="5">
        <v>-100</v>
      </c>
      <c r="V26" s="5">
        <v>-100</v>
      </c>
      <c r="W26" s="5">
        <v>58</v>
      </c>
      <c r="X26" s="5">
        <v>-100</v>
      </c>
      <c r="Y26" s="5">
        <v>-100</v>
      </c>
      <c r="Z26" s="5">
        <v>-100</v>
      </c>
      <c r="AA26" s="5">
        <v>72</v>
      </c>
      <c r="AB26" s="5">
        <v>58</v>
      </c>
      <c r="AC26" s="5">
        <v>-100</v>
      </c>
      <c r="AD26" s="5">
        <v>-100</v>
      </c>
      <c r="AE26" s="5">
        <v>-100</v>
      </c>
      <c r="AF26" s="5">
        <v>-100</v>
      </c>
      <c r="AG26" s="5">
        <v>-100</v>
      </c>
      <c r="AH26" s="5">
        <v>-100</v>
      </c>
      <c r="AI26" s="5">
        <v>-100</v>
      </c>
      <c r="AJ26" s="5" t="s">
        <v>43</v>
      </c>
      <c r="AK26" s="5" t="s">
        <v>43</v>
      </c>
    </row>
    <row r="27" spans="1:37" x14ac:dyDescent="0.25">
      <c r="A27" s="5" t="s">
        <v>68</v>
      </c>
      <c r="B27" s="5" t="s">
        <v>28</v>
      </c>
      <c r="C27" s="5">
        <v>4</v>
      </c>
      <c r="D27" s="5" t="s">
        <v>155</v>
      </c>
      <c r="E27" s="5" t="s">
        <v>14</v>
      </c>
      <c r="F27" s="5" t="s">
        <v>110</v>
      </c>
      <c r="G27" s="5" t="s">
        <v>122</v>
      </c>
      <c r="H27" s="5" t="s">
        <v>259</v>
      </c>
      <c r="J27" s="5">
        <v>-100</v>
      </c>
      <c r="K27" s="5">
        <v>-100</v>
      </c>
      <c r="L27" s="5">
        <v>-100</v>
      </c>
      <c r="M27" s="5">
        <v>25</v>
      </c>
      <c r="N27" s="5" t="s">
        <v>43</v>
      </c>
      <c r="O27" s="5">
        <v>-100</v>
      </c>
      <c r="P27" s="5">
        <v>-100</v>
      </c>
      <c r="Q27" s="5">
        <v>-100</v>
      </c>
      <c r="R27" s="5" t="s">
        <v>43</v>
      </c>
      <c r="S27" s="5">
        <v>-100</v>
      </c>
      <c r="T27" s="5">
        <v>-100</v>
      </c>
      <c r="U27" s="5">
        <v>-100</v>
      </c>
      <c r="V27" s="5">
        <v>-100</v>
      </c>
      <c r="W27" s="5">
        <v>94</v>
      </c>
      <c r="X27" s="5" t="s">
        <v>43</v>
      </c>
      <c r="Y27" s="5">
        <v>-100</v>
      </c>
      <c r="Z27" s="5">
        <v>17</v>
      </c>
      <c r="AA27" s="5">
        <v>20</v>
      </c>
      <c r="AB27" s="5" t="s">
        <v>43</v>
      </c>
      <c r="AC27" s="5">
        <v>49</v>
      </c>
      <c r="AD27" s="5">
        <v>-100</v>
      </c>
      <c r="AE27" s="5">
        <v>-100</v>
      </c>
      <c r="AF27" s="5">
        <v>-100</v>
      </c>
      <c r="AG27" s="5">
        <v>-100</v>
      </c>
      <c r="AH27" s="5">
        <v>-100</v>
      </c>
      <c r="AI27" s="5">
        <v>46</v>
      </c>
      <c r="AJ27" s="5">
        <v>-100</v>
      </c>
      <c r="AK27" s="5">
        <v>-100</v>
      </c>
    </row>
    <row r="28" spans="1:37" x14ac:dyDescent="0.25">
      <c r="A28" s="5" t="s">
        <v>69</v>
      </c>
      <c r="B28" s="5" t="s">
        <v>4</v>
      </c>
      <c r="C28" s="5">
        <v>1</v>
      </c>
      <c r="D28" s="5" t="s">
        <v>135</v>
      </c>
      <c r="E28" s="5" t="s">
        <v>146</v>
      </c>
      <c r="F28" s="5" t="s">
        <v>15</v>
      </c>
      <c r="G28" s="5" t="s">
        <v>96</v>
      </c>
      <c r="H28" s="5" t="s">
        <v>129</v>
      </c>
      <c r="I28" s="5" t="s">
        <v>95</v>
      </c>
      <c r="J28" s="5" t="s">
        <v>43</v>
      </c>
      <c r="K28" s="5">
        <v>-100</v>
      </c>
      <c r="L28" s="5">
        <v>68</v>
      </c>
      <c r="M28" s="5" t="s">
        <v>43</v>
      </c>
      <c r="N28" s="5">
        <v>4</v>
      </c>
      <c r="O28" s="5">
        <v>-100</v>
      </c>
      <c r="P28" s="5">
        <v>-100</v>
      </c>
      <c r="Q28" s="5">
        <v>-100</v>
      </c>
      <c r="R28" s="5">
        <v>-100</v>
      </c>
      <c r="S28" s="5">
        <v>-100</v>
      </c>
      <c r="T28" s="5">
        <v>-100</v>
      </c>
      <c r="U28" s="5" t="s">
        <v>43</v>
      </c>
      <c r="V28" s="5" t="s">
        <v>43</v>
      </c>
      <c r="W28" s="5">
        <v>-100</v>
      </c>
      <c r="X28" s="5">
        <v>99</v>
      </c>
      <c r="Y28" s="5">
        <v>-100</v>
      </c>
      <c r="Z28" s="5">
        <v>69</v>
      </c>
      <c r="AA28" s="5">
        <v>-100</v>
      </c>
      <c r="AB28" s="5" t="s">
        <v>43</v>
      </c>
      <c r="AC28" s="5">
        <v>-100</v>
      </c>
      <c r="AD28" s="5">
        <v>-100</v>
      </c>
      <c r="AE28" s="5">
        <v>-100</v>
      </c>
      <c r="AF28" s="5">
        <v>-100</v>
      </c>
      <c r="AG28" s="5" t="s">
        <v>43</v>
      </c>
      <c r="AH28" s="5">
        <v>-100</v>
      </c>
      <c r="AI28" s="5">
        <v>14</v>
      </c>
      <c r="AJ28" s="5">
        <v>-100</v>
      </c>
      <c r="AK28" s="5">
        <v>89</v>
      </c>
    </row>
    <row r="29" spans="1:37" x14ac:dyDescent="0.25">
      <c r="A29" s="5" t="s">
        <v>70</v>
      </c>
      <c r="B29" s="5" t="s">
        <v>4</v>
      </c>
      <c r="C29" s="5">
        <v>3</v>
      </c>
      <c r="D29" s="5" t="s">
        <v>132</v>
      </c>
      <c r="E29" s="5" t="s">
        <v>153</v>
      </c>
      <c r="F29" s="5" t="s">
        <v>14</v>
      </c>
      <c r="G29" s="5" t="s">
        <v>137</v>
      </c>
      <c r="H29" s="5" t="s">
        <v>157</v>
      </c>
      <c r="I29" s="5" t="s">
        <v>101</v>
      </c>
      <c r="J29" s="5" t="s">
        <v>43</v>
      </c>
      <c r="K29" s="5" t="s">
        <v>43</v>
      </c>
      <c r="L29" s="5">
        <v>-100</v>
      </c>
      <c r="M29" s="5" t="s">
        <v>43</v>
      </c>
      <c r="N29" s="5" t="s">
        <v>43</v>
      </c>
      <c r="O29" s="5" t="s">
        <v>43</v>
      </c>
      <c r="P29" s="5">
        <v>-100</v>
      </c>
      <c r="Q29" s="5">
        <v>-100</v>
      </c>
      <c r="R29" s="5">
        <v>-100</v>
      </c>
      <c r="S29" s="5" t="s">
        <v>43</v>
      </c>
      <c r="T29" s="5">
        <v>-100</v>
      </c>
      <c r="U29" s="5">
        <v>29</v>
      </c>
      <c r="V29" s="5">
        <v>45</v>
      </c>
      <c r="W29" s="5" t="s">
        <v>43</v>
      </c>
      <c r="X29" s="5">
        <v>-100</v>
      </c>
      <c r="Y29" s="5" t="s">
        <v>43</v>
      </c>
      <c r="Z29" s="5">
        <v>-100</v>
      </c>
      <c r="AA29" s="5" t="s">
        <v>43</v>
      </c>
      <c r="AB29" s="5">
        <v>54</v>
      </c>
      <c r="AC29" s="5">
        <v>62</v>
      </c>
      <c r="AD29" s="5" t="s">
        <v>43</v>
      </c>
      <c r="AE29" s="5" t="s">
        <v>43</v>
      </c>
      <c r="AF29" s="5">
        <v>-100</v>
      </c>
      <c r="AG29" s="5">
        <v>-100</v>
      </c>
      <c r="AH29" s="5">
        <v>-100</v>
      </c>
      <c r="AI29" s="5">
        <v>-100</v>
      </c>
      <c r="AJ29" s="5" t="s">
        <v>43</v>
      </c>
      <c r="AK29" s="5" t="s">
        <v>43</v>
      </c>
    </row>
    <row r="30" spans="1:37" x14ac:dyDescent="0.25">
      <c r="A30" s="5" t="s">
        <v>71</v>
      </c>
      <c r="B30" s="5" t="s">
        <v>4</v>
      </c>
      <c r="C30" s="5">
        <v>2</v>
      </c>
      <c r="D30" s="5" t="s">
        <v>10</v>
      </c>
      <c r="E30" s="5" t="s">
        <v>96</v>
      </c>
      <c r="F30" s="5" t="s">
        <v>147</v>
      </c>
      <c r="G30" s="5" t="s">
        <v>111</v>
      </c>
      <c r="H30" s="5" t="s">
        <v>199</v>
      </c>
      <c r="I30" s="5" t="s">
        <v>135</v>
      </c>
      <c r="J30" s="5">
        <v>-100</v>
      </c>
      <c r="K30" s="5">
        <v>30</v>
      </c>
      <c r="L30" s="5">
        <v>-100</v>
      </c>
      <c r="M30" s="5">
        <v>39</v>
      </c>
      <c r="N30" s="5" t="s">
        <v>43</v>
      </c>
      <c r="O30" s="5">
        <v>-100</v>
      </c>
      <c r="P30" s="5">
        <v>8</v>
      </c>
      <c r="Q30" s="5">
        <v>-100</v>
      </c>
      <c r="R30" s="5">
        <v>-100</v>
      </c>
      <c r="S30" s="5" t="s">
        <v>43</v>
      </c>
      <c r="T30" s="5">
        <v>-100</v>
      </c>
      <c r="U30" s="5" t="s">
        <v>43</v>
      </c>
      <c r="V30" s="5" t="s">
        <v>43</v>
      </c>
      <c r="W30" s="5" t="s">
        <v>43</v>
      </c>
      <c r="X30" s="5" t="s">
        <v>43</v>
      </c>
      <c r="Y30" s="5">
        <v>-100</v>
      </c>
      <c r="Z30" s="5">
        <v>-100</v>
      </c>
      <c r="AA30" s="5">
        <v>-100</v>
      </c>
      <c r="AB30" s="5">
        <v>1</v>
      </c>
      <c r="AC30" s="5" t="s">
        <v>43</v>
      </c>
      <c r="AD30" s="5">
        <v>-100</v>
      </c>
      <c r="AE30" s="5">
        <v>-100</v>
      </c>
      <c r="AF30" s="5" t="s">
        <v>43</v>
      </c>
      <c r="AG30" s="5" t="s">
        <v>43</v>
      </c>
      <c r="AH30" s="5" t="s">
        <v>43</v>
      </c>
      <c r="AI30" s="5">
        <v>-100</v>
      </c>
      <c r="AJ30" s="5">
        <v>94</v>
      </c>
      <c r="AK30" s="5">
        <v>78</v>
      </c>
    </row>
    <row r="31" spans="1:37" x14ac:dyDescent="0.25">
      <c r="A31" s="5" t="s">
        <v>72</v>
      </c>
      <c r="B31" s="5" t="s">
        <v>4</v>
      </c>
      <c r="C31" s="5">
        <v>4</v>
      </c>
      <c r="D31" s="5" t="s">
        <v>95</v>
      </c>
      <c r="E31" s="5" t="s">
        <v>129</v>
      </c>
      <c r="F31" s="5" t="s">
        <v>118</v>
      </c>
      <c r="G31" s="5" t="s">
        <v>13</v>
      </c>
      <c r="H31" s="5" t="s">
        <v>156</v>
      </c>
      <c r="I31" s="5" t="s">
        <v>17</v>
      </c>
      <c r="J31" s="5">
        <v>3</v>
      </c>
      <c r="K31" s="5">
        <v>43</v>
      </c>
      <c r="L31" s="5">
        <v>-100</v>
      </c>
      <c r="M31" s="5">
        <v>-100</v>
      </c>
      <c r="N31" s="5" t="s">
        <v>43</v>
      </c>
      <c r="O31" s="5">
        <v>97</v>
      </c>
      <c r="P31" s="5">
        <v>16</v>
      </c>
      <c r="Q31" s="5">
        <v>15</v>
      </c>
      <c r="R31" s="5">
        <v>-100</v>
      </c>
      <c r="S31" s="5">
        <v>-100</v>
      </c>
      <c r="T31" s="5">
        <v>95</v>
      </c>
      <c r="U31" s="5">
        <v>-100</v>
      </c>
      <c r="V31" s="5">
        <v>-100</v>
      </c>
      <c r="W31" s="5">
        <v>-100</v>
      </c>
      <c r="X31" s="5">
        <v>-100</v>
      </c>
      <c r="Y31" s="5">
        <v>-100</v>
      </c>
      <c r="Z31" s="5" t="s">
        <v>43</v>
      </c>
      <c r="AA31" s="5" t="s">
        <v>43</v>
      </c>
      <c r="AB31" s="5" t="s">
        <v>43</v>
      </c>
      <c r="AC31" s="5">
        <v>85</v>
      </c>
      <c r="AD31" s="5">
        <v>-100</v>
      </c>
      <c r="AE31" s="5">
        <v>74</v>
      </c>
      <c r="AF31" s="5" t="s">
        <v>43</v>
      </c>
      <c r="AG31" s="5">
        <v>75</v>
      </c>
      <c r="AH31" s="5">
        <v>-100</v>
      </c>
      <c r="AI31" s="5">
        <v>20</v>
      </c>
      <c r="AJ31" s="5" t="s">
        <v>43</v>
      </c>
      <c r="AK31" s="5">
        <v>43</v>
      </c>
    </row>
    <row r="32" spans="1:37" x14ac:dyDescent="0.25">
      <c r="A32" s="5" t="s">
        <v>73</v>
      </c>
      <c r="B32" s="5" t="s">
        <v>4</v>
      </c>
      <c r="C32" s="5">
        <v>4</v>
      </c>
      <c r="D32" s="5" t="s">
        <v>107</v>
      </c>
      <c r="E32" s="5" t="s">
        <v>130</v>
      </c>
      <c r="F32" s="5" t="s">
        <v>116</v>
      </c>
      <c r="G32" s="5" t="s">
        <v>149</v>
      </c>
      <c r="H32" s="5" t="s">
        <v>126</v>
      </c>
      <c r="I32" s="5" t="s">
        <v>135</v>
      </c>
      <c r="J32" s="5" t="s">
        <v>43</v>
      </c>
      <c r="K32" s="5">
        <v>-100</v>
      </c>
      <c r="L32" s="5">
        <v>59</v>
      </c>
      <c r="M32" s="5" t="s">
        <v>43</v>
      </c>
      <c r="N32" s="5">
        <v>-100</v>
      </c>
      <c r="O32" s="5">
        <v>-100</v>
      </c>
      <c r="P32" s="5">
        <v>-100</v>
      </c>
      <c r="Q32" s="5">
        <v>27</v>
      </c>
      <c r="R32" s="5" t="s">
        <v>43</v>
      </c>
      <c r="S32" s="5">
        <v>85</v>
      </c>
      <c r="T32" s="5" t="s">
        <v>43</v>
      </c>
      <c r="U32" s="5">
        <v>-100</v>
      </c>
      <c r="V32" s="5" t="s">
        <v>43</v>
      </c>
      <c r="W32" s="5">
        <v>-100</v>
      </c>
      <c r="X32" s="5">
        <v>-100</v>
      </c>
      <c r="Y32" s="5">
        <v>-100</v>
      </c>
      <c r="Z32" s="5">
        <v>-100</v>
      </c>
      <c r="AA32" s="5">
        <v>99</v>
      </c>
      <c r="AB32" s="5">
        <v>-100</v>
      </c>
      <c r="AC32" s="5">
        <v>-100</v>
      </c>
      <c r="AD32" s="5">
        <v>-100</v>
      </c>
      <c r="AE32" s="5">
        <v>-100</v>
      </c>
      <c r="AF32" s="5">
        <v>73</v>
      </c>
      <c r="AG32" s="5">
        <v>-100</v>
      </c>
      <c r="AH32" s="5">
        <v>43</v>
      </c>
      <c r="AI32" s="5">
        <v>55</v>
      </c>
      <c r="AJ32" s="5">
        <v>-100</v>
      </c>
      <c r="AK32" s="5" t="s">
        <v>43</v>
      </c>
    </row>
    <row r="33" spans="1:37" x14ac:dyDescent="0.25">
      <c r="A33" s="5" t="s">
        <v>75</v>
      </c>
      <c r="B33" s="5" t="s">
        <v>4</v>
      </c>
      <c r="C33" s="5">
        <v>2</v>
      </c>
      <c r="D33" s="5" t="s">
        <v>135</v>
      </c>
      <c r="E33" s="5" t="s">
        <v>11</v>
      </c>
      <c r="F33" s="5" t="s">
        <v>102</v>
      </c>
      <c r="G33" s="5" t="s">
        <v>103</v>
      </c>
      <c r="H33" s="5" t="s">
        <v>152</v>
      </c>
      <c r="I33" s="5" t="s">
        <v>125</v>
      </c>
      <c r="J33" s="5">
        <v>-100</v>
      </c>
      <c r="K33" s="5">
        <v>89</v>
      </c>
      <c r="L33" s="5">
        <v>-100</v>
      </c>
      <c r="M33" s="5" t="s">
        <v>43</v>
      </c>
      <c r="N33" s="5">
        <v>27</v>
      </c>
      <c r="O33" s="5" t="s">
        <v>43</v>
      </c>
      <c r="P33" s="5">
        <v>50</v>
      </c>
      <c r="Q33" s="5">
        <v>76</v>
      </c>
      <c r="R33" s="5" t="s">
        <v>43</v>
      </c>
      <c r="S33" s="5">
        <v>-100</v>
      </c>
      <c r="T33" s="5">
        <v>-100</v>
      </c>
      <c r="U33" s="5" t="s">
        <v>43</v>
      </c>
      <c r="V33" s="5">
        <v>84</v>
      </c>
      <c r="W33" s="5">
        <v>-100</v>
      </c>
      <c r="X33" s="5">
        <v>61</v>
      </c>
      <c r="Y33" s="5">
        <v>15</v>
      </c>
      <c r="Z33" s="5">
        <v>32</v>
      </c>
      <c r="AA33" s="5" t="s">
        <v>43</v>
      </c>
      <c r="AB33" s="5">
        <v>-100</v>
      </c>
      <c r="AC33" s="5">
        <v>-100</v>
      </c>
      <c r="AD33" s="5">
        <v>13</v>
      </c>
      <c r="AE33" s="5" t="s">
        <v>43</v>
      </c>
      <c r="AF33" s="5">
        <v>68</v>
      </c>
      <c r="AG33" s="5">
        <v>77</v>
      </c>
      <c r="AH33" s="5">
        <v>-100</v>
      </c>
      <c r="AI33" s="5">
        <v>-100</v>
      </c>
      <c r="AJ33" s="5" t="s">
        <v>43</v>
      </c>
      <c r="AK33" s="5">
        <v>-100</v>
      </c>
    </row>
    <row r="34" spans="1:37" x14ac:dyDescent="0.25">
      <c r="A34" s="5" t="s">
        <v>76</v>
      </c>
      <c r="B34" s="5" t="s">
        <v>4</v>
      </c>
      <c r="C34" s="5">
        <v>1</v>
      </c>
      <c r="D34" s="5" t="s">
        <v>94</v>
      </c>
      <c r="E34" s="5" t="s">
        <v>17</v>
      </c>
      <c r="F34" s="5" t="s">
        <v>13</v>
      </c>
      <c r="G34" s="5" t="s">
        <v>10</v>
      </c>
      <c r="H34" s="5" t="s">
        <v>149</v>
      </c>
      <c r="I34" s="5" t="s">
        <v>107</v>
      </c>
      <c r="J34" s="5">
        <v>-100</v>
      </c>
      <c r="K34" s="5">
        <v>-100</v>
      </c>
      <c r="L34" s="5" t="s">
        <v>43</v>
      </c>
      <c r="M34" s="5">
        <v>-100</v>
      </c>
      <c r="N34" s="5">
        <v>20</v>
      </c>
      <c r="O34" s="5">
        <v>-100</v>
      </c>
      <c r="P34" s="5">
        <v>63</v>
      </c>
      <c r="Q34" s="5">
        <v>97</v>
      </c>
      <c r="R34" s="5" t="s">
        <v>43</v>
      </c>
      <c r="S34" s="5" t="s">
        <v>43</v>
      </c>
      <c r="T34" s="5">
        <v>-100</v>
      </c>
      <c r="U34" s="5">
        <v>-100</v>
      </c>
      <c r="V34" s="5">
        <v>-100</v>
      </c>
      <c r="W34" s="5">
        <v>70</v>
      </c>
      <c r="X34" s="5">
        <v>92</v>
      </c>
      <c r="Y34" s="5">
        <v>-100</v>
      </c>
      <c r="Z34" s="5">
        <v>-100</v>
      </c>
      <c r="AA34" s="5">
        <v>5</v>
      </c>
      <c r="AB34" s="5">
        <v>62</v>
      </c>
      <c r="AC34" s="5">
        <v>98</v>
      </c>
      <c r="AD34" s="5">
        <v>79</v>
      </c>
      <c r="AE34" s="5">
        <v>-100</v>
      </c>
      <c r="AF34" s="5" t="s">
        <v>43</v>
      </c>
      <c r="AG34" s="5">
        <v>-100</v>
      </c>
      <c r="AH34" s="5">
        <v>-100</v>
      </c>
      <c r="AI34" s="5">
        <v>33</v>
      </c>
      <c r="AJ34" s="5" t="s">
        <v>43</v>
      </c>
      <c r="AK34" s="5">
        <v>-100</v>
      </c>
    </row>
    <row r="35" spans="1:37" x14ac:dyDescent="0.25">
      <c r="A35" s="5" t="s">
        <v>77</v>
      </c>
      <c r="B35" s="5" t="s">
        <v>4</v>
      </c>
      <c r="C35" s="5">
        <v>2</v>
      </c>
      <c r="D35" s="5" t="s">
        <v>100</v>
      </c>
      <c r="E35" s="5" t="s">
        <v>133</v>
      </c>
      <c r="F35" s="5" t="s">
        <v>140</v>
      </c>
      <c r="G35" s="5" t="s">
        <v>99</v>
      </c>
      <c r="H35" s="5" t="s">
        <v>158</v>
      </c>
      <c r="I35" s="5" t="s">
        <v>109</v>
      </c>
      <c r="J35" s="5" t="s">
        <v>43</v>
      </c>
      <c r="K35" s="5">
        <v>97</v>
      </c>
      <c r="L35" s="5">
        <v>-100</v>
      </c>
      <c r="M35" s="5">
        <v>71</v>
      </c>
      <c r="N35" s="5">
        <v>-100</v>
      </c>
      <c r="O35" s="5" t="s">
        <v>43</v>
      </c>
      <c r="P35" s="5">
        <v>-100</v>
      </c>
      <c r="Q35" s="5">
        <v>-100</v>
      </c>
      <c r="R35" s="5" t="s">
        <v>43</v>
      </c>
      <c r="S35" s="5">
        <v>-100</v>
      </c>
      <c r="T35" s="5" t="s">
        <v>43</v>
      </c>
      <c r="U35" s="5">
        <v>91</v>
      </c>
      <c r="V35" s="5">
        <v>42</v>
      </c>
      <c r="W35" s="5" t="s">
        <v>43</v>
      </c>
      <c r="X35" s="5" t="s">
        <v>43</v>
      </c>
      <c r="Y35" s="5">
        <v>-100</v>
      </c>
      <c r="Z35" s="5">
        <v>-100</v>
      </c>
      <c r="AA35" s="5">
        <v>-100</v>
      </c>
      <c r="AB35" s="5">
        <v>-100</v>
      </c>
      <c r="AC35" s="5">
        <v>-100</v>
      </c>
      <c r="AD35" s="5" t="s">
        <v>43</v>
      </c>
      <c r="AE35" s="5">
        <v>-100</v>
      </c>
      <c r="AF35" s="5">
        <v>78</v>
      </c>
      <c r="AG35" s="5">
        <v>69</v>
      </c>
      <c r="AH35" s="5" t="s">
        <v>43</v>
      </c>
      <c r="AI35" s="5">
        <v>-100</v>
      </c>
      <c r="AJ35" s="5">
        <v>85</v>
      </c>
      <c r="AK35" s="5">
        <v>-100</v>
      </c>
    </row>
    <row r="36" spans="1:37" x14ac:dyDescent="0.25">
      <c r="A36" s="5" t="s">
        <v>78</v>
      </c>
      <c r="B36" s="5" t="s">
        <v>4</v>
      </c>
      <c r="C36" s="5">
        <v>3</v>
      </c>
      <c r="D36" s="5" t="s">
        <v>152</v>
      </c>
      <c r="E36" s="5" t="s">
        <v>116</v>
      </c>
      <c r="F36" s="5" t="s">
        <v>201</v>
      </c>
      <c r="G36" s="5" t="s">
        <v>128</v>
      </c>
      <c r="H36" s="5" t="s">
        <v>97</v>
      </c>
      <c r="I36" s="5" t="s">
        <v>11</v>
      </c>
      <c r="J36" s="5" t="s">
        <v>43</v>
      </c>
      <c r="K36" s="5" t="s">
        <v>43</v>
      </c>
      <c r="L36" s="5">
        <v>49</v>
      </c>
      <c r="M36" s="5">
        <v>-100</v>
      </c>
      <c r="N36" s="5">
        <v>39</v>
      </c>
      <c r="O36" s="5">
        <v>20</v>
      </c>
      <c r="P36" s="5">
        <v>-100</v>
      </c>
      <c r="Q36" s="5">
        <v>-100</v>
      </c>
      <c r="R36" s="5" t="s">
        <v>43</v>
      </c>
      <c r="S36" s="5" t="s">
        <v>43</v>
      </c>
      <c r="T36" s="5">
        <v>-100</v>
      </c>
      <c r="U36" s="5">
        <v>70</v>
      </c>
      <c r="V36" s="5" t="s">
        <v>43</v>
      </c>
      <c r="W36" s="5">
        <v>-100</v>
      </c>
      <c r="X36" s="5" t="s">
        <v>43</v>
      </c>
      <c r="Y36" s="5">
        <v>7</v>
      </c>
      <c r="Z36" s="5" t="s">
        <v>43</v>
      </c>
      <c r="AA36" s="5">
        <v>-100</v>
      </c>
      <c r="AB36" s="5">
        <v>30</v>
      </c>
      <c r="AC36" s="5">
        <v>-100</v>
      </c>
      <c r="AD36" s="5">
        <v>-100</v>
      </c>
      <c r="AE36" s="5" t="s">
        <v>43</v>
      </c>
      <c r="AF36" s="5">
        <v>70</v>
      </c>
      <c r="AG36" s="5">
        <v>-100</v>
      </c>
      <c r="AH36" s="5">
        <v>72</v>
      </c>
      <c r="AI36" s="5" t="s">
        <v>43</v>
      </c>
      <c r="AJ36" s="5">
        <v>-100</v>
      </c>
      <c r="AK36" s="5" t="s">
        <v>43</v>
      </c>
    </row>
    <row r="37" spans="1:37" x14ac:dyDescent="0.25">
      <c r="A37" s="5" t="s">
        <v>79</v>
      </c>
      <c r="B37" s="5" t="s">
        <v>4</v>
      </c>
      <c r="C37" s="5">
        <v>1</v>
      </c>
      <c r="D37" s="5" t="s">
        <v>111</v>
      </c>
      <c r="E37" s="5" t="s">
        <v>155</v>
      </c>
      <c r="J37" s="5">
        <v>-100</v>
      </c>
      <c r="K37" s="5" t="s">
        <v>43</v>
      </c>
      <c r="L37" s="5" t="s">
        <v>43</v>
      </c>
      <c r="M37" s="5">
        <v>-100</v>
      </c>
      <c r="N37" s="5" t="s">
        <v>43</v>
      </c>
      <c r="O37" s="5" t="s">
        <v>43</v>
      </c>
      <c r="P37" s="5">
        <v>-100</v>
      </c>
      <c r="Q37" s="5">
        <v>57</v>
      </c>
      <c r="R37" s="5">
        <v>25</v>
      </c>
      <c r="S37" s="5">
        <v>-100</v>
      </c>
      <c r="T37" s="5">
        <v>-100</v>
      </c>
      <c r="U37" s="5">
        <v>39</v>
      </c>
      <c r="V37" s="5">
        <v>-100</v>
      </c>
      <c r="W37" s="5">
        <v>-100</v>
      </c>
      <c r="X37" s="5">
        <v>-100</v>
      </c>
      <c r="Y37" s="5">
        <v>-100</v>
      </c>
      <c r="Z37" s="5" t="s">
        <v>43</v>
      </c>
      <c r="AA37" s="5" t="s">
        <v>43</v>
      </c>
      <c r="AB37" s="5">
        <v>-100</v>
      </c>
      <c r="AC37" s="5">
        <v>-100</v>
      </c>
      <c r="AD37" s="5" t="s">
        <v>43</v>
      </c>
      <c r="AE37" s="5">
        <v>73</v>
      </c>
      <c r="AF37" s="5" t="s">
        <v>43</v>
      </c>
      <c r="AG37" s="5">
        <v>-100</v>
      </c>
      <c r="AH37" s="5">
        <v>-100</v>
      </c>
      <c r="AI37" s="5">
        <v>-100</v>
      </c>
      <c r="AJ37" s="5" t="s">
        <v>43</v>
      </c>
      <c r="AK37" s="5">
        <v>-100</v>
      </c>
    </row>
    <row r="38" spans="1:37" x14ac:dyDescent="0.25">
      <c r="A38" s="5" t="s">
        <v>80</v>
      </c>
      <c r="B38" s="5" t="s">
        <v>4</v>
      </c>
      <c r="C38" s="5">
        <v>2</v>
      </c>
      <c r="D38" s="5" t="s">
        <v>105</v>
      </c>
      <c r="E38" s="5" t="s">
        <v>159</v>
      </c>
      <c r="J38" s="5">
        <v>2</v>
      </c>
      <c r="K38" s="5" t="s">
        <v>43</v>
      </c>
      <c r="L38" s="5">
        <v>-100</v>
      </c>
      <c r="M38" s="5">
        <v>-100</v>
      </c>
      <c r="N38" s="5">
        <v>-100</v>
      </c>
      <c r="O38" s="5">
        <v>-100</v>
      </c>
      <c r="P38" s="5">
        <v>31</v>
      </c>
      <c r="Q38" s="5">
        <v>-100</v>
      </c>
      <c r="R38" s="5">
        <v>-100</v>
      </c>
      <c r="S38" s="5">
        <v>-100</v>
      </c>
      <c r="T38" s="5" t="s">
        <v>43</v>
      </c>
      <c r="U38" s="5">
        <v>99</v>
      </c>
      <c r="V38" s="5" t="s">
        <v>43</v>
      </c>
      <c r="W38" s="5">
        <v>-100</v>
      </c>
      <c r="X38" s="5">
        <v>-100</v>
      </c>
      <c r="Y38" s="5" t="s">
        <v>43</v>
      </c>
      <c r="Z38" s="5" t="s">
        <v>43</v>
      </c>
      <c r="AA38" s="5">
        <v>29</v>
      </c>
      <c r="AB38" s="5">
        <v>-100</v>
      </c>
      <c r="AC38" s="5">
        <v>59</v>
      </c>
      <c r="AD38" s="5">
        <v>-100</v>
      </c>
      <c r="AE38" s="5" t="s">
        <v>43</v>
      </c>
      <c r="AF38" s="5">
        <v>-100</v>
      </c>
      <c r="AG38" s="5">
        <v>-100</v>
      </c>
      <c r="AH38" s="5">
        <v>69</v>
      </c>
      <c r="AI38" s="5">
        <v>-100</v>
      </c>
      <c r="AJ38" s="5" t="s">
        <v>43</v>
      </c>
      <c r="AK38" s="5">
        <v>-100</v>
      </c>
    </row>
    <row r="39" spans="1:37" x14ac:dyDescent="0.25">
      <c r="A39" s="5" t="s">
        <v>81</v>
      </c>
      <c r="B39" s="5" t="s">
        <v>4</v>
      </c>
      <c r="C39" s="5">
        <v>3</v>
      </c>
      <c r="D39" s="5" t="s">
        <v>140</v>
      </c>
      <c r="E39" s="5" t="s">
        <v>128</v>
      </c>
      <c r="F39" s="5" t="s">
        <v>132</v>
      </c>
      <c r="G39" s="5" t="s">
        <v>154</v>
      </c>
      <c r="J39" s="5">
        <v>-100</v>
      </c>
      <c r="K39" s="5">
        <v>-100</v>
      </c>
      <c r="L39" s="5">
        <v>-100</v>
      </c>
      <c r="M39" s="5">
        <v>-100</v>
      </c>
      <c r="N39" s="5">
        <v>-100</v>
      </c>
      <c r="O39" s="5" t="s">
        <v>43</v>
      </c>
      <c r="P39" s="5">
        <v>7</v>
      </c>
      <c r="Q39" s="5">
        <v>63</v>
      </c>
      <c r="R39" s="5" t="s">
        <v>43</v>
      </c>
      <c r="S39" s="5">
        <v>-100</v>
      </c>
      <c r="T39" s="5">
        <v>76</v>
      </c>
      <c r="U39" s="5">
        <v>14</v>
      </c>
      <c r="V39" s="5" t="s">
        <v>43</v>
      </c>
      <c r="W39" s="5">
        <v>53</v>
      </c>
      <c r="X39" s="5">
        <v>-100</v>
      </c>
      <c r="Y39" s="5">
        <v>71</v>
      </c>
      <c r="Z39" s="5" t="s">
        <v>43</v>
      </c>
      <c r="AA39" s="5">
        <v>73</v>
      </c>
      <c r="AB39" s="5">
        <v>-100</v>
      </c>
      <c r="AC39" s="5">
        <v>-100</v>
      </c>
      <c r="AD39" s="5">
        <v>32</v>
      </c>
      <c r="AE39" s="5" t="s">
        <v>43</v>
      </c>
      <c r="AF39" s="5">
        <v>-100</v>
      </c>
      <c r="AG39" s="5">
        <v>-100</v>
      </c>
      <c r="AH39" s="5" t="s">
        <v>43</v>
      </c>
      <c r="AI39" s="5">
        <v>-100</v>
      </c>
      <c r="AJ39" s="5">
        <v>60</v>
      </c>
      <c r="AK39" s="5">
        <v>-100</v>
      </c>
    </row>
    <row r="40" spans="1:37" x14ac:dyDescent="0.25">
      <c r="A40" s="5" t="s">
        <v>74</v>
      </c>
      <c r="B40" s="5" t="s">
        <v>4</v>
      </c>
      <c r="C40" s="5">
        <v>4</v>
      </c>
      <c r="D40" s="5" t="s">
        <v>146</v>
      </c>
      <c r="E40" s="5" t="s">
        <v>113</v>
      </c>
      <c r="F40" s="5" t="s">
        <v>95</v>
      </c>
      <c r="J40" s="5">
        <v>73</v>
      </c>
      <c r="K40" s="5" t="s">
        <v>43</v>
      </c>
      <c r="L40" s="5" t="s">
        <v>43</v>
      </c>
      <c r="M40" s="5">
        <v>45</v>
      </c>
      <c r="N40" s="5">
        <v>78</v>
      </c>
      <c r="O40" s="5" t="s">
        <v>43</v>
      </c>
      <c r="P40" s="5">
        <v>-100</v>
      </c>
      <c r="Q40" s="5">
        <v>-100</v>
      </c>
      <c r="R40" s="5">
        <v>83</v>
      </c>
      <c r="S40" s="5">
        <v>0</v>
      </c>
      <c r="T40" s="5">
        <v>-100</v>
      </c>
      <c r="U40" s="5">
        <v>-100</v>
      </c>
      <c r="V40" s="5">
        <v>-100</v>
      </c>
      <c r="W40" s="5" t="s">
        <v>43</v>
      </c>
      <c r="X40" s="5">
        <v>-100</v>
      </c>
      <c r="Y40" s="5" t="s">
        <v>43</v>
      </c>
      <c r="Z40" s="5">
        <v>27</v>
      </c>
      <c r="AA40" s="5">
        <v>-100</v>
      </c>
      <c r="AB40" s="5">
        <v>-100</v>
      </c>
      <c r="AC40" s="5">
        <v>74</v>
      </c>
      <c r="AD40" s="5">
        <v>-100</v>
      </c>
      <c r="AE40" s="5">
        <v>-100</v>
      </c>
      <c r="AF40" s="5">
        <v>-100</v>
      </c>
      <c r="AG40" s="5" t="s">
        <v>43</v>
      </c>
      <c r="AH40" s="5">
        <v>-100</v>
      </c>
      <c r="AI40" s="5" t="s">
        <v>43</v>
      </c>
      <c r="AJ40" s="5">
        <v>-100</v>
      </c>
      <c r="AK40" s="5" t="s">
        <v>43</v>
      </c>
    </row>
    <row r="41" spans="1:37" x14ac:dyDescent="0.25">
      <c r="A41" s="5" t="s">
        <v>82</v>
      </c>
      <c r="B41" s="5" t="s">
        <v>4</v>
      </c>
      <c r="C41" s="5">
        <v>4</v>
      </c>
      <c r="D41" s="5" t="s">
        <v>145</v>
      </c>
      <c r="E41" s="5" t="s">
        <v>98</v>
      </c>
      <c r="J41" s="5">
        <v>-100</v>
      </c>
      <c r="K41" s="5">
        <v>-100</v>
      </c>
      <c r="L41" s="5" t="s">
        <v>43</v>
      </c>
      <c r="M41" s="5" t="s">
        <v>43</v>
      </c>
      <c r="N41" s="5">
        <v>-100</v>
      </c>
      <c r="O41" s="5">
        <v>87</v>
      </c>
      <c r="P41" s="5">
        <v>93</v>
      </c>
      <c r="Q41" s="5">
        <v>-100</v>
      </c>
      <c r="R41" s="5">
        <v>-100</v>
      </c>
      <c r="S41" s="5">
        <v>-100</v>
      </c>
      <c r="T41" s="5">
        <v>97</v>
      </c>
      <c r="U41" s="5">
        <v>-100</v>
      </c>
      <c r="V41" s="5">
        <v>-100</v>
      </c>
      <c r="W41" s="5">
        <v>-100</v>
      </c>
      <c r="X41" s="5" t="s">
        <v>43</v>
      </c>
      <c r="Y41" s="5" t="s">
        <v>43</v>
      </c>
      <c r="Z41" s="5" t="s">
        <v>43</v>
      </c>
      <c r="AA41" s="5" t="s">
        <v>43</v>
      </c>
      <c r="AB41" s="5">
        <v>-100</v>
      </c>
      <c r="AC41" s="5">
        <v>64</v>
      </c>
      <c r="AD41" s="5">
        <v>61</v>
      </c>
      <c r="AE41" s="5">
        <v>-100</v>
      </c>
      <c r="AF41" s="5">
        <v>-100</v>
      </c>
      <c r="AG41" s="5" t="s">
        <v>43</v>
      </c>
      <c r="AH41" s="5" t="s">
        <v>43</v>
      </c>
      <c r="AI41" s="5">
        <v>-100</v>
      </c>
      <c r="AJ41" s="5">
        <v>-100</v>
      </c>
      <c r="AK41" s="5" t="s">
        <v>43</v>
      </c>
    </row>
    <row r="42" spans="1:37" x14ac:dyDescent="0.25">
      <c r="A42" s="5" t="s">
        <v>83</v>
      </c>
      <c r="B42" s="5" t="s">
        <v>4</v>
      </c>
      <c r="C42" s="5">
        <v>4</v>
      </c>
      <c r="D42" s="5" t="s">
        <v>8</v>
      </c>
      <c r="E42" s="5" t="s">
        <v>117</v>
      </c>
      <c r="J42" s="5">
        <v>-100</v>
      </c>
      <c r="K42" s="5" t="s">
        <v>43</v>
      </c>
      <c r="L42" s="5">
        <v>19</v>
      </c>
      <c r="M42" s="5">
        <v>-100</v>
      </c>
      <c r="N42" s="5">
        <v>-100</v>
      </c>
      <c r="O42" s="5" t="s">
        <v>43</v>
      </c>
      <c r="P42" s="5" t="s">
        <v>43</v>
      </c>
      <c r="Q42" s="5">
        <v>-100</v>
      </c>
      <c r="R42" s="5">
        <v>68</v>
      </c>
      <c r="S42" s="5">
        <v>-100</v>
      </c>
      <c r="T42" s="5" t="s">
        <v>43</v>
      </c>
      <c r="U42" s="5">
        <v>-100</v>
      </c>
      <c r="V42" s="5">
        <v>49</v>
      </c>
      <c r="W42" s="5">
        <v>87</v>
      </c>
      <c r="X42" s="5">
        <v>-100</v>
      </c>
      <c r="Y42" s="5" t="s">
        <v>43</v>
      </c>
      <c r="Z42" s="5" t="s">
        <v>43</v>
      </c>
      <c r="AA42" s="5">
        <v>-100</v>
      </c>
      <c r="AB42" s="5">
        <v>-100</v>
      </c>
      <c r="AC42" s="5">
        <v>-100</v>
      </c>
      <c r="AD42" s="5">
        <v>11</v>
      </c>
      <c r="AE42" s="5" t="s">
        <v>43</v>
      </c>
      <c r="AF42" s="5">
        <v>-100</v>
      </c>
      <c r="AG42" s="5">
        <v>-100</v>
      </c>
      <c r="AH42" s="5" t="s">
        <v>43</v>
      </c>
      <c r="AI42" s="5">
        <v>62</v>
      </c>
      <c r="AJ42" s="5">
        <v>-100</v>
      </c>
      <c r="AK42" s="5">
        <v>26</v>
      </c>
    </row>
    <row r="43" spans="1:37" x14ac:dyDescent="0.25">
      <c r="A43" s="5" t="s">
        <v>84</v>
      </c>
      <c r="B43" s="5" t="s">
        <v>4</v>
      </c>
      <c r="C43" s="5">
        <v>4</v>
      </c>
      <c r="D43" s="5" t="s">
        <v>120</v>
      </c>
      <c r="E43" s="5" t="s">
        <v>159</v>
      </c>
      <c r="F43" s="5" t="s">
        <v>7</v>
      </c>
      <c r="G43" s="5" t="s">
        <v>133</v>
      </c>
      <c r="H43" s="5" t="s">
        <v>141</v>
      </c>
      <c r="I43" s="5" t="s">
        <v>11</v>
      </c>
      <c r="J43" s="5">
        <v>-100</v>
      </c>
      <c r="K43" s="5">
        <v>83</v>
      </c>
      <c r="L43" s="5" t="s">
        <v>43</v>
      </c>
      <c r="M43" s="5">
        <v>-100</v>
      </c>
      <c r="N43" s="5">
        <v>-100</v>
      </c>
      <c r="O43" s="5">
        <v>22</v>
      </c>
      <c r="P43" s="5">
        <v>-100</v>
      </c>
      <c r="Q43" s="5">
        <v>35</v>
      </c>
      <c r="R43" s="5">
        <v>-100</v>
      </c>
      <c r="S43" s="5">
        <v>94</v>
      </c>
      <c r="T43" s="5" t="s">
        <v>43</v>
      </c>
      <c r="U43" s="5">
        <v>-100</v>
      </c>
      <c r="V43" s="5" t="s">
        <v>43</v>
      </c>
      <c r="W43" s="5">
        <v>-100</v>
      </c>
      <c r="X43" s="5">
        <v>-100</v>
      </c>
      <c r="Y43" s="5" t="s">
        <v>43</v>
      </c>
      <c r="Z43" s="5">
        <v>45</v>
      </c>
      <c r="AA43" s="5">
        <v>86</v>
      </c>
      <c r="AB43" s="5" t="s">
        <v>43</v>
      </c>
      <c r="AC43" s="5">
        <v>62</v>
      </c>
      <c r="AD43" s="5" t="s">
        <v>43</v>
      </c>
      <c r="AE43" s="5" t="s">
        <v>43</v>
      </c>
      <c r="AF43" s="5" t="s">
        <v>43</v>
      </c>
      <c r="AG43" s="5">
        <v>-100</v>
      </c>
      <c r="AH43" s="5" t="s">
        <v>43</v>
      </c>
      <c r="AI43" s="5">
        <v>-100</v>
      </c>
      <c r="AJ43" s="5" t="s">
        <v>43</v>
      </c>
      <c r="AK43" s="5">
        <v>32</v>
      </c>
    </row>
    <row r="44" spans="1:37" x14ac:dyDescent="0.25">
      <c r="A44" s="5" t="s">
        <v>85</v>
      </c>
      <c r="B44" s="5" t="s">
        <v>4</v>
      </c>
      <c r="C44" s="5">
        <v>4</v>
      </c>
      <c r="D44" s="5" t="s">
        <v>94</v>
      </c>
      <c r="E44" s="5" t="s">
        <v>125</v>
      </c>
      <c r="F44" s="5" t="s">
        <v>147</v>
      </c>
      <c r="G44" s="5" t="s">
        <v>119</v>
      </c>
      <c r="H44" s="5" t="s">
        <v>93</v>
      </c>
      <c r="I44" s="5" t="s">
        <v>115</v>
      </c>
      <c r="J44" s="5" t="s">
        <v>43</v>
      </c>
      <c r="K44" s="5">
        <v>-100</v>
      </c>
      <c r="L44" s="5" t="s">
        <v>43</v>
      </c>
      <c r="M44" s="5">
        <v>-100</v>
      </c>
      <c r="N44" s="5" t="s">
        <v>43</v>
      </c>
      <c r="O44" s="5">
        <v>-100</v>
      </c>
      <c r="P44" s="5">
        <v>-100</v>
      </c>
      <c r="Q44" s="5" t="s">
        <v>43</v>
      </c>
      <c r="R44" s="5">
        <v>-100</v>
      </c>
      <c r="S44" s="5">
        <v>50</v>
      </c>
      <c r="T44" s="5">
        <v>55</v>
      </c>
      <c r="U44" s="5" t="s">
        <v>43</v>
      </c>
      <c r="V44" s="5">
        <v>-100</v>
      </c>
      <c r="W44" s="5">
        <v>-100</v>
      </c>
      <c r="X44" s="5">
        <v>-100</v>
      </c>
      <c r="Y44" s="5">
        <v>-100</v>
      </c>
      <c r="Z44" s="5" t="s">
        <v>43</v>
      </c>
      <c r="AA44" s="5">
        <v>13</v>
      </c>
      <c r="AB44" s="5">
        <v>-100</v>
      </c>
      <c r="AC44" s="5">
        <v>-100</v>
      </c>
      <c r="AD44" s="5" t="s">
        <v>43</v>
      </c>
      <c r="AE44" s="5">
        <v>71</v>
      </c>
      <c r="AF44" s="5" t="s">
        <v>43</v>
      </c>
      <c r="AG44" s="5">
        <v>42</v>
      </c>
      <c r="AH44" s="5">
        <v>31</v>
      </c>
      <c r="AI44" s="5">
        <v>22</v>
      </c>
      <c r="AJ44" s="5">
        <v>22</v>
      </c>
      <c r="AK44" s="5" t="s">
        <v>43</v>
      </c>
    </row>
    <row r="45" spans="1:37" x14ac:dyDescent="0.25">
      <c r="A45" s="5" t="s">
        <v>86</v>
      </c>
      <c r="B45" s="5" t="s">
        <v>4</v>
      </c>
      <c r="C45" s="5">
        <v>4</v>
      </c>
      <c r="D45" s="5" t="s">
        <v>142</v>
      </c>
      <c r="E45" s="5" t="s">
        <v>105</v>
      </c>
      <c r="F45" s="5" t="s">
        <v>16</v>
      </c>
      <c r="G45" s="5" t="s">
        <v>140</v>
      </c>
      <c r="H45" s="5" t="s">
        <v>155</v>
      </c>
      <c r="J45" s="5">
        <v>-100</v>
      </c>
      <c r="K45" s="5">
        <v>-100</v>
      </c>
      <c r="L45" s="5">
        <v>-100</v>
      </c>
      <c r="M45" s="5">
        <v>-100</v>
      </c>
      <c r="N45" s="5">
        <v>-100</v>
      </c>
      <c r="O45" s="5">
        <v>-100</v>
      </c>
      <c r="P45" s="5">
        <v>-100</v>
      </c>
      <c r="Q45" s="5" t="s">
        <v>43</v>
      </c>
      <c r="R45" s="5" t="s">
        <v>43</v>
      </c>
      <c r="S45" s="5">
        <v>-100</v>
      </c>
      <c r="T45" s="5">
        <v>0</v>
      </c>
      <c r="U45" s="5">
        <v>-100</v>
      </c>
      <c r="V45" s="5" t="s">
        <v>43</v>
      </c>
      <c r="W45" s="5" t="s">
        <v>43</v>
      </c>
      <c r="X45" s="5">
        <v>-100</v>
      </c>
      <c r="Y45" s="5">
        <v>41</v>
      </c>
      <c r="Z45" s="5" t="s">
        <v>43</v>
      </c>
      <c r="AA45" s="5">
        <v>-100</v>
      </c>
      <c r="AB45" s="5">
        <v>-100</v>
      </c>
      <c r="AC45" s="5" t="s">
        <v>43</v>
      </c>
      <c r="AD45" s="5">
        <v>42</v>
      </c>
      <c r="AE45" s="5">
        <v>9</v>
      </c>
      <c r="AF45" s="5">
        <v>-100</v>
      </c>
      <c r="AG45" s="5">
        <v>-100</v>
      </c>
      <c r="AH45" s="5">
        <v>-100</v>
      </c>
      <c r="AI45" s="5">
        <v>-100</v>
      </c>
      <c r="AJ45" s="5">
        <v>-100</v>
      </c>
      <c r="AK45" s="5" t="s">
        <v>43</v>
      </c>
    </row>
    <row r="46" spans="1:37" x14ac:dyDescent="0.25">
      <c r="A46" s="5" t="s">
        <v>87</v>
      </c>
      <c r="B46" s="5" t="s">
        <v>4</v>
      </c>
      <c r="C46" s="5">
        <v>2</v>
      </c>
      <c r="D46" s="5" t="s">
        <v>124</v>
      </c>
      <c r="E46" s="5" t="s">
        <v>6</v>
      </c>
      <c r="F46" s="5" t="s">
        <v>10</v>
      </c>
      <c r="J46" s="5">
        <v>30</v>
      </c>
      <c r="K46" s="5">
        <v>85</v>
      </c>
      <c r="L46" s="5">
        <v>90</v>
      </c>
      <c r="M46" s="5">
        <v>64</v>
      </c>
      <c r="N46" s="5" t="s">
        <v>43</v>
      </c>
      <c r="O46" s="5">
        <v>-100</v>
      </c>
      <c r="P46" s="5">
        <v>-100</v>
      </c>
      <c r="Q46" s="5">
        <v>-100</v>
      </c>
      <c r="R46" s="5">
        <v>-100</v>
      </c>
      <c r="S46" s="5">
        <v>49</v>
      </c>
      <c r="T46" s="5">
        <v>-100</v>
      </c>
      <c r="U46" s="5">
        <v>14</v>
      </c>
      <c r="V46" s="5">
        <v>-100</v>
      </c>
      <c r="W46" s="5">
        <v>-100</v>
      </c>
      <c r="X46" s="5">
        <v>-100</v>
      </c>
      <c r="Y46" s="5">
        <v>38</v>
      </c>
      <c r="Z46" s="5" t="s">
        <v>43</v>
      </c>
      <c r="AA46" s="5" t="s">
        <v>43</v>
      </c>
      <c r="AB46" s="5">
        <v>21</v>
      </c>
      <c r="AC46" s="5" t="s">
        <v>43</v>
      </c>
      <c r="AD46" s="5" t="s">
        <v>43</v>
      </c>
      <c r="AE46" s="5">
        <v>-100</v>
      </c>
      <c r="AF46" s="5">
        <v>1</v>
      </c>
      <c r="AG46" s="5">
        <v>82</v>
      </c>
      <c r="AH46" s="5">
        <v>-100</v>
      </c>
      <c r="AI46" s="5">
        <v>-100</v>
      </c>
      <c r="AJ46" s="5" t="s">
        <v>43</v>
      </c>
      <c r="AK46" s="5">
        <v>-100</v>
      </c>
    </row>
    <row r="47" spans="1:37" x14ac:dyDescent="0.25">
      <c r="A47" s="5" t="s">
        <v>88</v>
      </c>
      <c r="B47" s="5" t="s">
        <v>4</v>
      </c>
      <c r="C47" s="5">
        <v>4</v>
      </c>
      <c r="D47" s="5" t="s">
        <v>155</v>
      </c>
      <c r="E47" s="5" t="s">
        <v>106</v>
      </c>
      <c r="F47" s="5" t="s">
        <v>108</v>
      </c>
      <c r="G47" s="5" t="s">
        <v>8</v>
      </c>
      <c r="H47" s="5" t="s">
        <v>102</v>
      </c>
      <c r="J47" s="5">
        <v>-100</v>
      </c>
      <c r="K47" s="5">
        <v>-100</v>
      </c>
      <c r="L47" s="5" t="s">
        <v>43</v>
      </c>
      <c r="M47" s="5">
        <v>-100</v>
      </c>
      <c r="N47" s="5">
        <v>97</v>
      </c>
      <c r="O47" s="5" t="s">
        <v>43</v>
      </c>
      <c r="P47" s="5">
        <v>78</v>
      </c>
      <c r="Q47" s="5">
        <v>-100</v>
      </c>
      <c r="R47" s="5" t="s">
        <v>43</v>
      </c>
      <c r="S47" s="5">
        <v>9</v>
      </c>
      <c r="T47" s="5" t="s">
        <v>43</v>
      </c>
      <c r="U47" s="5">
        <v>40</v>
      </c>
      <c r="V47" s="5">
        <v>44</v>
      </c>
      <c r="W47" s="5" t="s">
        <v>43</v>
      </c>
      <c r="X47" s="5">
        <v>-100</v>
      </c>
      <c r="Y47" s="5">
        <v>-100</v>
      </c>
      <c r="Z47" s="5">
        <v>-100</v>
      </c>
      <c r="AA47" s="5">
        <v>-100</v>
      </c>
      <c r="AB47" s="5">
        <v>48</v>
      </c>
      <c r="AC47" s="5">
        <v>-100</v>
      </c>
      <c r="AD47" s="5" t="s">
        <v>43</v>
      </c>
      <c r="AE47" s="5" t="s">
        <v>43</v>
      </c>
      <c r="AF47" s="5">
        <v>8</v>
      </c>
      <c r="AG47" s="5">
        <v>-100</v>
      </c>
      <c r="AH47" s="5">
        <v>90</v>
      </c>
      <c r="AI47" s="5">
        <v>-100</v>
      </c>
      <c r="AJ47" s="5">
        <v>-100</v>
      </c>
      <c r="AK47" s="5">
        <v>-100</v>
      </c>
    </row>
    <row r="48" spans="1:37" x14ac:dyDescent="0.25">
      <c r="A48" s="5" t="s">
        <v>89</v>
      </c>
      <c r="B48" s="5" t="s">
        <v>4</v>
      </c>
      <c r="C48" s="5">
        <v>3</v>
      </c>
      <c r="D48" s="5" t="s">
        <v>260</v>
      </c>
      <c r="E48" s="5" t="s">
        <v>12</v>
      </c>
      <c r="F48" s="5" t="s">
        <v>14</v>
      </c>
      <c r="G48" s="5" t="s">
        <v>116</v>
      </c>
      <c r="H48" s="5" t="s">
        <v>200</v>
      </c>
      <c r="J48" s="5">
        <v>-100</v>
      </c>
      <c r="K48" s="5">
        <v>23</v>
      </c>
      <c r="L48" s="5">
        <v>91</v>
      </c>
      <c r="M48" s="5" t="s">
        <v>43</v>
      </c>
      <c r="N48" s="5">
        <v>-100</v>
      </c>
      <c r="O48" s="5">
        <v>-100</v>
      </c>
      <c r="P48" s="5">
        <v>-100</v>
      </c>
      <c r="Q48" s="5">
        <v>-100</v>
      </c>
      <c r="R48" s="5">
        <v>-100</v>
      </c>
      <c r="S48" s="5">
        <v>-100</v>
      </c>
      <c r="T48" s="5" t="s">
        <v>43</v>
      </c>
      <c r="U48" s="5">
        <v>-100</v>
      </c>
      <c r="V48" s="5" t="s">
        <v>43</v>
      </c>
      <c r="W48" s="5">
        <v>97</v>
      </c>
      <c r="X48" s="5">
        <v>-100</v>
      </c>
      <c r="Y48" s="5">
        <v>26</v>
      </c>
      <c r="Z48" s="5" t="s">
        <v>43</v>
      </c>
      <c r="AA48" s="5">
        <v>-100</v>
      </c>
      <c r="AB48" s="5">
        <v>-100</v>
      </c>
      <c r="AC48" s="5">
        <v>57</v>
      </c>
      <c r="AD48" s="5">
        <v>-100</v>
      </c>
      <c r="AE48" s="5">
        <v>-100</v>
      </c>
      <c r="AF48" s="5" t="s">
        <v>43</v>
      </c>
      <c r="AG48" s="5">
        <v>-100</v>
      </c>
      <c r="AH48" s="5">
        <v>2</v>
      </c>
      <c r="AI48" s="5" t="s">
        <v>43</v>
      </c>
      <c r="AJ48" s="5" t="s">
        <v>43</v>
      </c>
      <c r="AK48" s="5">
        <v>51</v>
      </c>
    </row>
    <row r="49" spans="1:37" x14ac:dyDescent="0.25">
      <c r="A49" s="5" t="s">
        <v>90</v>
      </c>
      <c r="B49" s="5" t="s">
        <v>4</v>
      </c>
      <c r="C49" s="5">
        <v>0</v>
      </c>
      <c r="D49" s="5" t="s">
        <v>112</v>
      </c>
      <c r="E49" s="5" t="s">
        <v>14</v>
      </c>
      <c r="F49" s="5" t="s">
        <v>140</v>
      </c>
      <c r="G49" s="5" t="s">
        <v>134</v>
      </c>
      <c r="H49" s="5" t="s">
        <v>131</v>
      </c>
      <c r="I49" s="5" t="s">
        <v>149</v>
      </c>
      <c r="J49" s="5">
        <v>14</v>
      </c>
      <c r="K49" s="5">
        <v>-100</v>
      </c>
      <c r="L49" s="5">
        <v>-100</v>
      </c>
      <c r="M49" s="5">
        <v>-100</v>
      </c>
      <c r="N49" s="5">
        <v>-100</v>
      </c>
      <c r="O49" s="5" t="s">
        <v>43</v>
      </c>
      <c r="P49" s="5">
        <v>-100</v>
      </c>
      <c r="Q49" s="5">
        <v>-100</v>
      </c>
      <c r="R49" s="5" t="s">
        <v>43</v>
      </c>
      <c r="S49" s="5" t="s">
        <v>43</v>
      </c>
      <c r="T49" s="5">
        <v>-100</v>
      </c>
      <c r="U49" s="5">
        <v>-100</v>
      </c>
      <c r="V49" s="5">
        <v>-100</v>
      </c>
      <c r="W49" s="5">
        <v>-100</v>
      </c>
      <c r="X49" s="5">
        <v>-100</v>
      </c>
      <c r="Y49" s="5" t="s">
        <v>43</v>
      </c>
      <c r="Z49" s="5" t="s">
        <v>43</v>
      </c>
      <c r="AA49" s="5">
        <v>-100</v>
      </c>
      <c r="AB49" s="5">
        <v>15</v>
      </c>
      <c r="AC49" s="5">
        <v>-100</v>
      </c>
      <c r="AD49" s="5">
        <v>90</v>
      </c>
      <c r="AE49" s="5">
        <v>-100</v>
      </c>
      <c r="AF49" s="5">
        <v>37</v>
      </c>
      <c r="AG49" s="5" t="s">
        <v>43</v>
      </c>
      <c r="AH49" s="5">
        <v>20</v>
      </c>
      <c r="AI49" s="5" t="s">
        <v>43</v>
      </c>
      <c r="AJ49" s="5" t="s">
        <v>43</v>
      </c>
      <c r="AK49" s="5">
        <v>69</v>
      </c>
    </row>
    <row r="50" spans="1:37" x14ac:dyDescent="0.25">
      <c r="A50" s="5" t="s">
        <v>91</v>
      </c>
      <c r="B50" s="5" t="s">
        <v>4</v>
      </c>
      <c r="C50" s="5">
        <v>4</v>
      </c>
      <c r="D50" s="5" t="s">
        <v>124</v>
      </c>
      <c r="E50" s="5" t="s">
        <v>129</v>
      </c>
      <c r="F50" s="5" t="s">
        <v>11</v>
      </c>
      <c r="G50" s="5" t="s">
        <v>139</v>
      </c>
      <c r="H50" s="5" t="s">
        <v>93</v>
      </c>
      <c r="J50" s="5" t="s">
        <v>43</v>
      </c>
      <c r="K50" s="5">
        <v>69</v>
      </c>
      <c r="L50" s="5">
        <v>-100</v>
      </c>
      <c r="M50" s="5">
        <v>-100</v>
      </c>
      <c r="N50" s="5" t="s">
        <v>43</v>
      </c>
      <c r="O50" s="5">
        <v>-100</v>
      </c>
      <c r="P50" s="5" t="s">
        <v>43</v>
      </c>
      <c r="Q50" s="5">
        <v>89</v>
      </c>
      <c r="R50" s="5">
        <v>24</v>
      </c>
      <c r="S50" s="5">
        <v>10</v>
      </c>
      <c r="T50" s="5" t="s">
        <v>43</v>
      </c>
      <c r="U50" s="5">
        <v>-100</v>
      </c>
      <c r="V50" s="5">
        <v>18</v>
      </c>
      <c r="W50" s="5">
        <v>-100</v>
      </c>
      <c r="X50" s="5">
        <v>-100</v>
      </c>
      <c r="Y50" s="5">
        <v>-100</v>
      </c>
      <c r="Z50" s="5">
        <v>53</v>
      </c>
      <c r="AA50" s="5">
        <v>-100</v>
      </c>
      <c r="AB50" s="5">
        <v>-100</v>
      </c>
      <c r="AC50" s="5">
        <v>-100</v>
      </c>
      <c r="AD50" s="5" t="s">
        <v>43</v>
      </c>
      <c r="AE50" s="5" t="s">
        <v>43</v>
      </c>
      <c r="AF50" s="5" t="s">
        <v>43</v>
      </c>
      <c r="AG50" s="5">
        <v>71</v>
      </c>
      <c r="AH50" s="5">
        <v>13</v>
      </c>
      <c r="AI50" s="5" t="s">
        <v>43</v>
      </c>
      <c r="AJ50" s="5">
        <v>-100</v>
      </c>
      <c r="AK50" s="5">
        <v>45</v>
      </c>
    </row>
    <row r="51" spans="1:37" x14ac:dyDescent="0.25">
      <c r="A51" s="5" t="s">
        <v>92</v>
      </c>
      <c r="B51" s="5" t="s">
        <v>4</v>
      </c>
      <c r="C51" s="5">
        <v>3</v>
      </c>
      <c r="D51" s="5" t="s">
        <v>156</v>
      </c>
      <c r="E51" s="5" t="s">
        <v>11</v>
      </c>
      <c r="F51" s="5" t="s">
        <v>101</v>
      </c>
      <c r="G51" s="5" t="s">
        <v>151</v>
      </c>
      <c r="H51" s="5" t="s">
        <v>125</v>
      </c>
      <c r="J51" s="5">
        <v>75</v>
      </c>
      <c r="K51" s="5">
        <v>7</v>
      </c>
      <c r="L51" s="5" t="s">
        <v>43</v>
      </c>
      <c r="M51" s="5" t="s">
        <v>43</v>
      </c>
      <c r="N51" s="5">
        <v>-100</v>
      </c>
      <c r="O51" s="5">
        <v>-100</v>
      </c>
      <c r="P51" s="5">
        <v>-100</v>
      </c>
      <c r="Q51" s="5">
        <v>-100</v>
      </c>
      <c r="R51" s="5" t="s">
        <v>43</v>
      </c>
      <c r="S51" s="5" t="s">
        <v>43</v>
      </c>
      <c r="T51" s="5">
        <v>56</v>
      </c>
      <c r="U51" s="5">
        <v>-100</v>
      </c>
      <c r="V51" s="5">
        <v>-100</v>
      </c>
      <c r="W51" s="5">
        <v>-100</v>
      </c>
      <c r="X51" s="5" t="s">
        <v>43</v>
      </c>
      <c r="Y51" s="5">
        <v>91</v>
      </c>
      <c r="Z51" s="5" t="s">
        <v>43</v>
      </c>
      <c r="AA51" s="5">
        <v>-100</v>
      </c>
      <c r="AB51" s="5">
        <v>-100</v>
      </c>
      <c r="AC51" s="5">
        <v>-100</v>
      </c>
      <c r="AD51" s="5" t="s">
        <v>43</v>
      </c>
      <c r="AE51" s="5">
        <v>-100</v>
      </c>
      <c r="AF51" s="5">
        <v>-100</v>
      </c>
      <c r="AG51" s="5" t="s">
        <v>43</v>
      </c>
      <c r="AH51" s="5">
        <v>-100</v>
      </c>
      <c r="AI51" s="5" t="s">
        <v>43</v>
      </c>
      <c r="AJ51" s="5">
        <v>-100</v>
      </c>
      <c r="AK51" s="5">
        <v>-100</v>
      </c>
    </row>
  </sheetData>
  <dataValidations count="2">
    <dataValidation type="list" allowBlank="1" showInputMessage="1" showErrorMessage="1" sqref="B1:B1048576">
      <formula1>"F,P"</formula1>
    </dataValidation>
    <dataValidation type="list" allowBlank="1" showInputMessage="1" showErrorMessage="1" sqref="C1:C1048576">
      <formula1>"0,1,2,3,4"</formula1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0B050"/>
  </sheetPr>
  <dimension ref="A1:AL2"/>
  <sheetViews>
    <sheetView workbookViewId="0"/>
  </sheetViews>
  <sheetFormatPr defaultRowHeight="15" x14ac:dyDescent="0.25"/>
  <cols>
    <col min="1" max="1" width="11.5703125" style="7" customWidth="1"/>
    <col min="2" max="2" width="8.42578125" style="7" customWidth="1"/>
    <col min="3" max="3" width="15.7109375" style="7" customWidth="1"/>
    <col min="4" max="4" width="11" style="7" bestFit="1" customWidth="1"/>
    <col min="5" max="10" width="15" style="7" customWidth="1"/>
    <col min="11" max="19" width="9.85546875" style="7" customWidth="1"/>
    <col min="20" max="38" width="10.85546875" style="7" customWidth="1"/>
    <col min="39" max="16384" width="9.140625" style="7"/>
  </cols>
  <sheetData>
    <row r="1" spans="1:38" s="1" customFormat="1" x14ac:dyDescent="0.25">
      <c r="A1" s="1" t="s">
        <v>197</v>
      </c>
      <c r="B1" s="1" t="s">
        <v>18</v>
      </c>
      <c r="C1" s="1" t="s">
        <v>19</v>
      </c>
      <c r="D1" s="5" t="s">
        <v>247</v>
      </c>
      <c r="E1" s="1" t="s">
        <v>20</v>
      </c>
      <c r="F1" s="1" t="s">
        <v>21</v>
      </c>
      <c r="G1" s="1" t="s">
        <v>22</v>
      </c>
      <c r="H1" s="1" t="s">
        <v>23</v>
      </c>
      <c r="I1" s="1" t="s">
        <v>162</v>
      </c>
      <c r="J1" s="1" t="s">
        <v>163</v>
      </c>
      <c r="K1" s="1" t="s">
        <v>164</v>
      </c>
      <c r="L1" s="1" t="s">
        <v>165</v>
      </c>
      <c r="M1" s="1" t="s">
        <v>166</v>
      </c>
      <c r="N1" s="1" t="s">
        <v>167</v>
      </c>
      <c r="O1" s="1" t="s">
        <v>168</v>
      </c>
      <c r="P1" s="1" t="s">
        <v>169</v>
      </c>
      <c r="Q1" s="1" t="s">
        <v>170</v>
      </c>
      <c r="R1" s="1" t="s">
        <v>171</v>
      </c>
      <c r="S1" s="1" t="s">
        <v>172</v>
      </c>
      <c r="T1" s="1" t="s">
        <v>173</v>
      </c>
      <c r="U1" s="1" t="s">
        <v>174</v>
      </c>
      <c r="V1" s="1" t="s">
        <v>175</v>
      </c>
      <c r="W1" s="1" t="s">
        <v>176</v>
      </c>
      <c r="X1" s="1" t="s">
        <v>177</v>
      </c>
      <c r="Y1" s="1" t="s">
        <v>178</v>
      </c>
      <c r="Z1" s="1" t="s">
        <v>179</v>
      </c>
      <c r="AA1" s="1" t="s">
        <v>180</v>
      </c>
      <c r="AB1" s="1" t="s">
        <v>181</v>
      </c>
      <c r="AC1" s="1" t="s">
        <v>182</v>
      </c>
      <c r="AD1" s="1" t="s">
        <v>183</v>
      </c>
      <c r="AE1" s="1" t="s">
        <v>184</v>
      </c>
      <c r="AF1" s="1" t="s">
        <v>185</v>
      </c>
      <c r="AG1" s="1" t="s">
        <v>186</v>
      </c>
      <c r="AH1" s="1" t="s">
        <v>187</v>
      </c>
      <c r="AI1" s="1" t="s">
        <v>188</v>
      </c>
      <c r="AJ1" s="1" t="s">
        <v>189</v>
      </c>
      <c r="AK1" s="1" t="s">
        <v>190</v>
      </c>
      <c r="AL1" s="1" t="s">
        <v>191</v>
      </c>
    </row>
    <row r="2" spans="1:38" s="8" customFormat="1" x14ac:dyDescent="0.25">
      <c r="A2" s="8">
        <v>-1</v>
      </c>
      <c r="B2" s="8" t="s">
        <v>24</v>
      </c>
      <c r="C2" s="8" t="s">
        <v>4</v>
      </c>
      <c r="D2" s="8">
        <v>3</v>
      </c>
      <c r="E2" s="8" t="s">
        <v>199</v>
      </c>
      <c r="F2" s="8" t="s">
        <v>200</v>
      </c>
      <c r="G2" s="8" t="s">
        <v>201</v>
      </c>
      <c r="K2" s="8">
        <v>30</v>
      </c>
      <c r="L2" s="8">
        <v>30</v>
      </c>
      <c r="M2" s="8">
        <v>30</v>
      </c>
      <c r="N2" s="8">
        <v>10</v>
      </c>
      <c r="AA2" s="8">
        <v>-100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C106"/>
  <sheetViews>
    <sheetView workbookViewId="0">
      <selection activeCell="D15" sqref="D15"/>
    </sheetView>
  </sheetViews>
  <sheetFormatPr defaultRowHeight="15" x14ac:dyDescent="0.25"/>
  <cols>
    <col min="1" max="1" width="11.7109375" style="2" bestFit="1" customWidth="1"/>
    <col min="2" max="2" width="12.28515625" style="2" bestFit="1" customWidth="1"/>
    <col min="3" max="3" width="10.28515625" style="2" bestFit="1" customWidth="1"/>
  </cols>
  <sheetData>
    <row r="1" spans="1:3" x14ac:dyDescent="0.25">
      <c r="A1" s="3" t="s">
        <v>41</v>
      </c>
      <c r="B1" s="3" t="s">
        <v>1</v>
      </c>
      <c r="C1" s="3" t="s">
        <v>2</v>
      </c>
    </row>
    <row r="2" spans="1:3" x14ac:dyDescent="0.25">
      <c r="A2" s="2" t="s">
        <v>199</v>
      </c>
      <c r="B2" s="2">
        <v>100</v>
      </c>
      <c r="C2" s="2" t="s">
        <v>3</v>
      </c>
    </row>
    <row r="3" spans="1:3" x14ac:dyDescent="0.25">
      <c r="A3" s="2" t="s">
        <v>199</v>
      </c>
      <c r="B3" s="2">
        <v>200</v>
      </c>
      <c r="C3" s="2" t="s">
        <v>3</v>
      </c>
    </row>
    <row r="4" spans="1:3" x14ac:dyDescent="0.25">
      <c r="A4" s="2" t="s">
        <v>199</v>
      </c>
      <c r="B4" s="2">
        <v>300</v>
      </c>
      <c r="C4" s="2" t="s">
        <v>3</v>
      </c>
    </row>
    <row r="5" spans="1:3" x14ac:dyDescent="0.25">
      <c r="A5" s="2" t="s">
        <v>199</v>
      </c>
      <c r="B5" s="2">
        <v>400</v>
      </c>
      <c r="C5" s="2" t="s">
        <v>3</v>
      </c>
    </row>
    <row r="6" spans="1:3" x14ac:dyDescent="0.25">
      <c r="A6" s="2" t="s">
        <v>200</v>
      </c>
      <c r="B6" s="2">
        <v>100</v>
      </c>
      <c r="C6" s="2" t="s">
        <v>3</v>
      </c>
    </row>
    <row r="7" spans="1:3" x14ac:dyDescent="0.25">
      <c r="A7" s="2" t="s">
        <v>200</v>
      </c>
      <c r="B7" s="2">
        <v>200</v>
      </c>
      <c r="C7" s="2" t="s">
        <v>3</v>
      </c>
    </row>
    <row r="8" spans="1:3" x14ac:dyDescent="0.25">
      <c r="A8" s="6" t="s">
        <v>200</v>
      </c>
      <c r="B8" s="6">
        <v>300</v>
      </c>
      <c r="C8" s="6" t="s">
        <v>3</v>
      </c>
    </row>
    <row r="9" spans="1:3" x14ac:dyDescent="0.25">
      <c r="A9" s="6" t="s">
        <v>200</v>
      </c>
      <c r="B9" s="6">
        <v>400</v>
      </c>
      <c r="C9" s="6" t="s">
        <v>3</v>
      </c>
    </row>
    <row r="10" spans="1:3" x14ac:dyDescent="0.25">
      <c r="A10" s="2" t="s">
        <v>201</v>
      </c>
      <c r="B10" s="2">
        <v>100</v>
      </c>
      <c r="C10" s="2" t="s">
        <v>3</v>
      </c>
    </row>
    <row r="11" spans="1:3" x14ac:dyDescent="0.25">
      <c r="A11" s="6" t="s">
        <v>201</v>
      </c>
      <c r="B11" s="6">
        <v>200</v>
      </c>
      <c r="C11" s="6" t="s">
        <v>3</v>
      </c>
    </row>
    <row r="12" spans="1:3" x14ac:dyDescent="0.25">
      <c r="A12" s="6" t="s">
        <v>201</v>
      </c>
      <c r="B12" s="6">
        <v>300</v>
      </c>
      <c r="C12" s="6" t="s">
        <v>3</v>
      </c>
    </row>
    <row r="13" spans="1:3" x14ac:dyDescent="0.25">
      <c r="A13" s="2" t="s">
        <v>201</v>
      </c>
      <c r="B13" s="2">
        <v>400</v>
      </c>
      <c r="C13" s="2" t="s">
        <v>3</v>
      </c>
    </row>
    <row r="14" spans="1:3" x14ac:dyDescent="0.25">
      <c r="A14" s="2" t="s">
        <v>259</v>
      </c>
      <c r="B14" s="2">
        <v>100</v>
      </c>
      <c r="C14" s="2" t="s">
        <v>3</v>
      </c>
    </row>
    <row r="15" spans="1:3" x14ac:dyDescent="0.25">
      <c r="A15" s="6" t="s">
        <v>259</v>
      </c>
      <c r="B15" s="6">
        <v>200</v>
      </c>
      <c r="C15" s="6" t="s">
        <v>3</v>
      </c>
    </row>
    <row r="16" spans="1:3" x14ac:dyDescent="0.25">
      <c r="A16" s="6" t="s">
        <v>259</v>
      </c>
      <c r="B16" s="6">
        <v>300</v>
      </c>
      <c r="C16" s="6" t="s">
        <v>3</v>
      </c>
    </row>
    <row r="17" spans="1:3" x14ac:dyDescent="0.25">
      <c r="A17" s="2" t="s">
        <v>259</v>
      </c>
      <c r="B17" s="2">
        <v>400</v>
      </c>
      <c r="C17" s="2" t="s">
        <v>3</v>
      </c>
    </row>
    <row r="18" spans="1:3" x14ac:dyDescent="0.25">
      <c r="A18" s="2" t="s">
        <v>260</v>
      </c>
      <c r="B18" s="2">
        <v>100</v>
      </c>
      <c r="C18" s="2" t="s">
        <v>3</v>
      </c>
    </row>
    <row r="19" spans="1:3" x14ac:dyDescent="0.25">
      <c r="A19" s="2" t="s">
        <v>260</v>
      </c>
      <c r="B19" s="2">
        <v>200</v>
      </c>
      <c r="C19" s="2" t="s">
        <v>3</v>
      </c>
    </row>
    <row r="20" spans="1:3" x14ac:dyDescent="0.25">
      <c r="A20" s="2" t="s">
        <v>260</v>
      </c>
      <c r="B20" s="2">
        <v>300</v>
      </c>
      <c r="C20" s="2" t="s">
        <v>3</v>
      </c>
    </row>
    <row r="21" spans="1:3" x14ac:dyDescent="0.25">
      <c r="A21" s="2" t="s">
        <v>260</v>
      </c>
      <c r="B21" s="2">
        <v>400</v>
      </c>
      <c r="C21" s="2" t="s">
        <v>3</v>
      </c>
    </row>
    <row r="22" spans="1:3" x14ac:dyDescent="0.25">
      <c r="A22" s="2" t="s">
        <v>6</v>
      </c>
      <c r="B22" s="2">
        <v>100</v>
      </c>
      <c r="C22" s="2" t="s">
        <v>5</v>
      </c>
    </row>
    <row r="23" spans="1:3" x14ac:dyDescent="0.25">
      <c r="A23" s="2" t="s">
        <v>7</v>
      </c>
      <c r="B23" s="2">
        <v>100</v>
      </c>
      <c r="C23" s="2" t="s">
        <v>5</v>
      </c>
    </row>
    <row r="24" spans="1:3" x14ac:dyDescent="0.25">
      <c r="A24" s="2" t="s">
        <v>8</v>
      </c>
      <c r="B24" s="2">
        <v>100</v>
      </c>
      <c r="C24" s="2" t="s">
        <v>5</v>
      </c>
    </row>
    <row r="25" spans="1:3" x14ac:dyDescent="0.25">
      <c r="A25" s="2" t="s">
        <v>9</v>
      </c>
      <c r="B25" s="2">
        <v>100</v>
      </c>
      <c r="C25" s="2" t="s">
        <v>5</v>
      </c>
    </row>
    <row r="26" spans="1:3" x14ac:dyDescent="0.25">
      <c r="A26" s="2" t="s">
        <v>10</v>
      </c>
      <c r="B26" s="2">
        <v>100</v>
      </c>
      <c r="C26" s="2" t="s">
        <v>5</v>
      </c>
    </row>
    <row r="27" spans="1:3" x14ac:dyDescent="0.25">
      <c r="A27" s="2" t="s">
        <v>11</v>
      </c>
      <c r="B27" s="2">
        <v>100</v>
      </c>
      <c r="C27" s="2" t="s">
        <v>5</v>
      </c>
    </row>
    <row r="28" spans="1:3" x14ac:dyDescent="0.25">
      <c r="A28" s="2" t="s">
        <v>12</v>
      </c>
      <c r="B28" s="2">
        <v>100</v>
      </c>
      <c r="C28" s="2" t="s">
        <v>5</v>
      </c>
    </row>
    <row r="29" spans="1:3" x14ac:dyDescent="0.25">
      <c r="A29" s="2" t="s">
        <v>13</v>
      </c>
      <c r="B29" s="2">
        <v>100</v>
      </c>
      <c r="C29" s="2" t="s">
        <v>5</v>
      </c>
    </row>
    <row r="30" spans="1:3" x14ac:dyDescent="0.25">
      <c r="A30" s="2" t="s">
        <v>14</v>
      </c>
      <c r="B30" s="2">
        <v>100</v>
      </c>
      <c r="C30" s="2" t="s">
        <v>5</v>
      </c>
    </row>
    <row r="31" spans="1:3" x14ac:dyDescent="0.25">
      <c r="A31" s="2" t="s">
        <v>15</v>
      </c>
      <c r="B31" s="2">
        <v>100</v>
      </c>
      <c r="C31" s="2" t="s">
        <v>5</v>
      </c>
    </row>
    <row r="32" spans="1:3" x14ac:dyDescent="0.25">
      <c r="A32" s="2" t="s">
        <v>16</v>
      </c>
      <c r="B32" s="2">
        <v>100</v>
      </c>
      <c r="C32" s="2" t="s">
        <v>5</v>
      </c>
    </row>
    <row r="33" spans="1:3" x14ac:dyDescent="0.25">
      <c r="A33" s="2" t="s">
        <v>17</v>
      </c>
      <c r="B33" s="2">
        <v>100</v>
      </c>
      <c r="C33" s="2" t="s">
        <v>5</v>
      </c>
    </row>
    <row r="34" spans="1:3" x14ac:dyDescent="0.25">
      <c r="A34" s="2" t="s">
        <v>93</v>
      </c>
      <c r="B34" s="2">
        <v>100</v>
      </c>
      <c r="C34" s="2" t="s">
        <v>3</v>
      </c>
    </row>
    <row r="35" spans="1:3" x14ac:dyDescent="0.25">
      <c r="A35" s="2" t="s">
        <v>94</v>
      </c>
      <c r="B35" s="2">
        <v>100</v>
      </c>
      <c r="C35" s="2" t="s">
        <v>3</v>
      </c>
    </row>
    <row r="36" spans="1:3" x14ac:dyDescent="0.25">
      <c r="A36" s="2" t="s">
        <v>95</v>
      </c>
      <c r="B36" s="2">
        <v>100</v>
      </c>
      <c r="C36" s="2" t="s">
        <v>3</v>
      </c>
    </row>
    <row r="37" spans="1:3" x14ac:dyDescent="0.25">
      <c r="A37" s="2" t="s">
        <v>96</v>
      </c>
      <c r="B37" s="2">
        <v>100</v>
      </c>
      <c r="C37" s="2" t="s">
        <v>3</v>
      </c>
    </row>
    <row r="38" spans="1:3" x14ac:dyDescent="0.25">
      <c r="A38" s="2" t="s">
        <v>97</v>
      </c>
      <c r="B38" s="2">
        <v>100</v>
      </c>
      <c r="C38" s="2" t="s">
        <v>3</v>
      </c>
    </row>
    <row r="39" spans="1:3" x14ac:dyDescent="0.25">
      <c r="A39" s="2" t="s">
        <v>98</v>
      </c>
      <c r="B39" s="2">
        <v>100</v>
      </c>
      <c r="C39" s="2" t="s">
        <v>3</v>
      </c>
    </row>
    <row r="40" spans="1:3" x14ac:dyDescent="0.25">
      <c r="A40" s="2" t="s">
        <v>99</v>
      </c>
      <c r="B40" s="2">
        <v>100</v>
      </c>
      <c r="C40" s="2" t="s">
        <v>3</v>
      </c>
    </row>
    <row r="41" spans="1:3" x14ac:dyDescent="0.25">
      <c r="A41" s="2" t="s">
        <v>100</v>
      </c>
      <c r="B41" s="2">
        <v>100</v>
      </c>
      <c r="C41" s="2" t="s">
        <v>3</v>
      </c>
    </row>
    <row r="42" spans="1:3" x14ac:dyDescent="0.25">
      <c r="A42" s="2" t="s">
        <v>101</v>
      </c>
      <c r="B42" s="2">
        <v>100</v>
      </c>
      <c r="C42" s="2" t="s">
        <v>3</v>
      </c>
    </row>
    <row r="43" spans="1:3" x14ac:dyDescent="0.25">
      <c r="A43" s="2" t="s">
        <v>102</v>
      </c>
      <c r="B43" s="2">
        <v>100</v>
      </c>
      <c r="C43" s="2" t="s">
        <v>3</v>
      </c>
    </row>
    <row r="44" spans="1:3" x14ac:dyDescent="0.25">
      <c r="A44" s="2" t="s">
        <v>103</v>
      </c>
      <c r="B44" s="2">
        <v>100</v>
      </c>
      <c r="C44" s="2" t="s">
        <v>3</v>
      </c>
    </row>
    <row r="45" spans="1:3" x14ac:dyDescent="0.25">
      <c r="A45" s="2" t="s">
        <v>104</v>
      </c>
      <c r="B45" s="2">
        <v>100</v>
      </c>
      <c r="C45" s="2" t="s">
        <v>3</v>
      </c>
    </row>
    <row r="46" spans="1:3" x14ac:dyDescent="0.25">
      <c r="A46" s="2" t="s">
        <v>105</v>
      </c>
      <c r="B46" s="2">
        <v>100</v>
      </c>
      <c r="C46" s="2" t="s">
        <v>3</v>
      </c>
    </row>
    <row r="47" spans="1:3" x14ac:dyDescent="0.25">
      <c r="A47" s="2" t="s">
        <v>106</v>
      </c>
      <c r="B47" s="2">
        <v>100</v>
      </c>
      <c r="C47" s="2" t="s">
        <v>3</v>
      </c>
    </row>
    <row r="48" spans="1:3" x14ac:dyDescent="0.25">
      <c r="A48" s="2" t="s">
        <v>107</v>
      </c>
      <c r="B48" s="2">
        <v>100</v>
      </c>
      <c r="C48" s="2" t="s">
        <v>3</v>
      </c>
    </row>
    <row r="49" spans="1:3" x14ac:dyDescent="0.25">
      <c r="A49" s="2" t="s">
        <v>108</v>
      </c>
      <c r="B49" s="2">
        <v>100</v>
      </c>
      <c r="C49" s="2" t="s">
        <v>3</v>
      </c>
    </row>
    <row r="50" spans="1:3" x14ac:dyDescent="0.25">
      <c r="A50" s="2" t="s">
        <v>109</v>
      </c>
      <c r="B50" s="2">
        <v>100</v>
      </c>
      <c r="C50" s="2" t="s">
        <v>3</v>
      </c>
    </row>
    <row r="51" spans="1:3" x14ac:dyDescent="0.25">
      <c r="A51" s="2" t="s">
        <v>110</v>
      </c>
      <c r="B51" s="2">
        <v>100</v>
      </c>
      <c r="C51" s="2" t="s">
        <v>3</v>
      </c>
    </row>
    <row r="52" spans="1:3" x14ac:dyDescent="0.25">
      <c r="A52" s="2" t="s">
        <v>111</v>
      </c>
      <c r="B52" s="2">
        <v>100</v>
      </c>
      <c r="C52" s="2" t="s">
        <v>3</v>
      </c>
    </row>
    <row r="53" spans="1:3" x14ac:dyDescent="0.25">
      <c r="A53" s="2" t="s">
        <v>112</v>
      </c>
      <c r="B53" s="2">
        <v>100</v>
      </c>
      <c r="C53" s="2" t="s">
        <v>3</v>
      </c>
    </row>
    <row r="54" spans="1:3" x14ac:dyDescent="0.25">
      <c r="A54" s="2" t="s">
        <v>113</v>
      </c>
      <c r="B54" s="2">
        <v>100</v>
      </c>
      <c r="C54" s="2" t="s">
        <v>3</v>
      </c>
    </row>
    <row r="55" spans="1:3" x14ac:dyDescent="0.25">
      <c r="A55" s="2" t="s">
        <v>114</v>
      </c>
      <c r="B55" s="2">
        <v>100</v>
      </c>
      <c r="C55" s="2" t="s">
        <v>3</v>
      </c>
    </row>
    <row r="56" spans="1:3" x14ac:dyDescent="0.25">
      <c r="A56" s="2" t="s">
        <v>115</v>
      </c>
      <c r="B56" s="2">
        <v>100</v>
      </c>
      <c r="C56" s="2" t="s">
        <v>3</v>
      </c>
    </row>
    <row r="57" spans="1:3" x14ac:dyDescent="0.25">
      <c r="A57" s="2" t="s">
        <v>116</v>
      </c>
      <c r="B57" s="2">
        <v>100</v>
      </c>
      <c r="C57" s="2" t="s">
        <v>3</v>
      </c>
    </row>
    <row r="58" spans="1:3" x14ac:dyDescent="0.25">
      <c r="A58" s="2" t="s">
        <v>117</v>
      </c>
      <c r="B58" s="2">
        <v>100</v>
      </c>
      <c r="C58" s="2" t="s">
        <v>3</v>
      </c>
    </row>
    <row r="59" spans="1:3" x14ac:dyDescent="0.25">
      <c r="A59" s="2" t="s">
        <v>118</v>
      </c>
      <c r="B59" s="2">
        <v>100</v>
      </c>
      <c r="C59" s="2" t="s">
        <v>3</v>
      </c>
    </row>
    <row r="60" spans="1:3" x14ac:dyDescent="0.25">
      <c r="A60" s="2" t="s">
        <v>119</v>
      </c>
      <c r="B60" s="2">
        <v>100</v>
      </c>
      <c r="C60" s="2" t="s">
        <v>3</v>
      </c>
    </row>
    <row r="61" spans="1:3" x14ac:dyDescent="0.25">
      <c r="A61" s="2" t="s">
        <v>120</v>
      </c>
      <c r="B61" s="2">
        <v>100</v>
      </c>
      <c r="C61" s="2" t="s">
        <v>3</v>
      </c>
    </row>
    <row r="62" spans="1:3" x14ac:dyDescent="0.25">
      <c r="A62" s="2" t="s">
        <v>121</v>
      </c>
      <c r="B62" s="2">
        <v>100</v>
      </c>
      <c r="C62" s="2" t="s">
        <v>3</v>
      </c>
    </row>
    <row r="63" spans="1:3" x14ac:dyDescent="0.25">
      <c r="A63" s="2" t="s">
        <v>122</v>
      </c>
      <c r="B63" s="2">
        <v>100</v>
      </c>
      <c r="C63" s="2" t="s">
        <v>3</v>
      </c>
    </row>
    <row r="64" spans="1:3" x14ac:dyDescent="0.25">
      <c r="A64" s="2" t="s">
        <v>123</v>
      </c>
      <c r="B64" s="2">
        <v>100</v>
      </c>
      <c r="C64" s="2" t="s">
        <v>3</v>
      </c>
    </row>
    <row r="65" spans="1:3" x14ac:dyDescent="0.25">
      <c r="A65" s="2" t="s">
        <v>124</v>
      </c>
      <c r="B65" s="2">
        <v>100</v>
      </c>
      <c r="C65" s="2" t="s">
        <v>3</v>
      </c>
    </row>
    <row r="66" spans="1:3" x14ac:dyDescent="0.25">
      <c r="A66" s="2" t="s">
        <v>125</v>
      </c>
      <c r="B66" s="2">
        <v>100</v>
      </c>
      <c r="C66" s="2" t="s">
        <v>3</v>
      </c>
    </row>
    <row r="67" spans="1:3" x14ac:dyDescent="0.25">
      <c r="A67" s="2" t="s">
        <v>126</v>
      </c>
      <c r="B67" s="2">
        <v>100</v>
      </c>
      <c r="C67" s="2" t="s">
        <v>3</v>
      </c>
    </row>
    <row r="68" spans="1:3" x14ac:dyDescent="0.25">
      <c r="A68" s="2" t="s">
        <v>127</v>
      </c>
      <c r="B68" s="2">
        <v>100</v>
      </c>
      <c r="C68" s="2" t="s">
        <v>3</v>
      </c>
    </row>
    <row r="69" spans="1:3" x14ac:dyDescent="0.25">
      <c r="A69" s="2" t="s">
        <v>128</v>
      </c>
      <c r="B69" s="2">
        <v>100</v>
      </c>
      <c r="C69" s="2" t="s">
        <v>3</v>
      </c>
    </row>
    <row r="70" spans="1:3" x14ac:dyDescent="0.25">
      <c r="A70" s="2" t="s">
        <v>129</v>
      </c>
      <c r="B70" s="2">
        <v>100</v>
      </c>
      <c r="C70" s="2" t="s">
        <v>3</v>
      </c>
    </row>
    <row r="71" spans="1:3" x14ac:dyDescent="0.25">
      <c r="A71" s="2" t="s">
        <v>130</v>
      </c>
      <c r="B71" s="2">
        <v>100</v>
      </c>
      <c r="C71" s="2" t="s">
        <v>3</v>
      </c>
    </row>
    <row r="72" spans="1:3" x14ac:dyDescent="0.25">
      <c r="A72" s="2" t="s">
        <v>131</v>
      </c>
      <c r="B72" s="2">
        <v>100</v>
      </c>
      <c r="C72" s="2" t="s">
        <v>3</v>
      </c>
    </row>
    <row r="73" spans="1:3" x14ac:dyDescent="0.25">
      <c r="A73" s="2" t="s">
        <v>132</v>
      </c>
      <c r="B73" s="2">
        <v>100</v>
      </c>
      <c r="C73" s="2" t="s">
        <v>3</v>
      </c>
    </row>
    <row r="74" spans="1:3" x14ac:dyDescent="0.25">
      <c r="A74" s="2" t="s">
        <v>133</v>
      </c>
      <c r="B74" s="2">
        <v>100</v>
      </c>
      <c r="C74" s="2" t="s">
        <v>3</v>
      </c>
    </row>
    <row r="75" spans="1:3" x14ac:dyDescent="0.25">
      <c r="A75" s="2" t="s">
        <v>134</v>
      </c>
      <c r="B75" s="2">
        <v>100</v>
      </c>
      <c r="C75" s="2" t="s">
        <v>3</v>
      </c>
    </row>
    <row r="76" spans="1:3" x14ac:dyDescent="0.25">
      <c r="A76" s="2" t="s">
        <v>135</v>
      </c>
      <c r="B76" s="2">
        <v>100</v>
      </c>
      <c r="C76" s="2" t="s">
        <v>3</v>
      </c>
    </row>
    <row r="77" spans="1:3" x14ac:dyDescent="0.25">
      <c r="A77" s="2" t="s">
        <v>136</v>
      </c>
      <c r="B77" s="2">
        <v>100</v>
      </c>
      <c r="C77" s="2" t="s">
        <v>3</v>
      </c>
    </row>
    <row r="78" spans="1:3" x14ac:dyDescent="0.25">
      <c r="A78" s="2" t="s">
        <v>137</v>
      </c>
      <c r="B78" s="2">
        <v>100</v>
      </c>
      <c r="C78" s="2" t="s">
        <v>3</v>
      </c>
    </row>
    <row r="79" spans="1:3" x14ac:dyDescent="0.25">
      <c r="A79" s="2" t="s">
        <v>138</v>
      </c>
      <c r="B79" s="2">
        <v>100</v>
      </c>
      <c r="C79" s="2" t="s">
        <v>3</v>
      </c>
    </row>
    <row r="80" spans="1:3" x14ac:dyDescent="0.25">
      <c r="A80" s="2" t="s">
        <v>139</v>
      </c>
      <c r="B80" s="2">
        <v>100</v>
      </c>
      <c r="C80" s="2" t="s">
        <v>3</v>
      </c>
    </row>
    <row r="81" spans="1:3" x14ac:dyDescent="0.25">
      <c r="A81" s="2" t="s">
        <v>140</v>
      </c>
      <c r="B81" s="2">
        <v>100</v>
      </c>
      <c r="C81" s="2" t="s">
        <v>3</v>
      </c>
    </row>
    <row r="82" spans="1:3" x14ac:dyDescent="0.25">
      <c r="A82" s="2" t="s">
        <v>141</v>
      </c>
      <c r="B82" s="2">
        <v>100</v>
      </c>
      <c r="C82" s="2" t="s">
        <v>3</v>
      </c>
    </row>
    <row r="83" spans="1:3" x14ac:dyDescent="0.25">
      <c r="A83" s="2" t="s">
        <v>142</v>
      </c>
      <c r="B83" s="2">
        <v>100</v>
      </c>
      <c r="C83" s="2" t="s">
        <v>3</v>
      </c>
    </row>
    <row r="84" spans="1:3" x14ac:dyDescent="0.25">
      <c r="A84" s="2" t="s">
        <v>143</v>
      </c>
      <c r="B84" s="2">
        <v>100</v>
      </c>
      <c r="C84" s="2" t="s">
        <v>3</v>
      </c>
    </row>
    <row r="85" spans="1:3" x14ac:dyDescent="0.25">
      <c r="A85" s="2" t="s">
        <v>144</v>
      </c>
      <c r="B85" s="2">
        <v>100</v>
      </c>
      <c r="C85" s="2" t="s">
        <v>3</v>
      </c>
    </row>
    <row r="86" spans="1:3" x14ac:dyDescent="0.25">
      <c r="A86" s="2" t="s">
        <v>145</v>
      </c>
      <c r="B86" s="2">
        <v>100</v>
      </c>
      <c r="C86" s="2" t="s">
        <v>3</v>
      </c>
    </row>
    <row r="87" spans="1:3" x14ac:dyDescent="0.25">
      <c r="A87" s="2" t="s">
        <v>146</v>
      </c>
      <c r="B87" s="2">
        <v>100</v>
      </c>
      <c r="C87" s="2" t="s">
        <v>3</v>
      </c>
    </row>
    <row r="88" spans="1:3" x14ac:dyDescent="0.25">
      <c r="A88" s="2" t="s">
        <v>147</v>
      </c>
      <c r="B88" s="2">
        <v>100</v>
      </c>
      <c r="C88" s="2" t="s">
        <v>3</v>
      </c>
    </row>
    <row r="89" spans="1:3" x14ac:dyDescent="0.25">
      <c r="A89" s="2" t="s">
        <v>148</v>
      </c>
      <c r="B89" s="2">
        <v>100</v>
      </c>
      <c r="C89" s="2" t="s">
        <v>3</v>
      </c>
    </row>
    <row r="90" spans="1:3" x14ac:dyDescent="0.25">
      <c r="A90" s="2" t="s">
        <v>149</v>
      </c>
      <c r="B90" s="2">
        <v>100</v>
      </c>
      <c r="C90" s="2" t="s">
        <v>3</v>
      </c>
    </row>
    <row r="91" spans="1:3" x14ac:dyDescent="0.25">
      <c r="A91" s="2" t="s">
        <v>150</v>
      </c>
      <c r="B91" s="2">
        <v>100</v>
      </c>
      <c r="C91" s="2" t="s">
        <v>3</v>
      </c>
    </row>
    <row r="92" spans="1:3" x14ac:dyDescent="0.25">
      <c r="A92" s="2" t="s">
        <v>151</v>
      </c>
      <c r="B92" s="2">
        <v>100</v>
      </c>
      <c r="C92" s="2" t="s">
        <v>3</v>
      </c>
    </row>
    <row r="93" spans="1:3" x14ac:dyDescent="0.25">
      <c r="A93" s="2" t="s">
        <v>152</v>
      </c>
      <c r="B93" s="2">
        <v>100</v>
      </c>
      <c r="C93" s="2" t="s">
        <v>3</v>
      </c>
    </row>
    <row r="94" spans="1:3" x14ac:dyDescent="0.25">
      <c r="A94" s="2" t="s">
        <v>153</v>
      </c>
      <c r="B94" s="2">
        <v>100</v>
      </c>
      <c r="C94" s="2" t="s">
        <v>3</v>
      </c>
    </row>
    <row r="95" spans="1:3" x14ac:dyDescent="0.25">
      <c r="A95" s="2" t="s">
        <v>154</v>
      </c>
      <c r="B95" s="2">
        <v>100</v>
      </c>
      <c r="C95" s="2" t="s">
        <v>3</v>
      </c>
    </row>
    <row r="96" spans="1:3" x14ac:dyDescent="0.25">
      <c r="A96" s="2" t="s">
        <v>155</v>
      </c>
      <c r="B96" s="2">
        <v>100</v>
      </c>
      <c r="C96" s="2" t="s">
        <v>3</v>
      </c>
    </row>
    <row r="97" spans="1:3" x14ac:dyDescent="0.25">
      <c r="A97" s="2" t="s">
        <v>156</v>
      </c>
      <c r="B97" s="2">
        <v>100</v>
      </c>
      <c r="C97" s="2" t="s">
        <v>3</v>
      </c>
    </row>
    <row r="98" spans="1:3" x14ac:dyDescent="0.25">
      <c r="A98" s="2" t="s">
        <v>157</v>
      </c>
      <c r="B98" s="2">
        <v>100</v>
      </c>
      <c r="C98" s="2" t="s">
        <v>3</v>
      </c>
    </row>
    <row r="99" spans="1:3" x14ac:dyDescent="0.25">
      <c r="A99" s="2" t="s">
        <v>158</v>
      </c>
      <c r="B99" s="2">
        <v>100</v>
      </c>
      <c r="C99" s="2" t="s">
        <v>3</v>
      </c>
    </row>
    <row r="100" spans="1:3" x14ac:dyDescent="0.25">
      <c r="A100" s="2" t="s">
        <v>159</v>
      </c>
      <c r="B100" s="2">
        <v>100</v>
      </c>
      <c r="C100" s="2" t="s">
        <v>3</v>
      </c>
    </row>
    <row r="101" spans="1:3" x14ac:dyDescent="0.25">
      <c r="A101" s="2" t="s">
        <v>93</v>
      </c>
      <c r="B101" s="2">
        <v>200</v>
      </c>
      <c r="C101" s="2" t="s">
        <v>3</v>
      </c>
    </row>
    <row r="102" spans="1:3" x14ac:dyDescent="0.25">
      <c r="A102" s="2" t="s">
        <v>94</v>
      </c>
      <c r="B102" s="2">
        <v>200</v>
      </c>
      <c r="C102" s="2" t="s">
        <v>3</v>
      </c>
    </row>
    <row r="103" spans="1:3" x14ac:dyDescent="0.25">
      <c r="A103" s="2" t="s">
        <v>95</v>
      </c>
      <c r="B103" s="2">
        <v>200</v>
      </c>
      <c r="C103" s="2" t="s">
        <v>3</v>
      </c>
    </row>
    <row r="104" spans="1:3" x14ac:dyDescent="0.25">
      <c r="A104" s="2" t="s">
        <v>93</v>
      </c>
      <c r="B104" s="2">
        <v>300</v>
      </c>
      <c r="C104" s="2" t="s">
        <v>3</v>
      </c>
    </row>
    <row r="105" spans="1:3" x14ac:dyDescent="0.25">
      <c r="A105" s="2" t="s">
        <v>94</v>
      </c>
      <c r="B105" s="2">
        <v>300</v>
      </c>
      <c r="C105" s="2" t="s">
        <v>3</v>
      </c>
    </row>
    <row r="106" spans="1:3" x14ac:dyDescent="0.25">
      <c r="A106" s="2" t="s">
        <v>95</v>
      </c>
      <c r="B106" s="2">
        <v>300</v>
      </c>
      <c r="C106" s="2" t="s">
        <v>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FacultyAssignments.FacultyAssignments">
                <anchor mov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581025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E18"/>
  <sheetViews>
    <sheetView workbookViewId="0">
      <pane xSplit="1" ySplit="1" topLeftCell="B2" activePane="bottomRight" state="frozen"/>
      <selection activeCell="I14" sqref="I14"/>
      <selection pane="topRight" activeCell="I14" sqref="I14"/>
      <selection pane="bottomLeft" activeCell="I14" sqref="I14"/>
      <selection pane="bottomRight"/>
    </sheetView>
  </sheetViews>
  <sheetFormatPr defaultRowHeight="15" x14ac:dyDescent="0.25"/>
  <cols>
    <col min="1" max="1" width="10.42578125" bestFit="1" customWidth="1"/>
    <col min="2" max="5" width="2" bestFit="1" customWidth="1"/>
  </cols>
  <sheetData>
    <row r="1" spans="1:5" x14ac:dyDescent="0.25">
      <c r="A1" t="s">
        <v>44</v>
      </c>
      <c r="B1">
        <v>1</v>
      </c>
      <c r="C1">
        <v>2</v>
      </c>
      <c r="D1">
        <v>3</v>
      </c>
      <c r="E1">
        <v>4</v>
      </c>
    </row>
    <row r="2" spans="1:5" x14ac:dyDescent="0.25">
      <c r="A2" t="s">
        <v>199</v>
      </c>
      <c r="C2">
        <v>2</v>
      </c>
    </row>
    <row r="3" spans="1:5" x14ac:dyDescent="0.25">
      <c r="A3" t="s">
        <v>200</v>
      </c>
      <c r="B3">
        <v>1</v>
      </c>
    </row>
    <row r="4" spans="1:5" x14ac:dyDescent="0.25">
      <c r="A4" t="s">
        <v>201</v>
      </c>
      <c r="B4">
        <v>1</v>
      </c>
      <c r="C4">
        <v>2</v>
      </c>
    </row>
    <row r="5" spans="1:5" x14ac:dyDescent="0.25">
      <c r="A5" t="s">
        <v>259</v>
      </c>
      <c r="C5">
        <v>2</v>
      </c>
    </row>
    <row r="6" spans="1:5" x14ac:dyDescent="0.25">
      <c r="A6" t="s">
        <v>260</v>
      </c>
      <c r="B6">
        <v>1</v>
      </c>
    </row>
    <row r="7" spans="1:5" x14ac:dyDescent="0.25">
      <c r="A7" t="s">
        <v>6</v>
      </c>
    </row>
    <row r="8" spans="1:5" x14ac:dyDescent="0.25">
      <c r="A8" t="s">
        <v>7</v>
      </c>
    </row>
    <row r="9" spans="1:5" x14ac:dyDescent="0.25">
      <c r="A9" t="s">
        <v>8</v>
      </c>
      <c r="D9">
        <v>3</v>
      </c>
    </row>
    <row r="10" spans="1:5" x14ac:dyDescent="0.25">
      <c r="A10" t="s">
        <v>9</v>
      </c>
      <c r="D10">
        <v>3</v>
      </c>
    </row>
    <row r="11" spans="1:5" x14ac:dyDescent="0.25">
      <c r="A11" t="s">
        <v>10</v>
      </c>
    </row>
    <row r="12" spans="1:5" x14ac:dyDescent="0.25">
      <c r="A12" t="s">
        <v>11</v>
      </c>
      <c r="E12">
        <v>4</v>
      </c>
    </row>
    <row r="13" spans="1:5" x14ac:dyDescent="0.25">
      <c r="A13" t="s">
        <v>12</v>
      </c>
      <c r="E13">
        <v>4</v>
      </c>
    </row>
    <row r="14" spans="1:5" x14ac:dyDescent="0.25">
      <c r="A14" t="s">
        <v>13</v>
      </c>
      <c r="E14">
        <v>4</v>
      </c>
    </row>
    <row r="15" spans="1:5" x14ac:dyDescent="0.25">
      <c r="A15" t="s">
        <v>14</v>
      </c>
    </row>
    <row r="16" spans="1:5" x14ac:dyDescent="0.25">
      <c r="A16" t="s">
        <v>15</v>
      </c>
    </row>
    <row r="17" spans="1:1" x14ac:dyDescent="0.25">
      <c r="A17" t="s">
        <v>16</v>
      </c>
    </row>
    <row r="18" spans="1:1" x14ac:dyDescent="0.25">
      <c r="A18" t="s">
        <v>17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</sheetPr>
  <dimension ref="A1:O29"/>
  <sheetViews>
    <sheetView workbookViewId="0">
      <pane ySplit="1" topLeftCell="A2" activePane="bottomLeft" state="frozen"/>
      <selection activeCell="I14" sqref="I14"/>
      <selection pane="bottomLeft" activeCell="D8" sqref="D8"/>
    </sheetView>
  </sheetViews>
  <sheetFormatPr defaultColWidth="8.7109375" defaultRowHeight="15" x14ac:dyDescent="0.25"/>
  <cols>
    <col min="1" max="2" width="8" bestFit="1" customWidth="1"/>
    <col min="3" max="3" width="15.140625" bestFit="1" customWidth="1"/>
    <col min="4" max="4" width="13.7109375" bestFit="1" customWidth="1"/>
    <col min="7" max="7" width="10" bestFit="1" customWidth="1"/>
  </cols>
  <sheetData>
    <row r="1" spans="1:15" x14ac:dyDescent="0.25">
      <c r="A1" t="s">
        <v>0</v>
      </c>
      <c r="B1" t="s">
        <v>2</v>
      </c>
      <c r="C1" t="s">
        <v>45</v>
      </c>
      <c r="D1" t="s">
        <v>46</v>
      </c>
      <c r="E1" t="s">
        <v>160</v>
      </c>
      <c r="G1" s="28" t="s">
        <v>246</v>
      </c>
      <c r="O1" s="5"/>
    </row>
    <row r="2" spans="1:15" x14ac:dyDescent="0.25">
      <c r="A2">
        <v>1</v>
      </c>
      <c r="B2" t="s">
        <v>3</v>
      </c>
      <c r="C2">
        <v>2</v>
      </c>
      <c r="E2">
        <f ca="1">COUNTA(OFFSET(Block[[#This Row],[Block]],0,6,1,2000))</f>
        <v>0</v>
      </c>
    </row>
    <row r="3" spans="1:15" x14ac:dyDescent="0.25">
      <c r="A3">
        <v>2</v>
      </c>
      <c r="B3" t="s">
        <v>3</v>
      </c>
      <c r="C3">
        <v>2</v>
      </c>
      <c r="E3">
        <f ca="1">COUNTA(OFFSET(Block[[#This Row],[Block]],0,6,1,2000))</f>
        <v>0</v>
      </c>
    </row>
    <row r="4" spans="1:15" x14ac:dyDescent="0.25">
      <c r="A4">
        <v>3</v>
      </c>
      <c r="B4" t="s">
        <v>3</v>
      </c>
      <c r="C4">
        <v>2</v>
      </c>
      <c r="E4">
        <f ca="1">COUNTA(OFFSET(Block[[#This Row],[Block]],0,6,1,2000))</f>
        <v>0</v>
      </c>
    </row>
    <row r="5" spans="1:15" x14ac:dyDescent="0.25">
      <c r="A5">
        <v>4</v>
      </c>
      <c r="B5" t="s">
        <v>3</v>
      </c>
      <c r="C5">
        <v>2</v>
      </c>
      <c r="E5">
        <f ca="1">COUNTA(OFFSET(Block[[#This Row],[Block]],0,6,1,2000))</f>
        <v>0</v>
      </c>
    </row>
    <row r="6" spans="1:15" x14ac:dyDescent="0.25">
      <c r="A6">
        <v>5</v>
      </c>
      <c r="B6" t="s">
        <v>3</v>
      </c>
      <c r="C6">
        <v>2</v>
      </c>
      <c r="E6">
        <f ca="1">COUNTA(OFFSET(Block[[#This Row],[Block]],0,6,1,2000))</f>
        <v>0</v>
      </c>
    </row>
    <row r="7" spans="1:15" x14ac:dyDescent="0.25">
      <c r="A7">
        <v>6</v>
      </c>
      <c r="B7" t="s">
        <v>3</v>
      </c>
      <c r="C7">
        <v>2</v>
      </c>
      <c r="E7">
        <f ca="1">COUNTA(OFFSET(Block[[#This Row],[Block]],0,6,1,2000))</f>
        <v>0</v>
      </c>
    </row>
    <row r="8" spans="1:15" x14ac:dyDescent="0.25">
      <c r="A8">
        <v>7</v>
      </c>
      <c r="B8" t="s">
        <v>3</v>
      </c>
      <c r="C8">
        <v>2</v>
      </c>
      <c r="E8">
        <f ca="1">COUNTA(OFFSET(Block[[#This Row],[Block]],0,6,1,2000))</f>
        <v>0</v>
      </c>
    </row>
    <row r="9" spans="1:15" x14ac:dyDescent="0.25">
      <c r="A9">
        <v>8</v>
      </c>
      <c r="B9" t="s">
        <v>3</v>
      </c>
      <c r="D9">
        <v>2</v>
      </c>
      <c r="E9">
        <f ca="1">COUNTA(OFFSET(Block[[#This Row],[Block]],0,6,1,2000))</f>
        <v>0</v>
      </c>
    </row>
    <row r="10" spans="1:15" x14ac:dyDescent="0.25">
      <c r="A10">
        <v>9</v>
      </c>
      <c r="B10" t="s">
        <v>3</v>
      </c>
      <c r="D10">
        <v>2</v>
      </c>
      <c r="E10">
        <f ca="1">COUNTA(OFFSET(Block[[#This Row],[Block]],0,6,1,2000))</f>
        <v>0</v>
      </c>
    </row>
    <row r="11" spans="1:15" x14ac:dyDescent="0.25">
      <c r="A11">
        <v>10</v>
      </c>
      <c r="B11" t="s">
        <v>3</v>
      </c>
      <c r="C11">
        <v>1</v>
      </c>
      <c r="D11">
        <v>1</v>
      </c>
      <c r="E11">
        <f ca="1">COUNTA(OFFSET(Block[[#This Row],[Block]],0,6,1,2000))</f>
        <v>0</v>
      </c>
    </row>
    <row r="12" spans="1:15" x14ac:dyDescent="0.25">
      <c r="A12">
        <v>11</v>
      </c>
      <c r="B12" t="s">
        <v>3</v>
      </c>
      <c r="D12">
        <v>2</v>
      </c>
      <c r="E12">
        <f ca="1">COUNTA(OFFSET(Block[[#This Row],[Block]],0,6,1,2000))</f>
        <v>0</v>
      </c>
    </row>
    <row r="13" spans="1:15" x14ac:dyDescent="0.25">
      <c r="A13">
        <v>12</v>
      </c>
      <c r="B13" t="s">
        <v>3</v>
      </c>
      <c r="D13">
        <v>2</v>
      </c>
      <c r="E13">
        <f ca="1">COUNTA(OFFSET(Block[[#This Row],[Block]],0,6,1,2000))</f>
        <v>0</v>
      </c>
    </row>
    <row r="14" spans="1:15" x14ac:dyDescent="0.25">
      <c r="A14">
        <v>13</v>
      </c>
      <c r="B14" t="s">
        <v>3</v>
      </c>
      <c r="D14">
        <v>2</v>
      </c>
      <c r="E14">
        <f ca="1">COUNTA(OFFSET(Block[[#This Row],[Block]],0,6,1,2000))</f>
        <v>0</v>
      </c>
    </row>
    <row r="15" spans="1:15" x14ac:dyDescent="0.25">
      <c r="A15">
        <v>14</v>
      </c>
      <c r="B15" t="s">
        <v>3</v>
      </c>
      <c r="D15">
        <v>2</v>
      </c>
      <c r="E15">
        <f ca="1">COUNTA(OFFSET(Block[[#This Row],[Block]],0,6,1,2000))</f>
        <v>0</v>
      </c>
    </row>
    <row r="16" spans="1:15" x14ac:dyDescent="0.25">
      <c r="A16">
        <v>15</v>
      </c>
      <c r="B16" t="s">
        <v>3</v>
      </c>
      <c r="D16">
        <v>2</v>
      </c>
      <c r="E16">
        <f ca="1">COUNTA(OFFSET(Block[[#This Row],[Block]],0,6,1,2000))</f>
        <v>0</v>
      </c>
    </row>
    <row r="17" spans="1:5" x14ac:dyDescent="0.25">
      <c r="A17">
        <v>16</v>
      </c>
      <c r="B17" t="s">
        <v>3</v>
      </c>
      <c r="D17">
        <v>2</v>
      </c>
      <c r="E17">
        <f ca="1">COUNTA(OFFSET(Block[[#This Row],[Block]],0,6,1,2000))</f>
        <v>0</v>
      </c>
    </row>
    <row r="18" spans="1:5" x14ac:dyDescent="0.25">
      <c r="A18">
        <v>17</v>
      </c>
      <c r="B18" t="s">
        <v>3</v>
      </c>
      <c r="D18">
        <v>2</v>
      </c>
      <c r="E18">
        <f ca="1">COUNTA(OFFSET(Block[[#This Row],[Block]],0,6,1,2000))</f>
        <v>0</v>
      </c>
    </row>
    <row r="19" spans="1:5" x14ac:dyDescent="0.25">
      <c r="A19">
        <v>18</v>
      </c>
      <c r="B19" t="s">
        <v>3</v>
      </c>
      <c r="D19">
        <v>2</v>
      </c>
      <c r="E19">
        <f ca="1">COUNTA(OFFSET(Block[[#This Row],[Block]],0,6,1,2000))</f>
        <v>0</v>
      </c>
    </row>
    <row r="20" spans="1:5" x14ac:dyDescent="0.25">
      <c r="A20">
        <v>19</v>
      </c>
      <c r="B20" t="s">
        <v>3</v>
      </c>
      <c r="D20">
        <v>2</v>
      </c>
      <c r="E20">
        <f ca="1">COUNTA(OFFSET(Block[[#This Row],[Block]],0,6,1,2000))</f>
        <v>0</v>
      </c>
    </row>
    <row r="21" spans="1:5" x14ac:dyDescent="0.25">
      <c r="A21">
        <v>20</v>
      </c>
      <c r="B21" t="s">
        <v>3</v>
      </c>
      <c r="D21">
        <v>2</v>
      </c>
      <c r="E21">
        <f ca="1">COUNTA(OFFSET(Block[[#This Row],[Block]],0,6,1,2000))</f>
        <v>0</v>
      </c>
    </row>
    <row r="22" spans="1:5" x14ac:dyDescent="0.25">
      <c r="A22">
        <v>21</v>
      </c>
      <c r="B22" t="s">
        <v>5</v>
      </c>
      <c r="D22">
        <v>2</v>
      </c>
      <c r="E22">
        <f ca="1">COUNTA(OFFSET(Block[[#This Row],[Block]],0,6,1,2000))</f>
        <v>0</v>
      </c>
    </row>
    <row r="23" spans="1:5" x14ac:dyDescent="0.25">
      <c r="A23">
        <v>22</v>
      </c>
      <c r="B23" t="s">
        <v>5</v>
      </c>
      <c r="D23">
        <v>2</v>
      </c>
      <c r="E23">
        <f ca="1">COUNTA(OFFSET(Block[[#This Row],[Block]],0,6,1,2000))</f>
        <v>0</v>
      </c>
    </row>
    <row r="24" spans="1:5" x14ac:dyDescent="0.25">
      <c r="A24">
        <v>23</v>
      </c>
      <c r="B24" t="s">
        <v>5</v>
      </c>
      <c r="D24">
        <v>2</v>
      </c>
      <c r="E24">
        <f ca="1">COUNTA(OFFSET(Block[[#This Row],[Block]],0,6,1,2000))</f>
        <v>0</v>
      </c>
    </row>
    <row r="25" spans="1:5" x14ac:dyDescent="0.25">
      <c r="A25">
        <v>24</v>
      </c>
      <c r="B25" t="s">
        <v>5</v>
      </c>
      <c r="D25">
        <v>2</v>
      </c>
      <c r="E25">
        <f ca="1">COUNTA(OFFSET(Block[[#This Row],[Block]],0,6,1,2000))</f>
        <v>0</v>
      </c>
    </row>
    <row r="26" spans="1:5" x14ac:dyDescent="0.25">
      <c r="A26">
        <v>25</v>
      </c>
      <c r="B26" t="s">
        <v>5</v>
      </c>
      <c r="D26">
        <v>2</v>
      </c>
      <c r="E26">
        <f ca="1">COUNTA(OFFSET(Block[[#This Row],[Block]],0,6,1,2000))</f>
        <v>0</v>
      </c>
    </row>
    <row r="27" spans="1:5" x14ac:dyDescent="0.25">
      <c r="A27">
        <v>26</v>
      </c>
      <c r="B27" t="s">
        <v>5</v>
      </c>
      <c r="D27">
        <v>2</v>
      </c>
      <c r="E27">
        <f ca="1">COUNTA(OFFSET(Block[[#This Row],[Block]],0,6,1,2000))</f>
        <v>0</v>
      </c>
    </row>
    <row r="28" spans="1:5" x14ac:dyDescent="0.25">
      <c r="A28">
        <v>27</v>
      </c>
      <c r="B28" t="s">
        <v>5</v>
      </c>
      <c r="D28">
        <v>2</v>
      </c>
      <c r="E28">
        <f ca="1">COUNTA(OFFSET(Block[[#This Row],[Block]],0,6,1,2000))</f>
        <v>0</v>
      </c>
    </row>
    <row r="29" spans="1:5" x14ac:dyDescent="0.25">
      <c r="A29">
        <v>28</v>
      </c>
      <c r="B29" t="s">
        <v>5</v>
      </c>
      <c r="D29">
        <v>2</v>
      </c>
      <c r="E29">
        <f ca="1">COUNTA(OFFSET(Block[[#This Row],[Block]],0,6,1,2000))</f>
        <v>0</v>
      </c>
    </row>
  </sheetData>
  <pageMargins left="0.7" right="0.7" top="0.75" bottom="0.75" header="0.3" footer="0.3"/>
  <pageSetup orientation="portrait" horizontalDpi="4294967292" verticalDpi="429496729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7030A0"/>
  </sheetPr>
  <dimension ref="A1:F10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7.140625" bestFit="1" customWidth="1"/>
    <col min="2" max="2" width="7.7109375" bestFit="1" customWidth="1"/>
    <col min="3" max="3" width="9.42578125" bestFit="1" customWidth="1"/>
    <col min="4" max="4" width="5.7109375" bestFit="1" customWidth="1"/>
    <col min="5" max="5" width="14" bestFit="1" customWidth="1"/>
    <col min="6" max="6" width="13.5703125" bestFit="1" customWidth="1"/>
  </cols>
  <sheetData>
    <row r="1" spans="1:6" x14ac:dyDescent="0.25">
      <c r="A1" t="s">
        <v>41</v>
      </c>
      <c r="B1" t="s">
        <v>1</v>
      </c>
      <c r="C1" t="s">
        <v>47</v>
      </c>
      <c r="D1" t="s">
        <v>0</v>
      </c>
      <c r="E1" t="s">
        <v>192</v>
      </c>
      <c r="F1" t="s">
        <v>198</v>
      </c>
    </row>
    <row r="2" spans="1:6" x14ac:dyDescent="0.25">
      <c r="A2" t="s">
        <v>6</v>
      </c>
      <c r="B2">
        <v>100</v>
      </c>
      <c r="C2" t="s">
        <v>87</v>
      </c>
    </row>
    <row r="3" spans="1:6" x14ac:dyDescent="0.25">
      <c r="A3" t="s">
        <v>7</v>
      </c>
      <c r="B3">
        <v>100</v>
      </c>
      <c r="C3" t="s">
        <v>84</v>
      </c>
    </row>
    <row r="4" spans="1:6" x14ac:dyDescent="0.25">
      <c r="A4" t="s">
        <v>8</v>
      </c>
      <c r="B4">
        <v>100</v>
      </c>
      <c r="C4" t="s">
        <v>83</v>
      </c>
    </row>
    <row r="5" spans="1:6" x14ac:dyDescent="0.25">
      <c r="A5" t="s">
        <v>9</v>
      </c>
      <c r="B5">
        <v>100</v>
      </c>
      <c r="C5" t="s">
        <v>54</v>
      </c>
    </row>
    <row r="6" spans="1:6" x14ac:dyDescent="0.25">
      <c r="A6" t="s">
        <v>10</v>
      </c>
      <c r="B6">
        <v>100</v>
      </c>
      <c r="C6" t="s">
        <v>71</v>
      </c>
    </row>
    <row r="7" spans="1:6" x14ac:dyDescent="0.25">
      <c r="A7" t="s">
        <v>11</v>
      </c>
      <c r="B7">
        <v>100</v>
      </c>
      <c r="C7" t="s">
        <v>92</v>
      </c>
    </row>
    <row r="8" spans="1:6" x14ac:dyDescent="0.25">
      <c r="A8" t="s">
        <v>12</v>
      </c>
      <c r="B8">
        <v>100</v>
      </c>
      <c r="C8" t="s">
        <v>89</v>
      </c>
    </row>
    <row r="9" spans="1:6" x14ac:dyDescent="0.25">
      <c r="A9" t="s">
        <v>13</v>
      </c>
      <c r="B9">
        <v>100</v>
      </c>
      <c r="C9" t="s">
        <v>26</v>
      </c>
    </row>
    <row r="10" spans="1:6" x14ac:dyDescent="0.25">
      <c r="A10" t="s">
        <v>14</v>
      </c>
      <c r="B10">
        <v>100</v>
      </c>
      <c r="C10" t="s">
        <v>60</v>
      </c>
    </row>
    <row r="11" spans="1:6" x14ac:dyDescent="0.25">
      <c r="A11" t="s">
        <v>15</v>
      </c>
      <c r="B11">
        <v>100</v>
      </c>
      <c r="C11" t="s">
        <v>59</v>
      </c>
    </row>
    <row r="12" spans="1:6" x14ac:dyDescent="0.25">
      <c r="A12" t="s">
        <v>16</v>
      </c>
      <c r="B12">
        <v>100</v>
      </c>
      <c r="C12" t="s">
        <v>86</v>
      </c>
    </row>
    <row r="13" spans="1:6" x14ac:dyDescent="0.25">
      <c r="A13" t="s">
        <v>17</v>
      </c>
      <c r="B13">
        <v>100</v>
      </c>
      <c r="C13" t="s">
        <v>76</v>
      </c>
    </row>
    <row r="14" spans="1:6" x14ac:dyDescent="0.25">
      <c r="A14" t="s">
        <v>199</v>
      </c>
      <c r="B14">
        <v>100</v>
      </c>
      <c r="C14" t="s">
        <v>25</v>
      </c>
    </row>
    <row r="15" spans="1:6" x14ac:dyDescent="0.25">
      <c r="A15" t="s">
        <v>199</v>
      </c>
      <c r="B15">
        <v>200</v>
      </c>
      <c r="C15" t="s">
        <v>25</v>
      </c>
    </row>
    <row r="16" spans="1:6" x14ac:dyDescent="0.25">
      <c r="A16" t="s">
        <v>199</v>
      </c>
      <c r="B16">
        <v>300</v>
      </c>
      <c r="C16" t="s">
        <v>25</v>
      </c>
    </row>
    <row r="17" spans="1:3" x14ac:dyDescent="0.25">
      <c r="A17" t="s">
        <v>199</v>
      </c>
      <c r="B17">
        <v>400</v>
      </c>
      <c r="C17" t="s">
        <v>25</v>
      </c>
    </row>
    <row r="18" spans="1:3" x14ac:dyDescent="0.25">
      <c r="A18" t="s">
        <v>200</v>
      </c>
      <c r="B18">
        <v>100</v>
      </c>
      <c r="C18" t="s">
        <v>53</v>
      </c>
    </row>
    <row r="19" spans="1:3" x14ac:dyDescent="0.25">
      <c r="A19" t="s">
        <v>200</v>
      </c>
      <c r="B19">
        <v>200</v>
      </c>
      <c r="C19" t="s">
        <v>53</v>
      </c>
    </row>
    <row r="20" spans="1:3" x14ac:dyDescent="0.25">
      <c r="A20" t="s">
        <v>200</v>
      </c>
      <c r="B20">
        <v>300</v>
      </c>
      <c r="C20" t="s">
        <v>53</v>
      </c>
    </row>
    <row r="21" spans="1:3" x14ac:dyDescent="0.25">
      <c r="A21" t="s">
        <v>200</v>
      </c>
      <c r="B21">
        <v>400</v>
      </c>
      <c r="C21" t="s">
        <v>53</v>
      </c>
    </row>
    <row r="22" spans="1:3" x14ac:dyDescent="0.25">
      <c r="A22" t="s">
        <v>201</v>
      </c>
      <c r="B22">
        <v>100</v>
      </c>
      <c r="C22" t="s">
        <v>38</v>
      </c>
    </row>
    <row r="23" spans="1:3" x14ac:dyDescent="0.25">
      <c r="A23" t="s">
        <v>201</v>
      </c>
      <c r="B23">
        <v>200</v>
      </c>
      <c r="C23" t="s">
        <v>38</v>
      </c>
    </row>
    <row r="24" spans="1:3" x14ac:dyDescent="0.25">
      <c r="A24" t="s">
        <v>201</v>
      </c>
      <c r="B24">
        <v>300</v>
      </c>
      <c r="C24" t="s">
        <v>38</v>
      </c>
    </row>
    <row r="25" spans="1:3" x14ac:dyDescent="0.25">
      <c r="A25" t="s">
        <v>201</v>
      </c>
      <c r="B25">
        <v>400</v>
      </c>
      <c r="C25" t="s">
        <v>38</v>
      </c>
    </row>
    <row r="26" spans="1:3" x14ac:dyDescent="0.25">
      <c r="A26" t="s">
        <v>259</v>
      </c>
      <c r="B26">
        <v>100</v>
      </c>
      <c r="C26" t="s">
        <v>68</v>
      </c>
    </row>
    <row r="27" spans="1:3" x14ac:dyDescent="0.25">
      <c r="A27" t="s">
        <v>259</v>
      </c>
      <c r="B27">
        <v>200</v>
      </c>
      <c r="C27" t="s">
        <v>68</v>
      </c>
    </row>
    <row r="28" spans="1:3" x14ac:dyDescent="0.25">
      <c r="A28" t="s">
        <v>259</v>
      </c>
      <c r="B28">
        <v>300</v>
      </c>
      <c r="C28" t="s">
        <v>68</v>
      </c>
    </row>
    <row r="29" spans="1:3" x14ac:dyDescent="0.25">
      <c r="A29" t="s">
        <v>259</v>
      </c>
      <c r="B29">
        <v>400</v>
      </c>
      <c r="C29" t="s">
        <v>68</v>
      </c>
    </row>
    <row r="30" spans="1:3" x14ac:dyDescent="0.25">
      <c r="A30" t="s">
        <v>260</v>
      </c>
      <c r="B30">
        <v>100</v>
      </c>
      <c r="C30" t="s">
        <v>65</v>
      </c>
    </row>
    <row r="31" spans="1:3" x14ac:dyDescent="0.25">
      <c r="A31" t="s">
        <v>260</v>
      </c>
      <c r="B31">
        <v>200</v>
      </c>
      <c r="C31" t="s">
        <v>65</v>
      </c>
    </row>
    <row r="32" spans="1:3" x14ac:dyDescent="0.25">
      <c r="A32" t="s">
        <v>260</v>
      </c>
      <c r="B32">
        <v>300</v>
      </c>
      <c r="C32" t="s">
        <v>65</v>
      </c>
    </row>
    <row r="33" spans="1:3" x14ac:dyDescent="0.25">
      <c r="A33" t="s">
        <v>260</v>
      </c>
      <c r="B33">
        <v>400</v>
      </c>
      <c r="C33" t="s">
        <v>65</v>
      </c>
    </row>
    <row r="34" spans="1:3" x14ac:dyDescent="0.25">
      <c r="A34" t="s">
        <v>93</v>
      </c>
      <c r="B34">
        <v>100</v>
      </c>
      <c r="C34" t="s">
        <v>91</v>
      </c>
    </row>
    <row r="35" spans="1:3" x14ac:dyDescent="0.25">
      <c r="A35" t="s">
        <v>93</v>
      </c>
      <c r="B35">
        <v>200</v>
      </c>
      <c r="C35" t="s">
        <v>91</v>
      </c>
    </row>
    <row r="36" spans="1:3" x14ac:dyDescent="0.25">
      <c r="A36" t="s">
        <v>93</v>
      </c>
      <c r="B36">
        <v>300</v>
      </c>
      <c r="C36" t="s">
        <v>91</v>
      </c>
    </row>
    <row r="37" spans="1:3" x14ac:dyDescent="0.25">
      <c r="A37" t="s">
        <v>94</v>
      </c>
      <c r="B37">
        <v>100</v>
      </c>
      <c r="C37" t="s">
        <v>85</v>
      </c>
    </row>
    <row r="38" spans="1:3" x14ac:dyDescent="0.25">
      <c r="A38" t="s">
        <v>94</v>
      </c>
      <c r="B38">
        <v>200</v>
      </c>
      <c r="C38" t="s">
        <v>85</v>
      </c>
    </row>
    <row r="39" spans="1:3" x14ac:dyDescent="0.25">
      <c r="A39" t="s">
        <v>94</v>
      </c>
      <c r="B39">
        <v>300</v>
      </c>
      <c r="C39" t="s">
        <v>85</v>
      </c>
    </row>
    <row r="40" spans="1:3" x14ac:dyDescent="0.25">
      <c r="A40" t="s">
        <v>95</v>
      </c>
      <c r="B40">
        <v>100</v>
      </c>
      <c r="C40" t="s">
        <v>72</v>
      </c>
    </row>
    <row r="41" spans="1:3" x14ac:dyDescent="0.25">
      <c r="A41" t="s">
        <v>95</v>
      </c>
      <c r="B41">
        <v>200</v>
      </c>
      <c r="C41" t="s">
        <v>56</v>
      </c>
    </row>
    <row r="42" spans="1:3" x14ac:dyDescent="0.25">
      <c r="A42" t="s">
        <v>95</v>
      </c>
      <c r="B42">
        <v>300</v>
      </c>
      <c r="C42" t="s">
        <v>72</v>
      </c>
    </row>
    <row r="43" spans="1:3" x14ac:dyDescent="0.25">
      <c r="A43" t="s">
        <v>96</v>
      </c>
      <c r="B43">
        <v>100</v>
      </c>
      <c r="C43" t="s">
        <v>55</v>
      </c>
    </row>
    <row r="44" spans="1:3" x14ac:dyDescent="0.25">
      <c r="A44" t="s">
        <v>97</v>
      </c>
      <c r="B44">
        <v>100</v>
      </c>
      <c r="C44" t="s">
        <v>60</v>
      </c>
    </row>
    <row r="45" spans="1:3" x14ac:dyDescent="0.25">
      <c r="A45" t="s">
        <v>98</v>
      </c>
      <c r="B45">
        <v>100</v>
      </c>
      <c r="C45" t="s">
        <v>82</v>
      </c>
    </row>
    <row r="46" spans="1:3" x14ac:dyDescent="0.25">
      <c r="A46" t="s">
        <v>99</v>
      </c>
      <c r="B46">
        <v>100</v>
      </c>
      <c r="C46" t="s">
        <v>35</v>
      </c>
    </row>
    <row r="47" spans="1:3" x14ac:dyDescent="0.25">
      <c r="A47" t="s">
        <v>100</v>
      </c>
      <c r="B47">
        <v>100</v>
      </c>
      <c r="C47" t="s">
        <v>77</v>
      </c>
    </row>
    <row r="48" spans="1:3" x14ac:dyDescent="0.25">
      <c r="A48" t="s">
        <v>101</v>
      </c>
      <c r="B48">
        <v>100</v>
      </c>
      <c r="C48" t="s">
        <v>56</v>
      </c>
    </row>
    <row r="49" spans="1:3" x14ac:dyDescent="0.25">
      <c r="A49" t="s">
        <v>102</v>
      </c>
      <c r="B49">
        <v>100</v>
      </c>
      <c r="C49" t="s">
        <v>75</v>
      </c>
    </row>
    <row r="50" spans="1:3" x14ac:dyDescent="0.25">
      <c r="A50" t="s">
        <v>103</v>
      </c>
      <c r="B50">
        <v>100</v>
      </c>
      <c r="C50" t="s">
        <v>75</v>
      </c>
    </row>
    <row r="51" spans="1:3" x14ac:dyDescent="0.25">
      <c r="A51" t="s">
        <v>104</v>
      </c>
      <c r="B51">
        <v>100</v>
      </c>
      <c r="C51" t="s">
        <v>30</v>
      </c>
    </row>
    <row r="52" spans="1:3" x14ac:dyDescent="0.25">
      <c r="A52" t="s">
        <v>105</v>
      </c>
      <c r="B52">
        <v>100</v>
      </c>
      <c r="C52" t="s">
        <v>80</v>
      </c>
    </row>
    <row r="53" spans="1:3" x14ac:dyDescent="0.25">
      <c r="A53" t="s">
        <v>106</v>
      </c>
      <c r="B53">
        <v>100</v>
      </c>
      <c r="C53" t="s">
        <v>88</v>
      </c>
    </row>
    <row r="54" spans="1:3" x14ac:dyDescent="0.25">
      <c r="A54" t="s">
        <v>107</v>
      </c>
      <c r="B54">
        <v>100</v>
      </c>
      <c r="C54" t="s">
        <v>73</v>
      </c>
    </row>
    <row r="55" spans="1:3" x14ac:dyDescent="0.25">
      <c r="A55" t="s">
        <v>108</v>
      </c>
      <c r="B55">
        <v>100</v>
      </c>
      <c r="C55" t="s">
        <v>26</v>
      </c>
    </row>
    <row r="56" spans="1:3" x14ac:dyDescent="0.25">
      <c r="A56" t="s">
        <v>109</v>
      </c>
      <c r="B56">
        <v>100</v>
      </c>
      <c r="C56" t="s">
        <v>63</v>
      </c>
    </row>
    <row r="57" spans="1:3" x14ac:dyDescent="0.25">
      <c r="A57" t="s">
        <v>110</v>
      </c>
      <c r="B57">
        <v>100</v>
      </c>
      <c r="C57" t="s">
        <v>64</v>
      </c>
    </row>
    <row r="58" spans="1:3" x14ac:dyDescent="0.25">
      <c r="A58" t="s">
        <v>111</v>
      </c>
      <c r="B58">
        <v>100</v>
      </c>
      <c r="C58" t="s">
        <v>79</v>
      </c>
    </row>
    <row r="59" spans="1:3" x14ac:dyDescent="0.25">
      <c r="A59" t="s">
        <v>112</v>
      </c>
      <c r="B59">
        <v>100</v>
      </c>
      <c r="C59" t="s">
        <v>55</v>
      </c>
    </row>
    <row r="60" spans="1:3" x14ac:dyDescent="0.25">
      <c r="A60" t="s">
        <v>113</v>
      </c>
      <c r="B60">
        <v>100</v>
      </c>
      <c r="C60" t="s">
        <v>29</v>
      </c>
    </row>
    <row r="61" spans="1:3" x14ac:dyDescent="0.25">
      <c r="A61" t="s">
        <v>114</v>
      </c>
      <c r="B61">
        <v>100</v>
      </c>
      <c r="C61" t="s">
        <v>55</v>
      </c>
    </row>
    <row r="62" spans="1:3" x14ac:dyDescent="0.25">
      <c r="A62" t="s">
        <v>115</v>
      </c>
      <c r="B62">
        <v>100</v>
      </c>
      <c r="C62" t="s">
        <v>62</v>
      </c>
    </row>
    <row r="63" spans="1:3" x14ac:dyDescent="0.25">
      <c r="A63" t="s">
        <v>116</v>
      </c>
      <c r="B63">
        <v>100</v>
      </c>
      <c r="C63" t="s">
        <v>78</v>
      </c>
    </row>
    <row r="64" spans="1:3" x14ac:dyDescent="0.25">
      <c r="A64" t="s">
        <v>117</v>
      </c>
      <c r="B64">
        <v>100</v>
      </c>
      <c r="C64" t="s">
        <v>83</v>
      </c>
    </row>
    <row r="65" spans="1:3" x14ac:dyDescent="0.25">
      <c r="A65" t="s">
        <v>118</v>
      </c>
      <c r="B65">
        <v>100</v>
      </c>
      <c r="C65" t="s">
        <v>62</v>
      </c>
    </row>
    <row r="66" spans="1:3" x14ac:dyDescent="0.25">
      <c r="A66" t="s">
        <v>119</v>
      </c>
      <c r="B66">
        <v>100</v>
      </c>
      <c r="C66" t="s">
        <v>54</v>
      </c>
    </row>
    <row r="67" spans="1:3" x14ac:dyDescent="0.25">
      <c r="A67" t="s">
        <v>120</v>
      </c>
      <c r="B67">
        <v>100</v>
      </c>
      <c r="C67" t="s">
        <v>84</v>
      </c>
    </row>
    <row r="68" spans="1:3" x14ac:dyDescent="0.25">
      <c r="A68" t="s">
        <v>121</v>
      </c>
      <c r="B68">
        <v>100</v>
      </c>
      <c r="C68" t="s">
        <v>52</v>
      </c>
    </row>
    <row r="69" spans="1:3" x14ac:dyDescent="0.25">
      <c r="A69" t="s">
        <v>122</v>
      </c>
      <c r="B69">
        <v>100</v>
      </c>
      <c r="C69" t="s">
        <v>60</v>
      </c>
    </row>
    <row r="70" spans="1:3" x14ac:dyDescent="0.25">
      <c r="A70" t="s">
        <v>123</v>
      </c>
      <c r="B70">
        <v>100</v>
      </c>
      <c r="C70" t="s">
        <v>30</v>
      </c>
    </row>
    <row r="71" spans="1:3" x14ac:dyDescent="0.25">
      <c r="A71" t="s">
        <v>124</v>
      </c>
      <c r="B71">
        <v>100</v>
      </c>
      <c r="C71" t="s">
        <v>87</v>
      </c>
    </row>
    <row r="72" spans="1:3" x14ac:dyDescent="0.25">
      <c r="A72" t="s">
        <v>125</v>
      </c>
      <c r="B72">
        <v>100</v>
      </c>
      <c r="C72" t="s">
        <v>85</v>
      </c>
    </row>
    <row r="73" spans="1:3" x14ac:dyDescent="0.25">
      <c r="A73" t="s">
        <v>126</v>
      </c>
      <c r="B73">
        <v>100</v>
      </c>
      <c r="C73" t="s">
        <v>26</v>
      </c>
    </row>
    <row r="74" spans="1:3" x14ac:dyDescent="0.25">
      <c r="A74" t="s">
        <v>127</v>
      </c>
      <c r="B74">
        <v>100</v>
      </c>
      <c r="C74" t="s">
        <v>67</v>
      </c>
    </row>
    <row r="75" spans="1:3" x14ac:dyDescent="0.25">
      <c r="A75" t="s">
        <v>128</v>
      </c>
      <c r="B75">
        <v>100</v>
      </c>
      <c r="C75" t="s">
        <v>81</v>
      </c>
    </row>
    <row r="76" spans="1:3" x14ac:dyDescent="0.25">
      <c r="A76" t="s">
        <v>129</v>
      </c>
      <c r="B76">
        <v>100</v>
      </c>
      <c r="C76" t="s">
        <v>35</v>
      </c>
    </row>
    <row r="77" spans="1:3" x14ac:dyDescent="0.25">
      <c r="A77" t="s">
        <v>130</v>
      </c>
      <c r="B77">
        <v>100</v>
      </c>
      <c r="C77" t="s">
        <v>73</v>
      </c>
    </row>
    <row r="78" spans="1:3" x14ac:dyDescent="0.25">
      <c r="A78" t="s">
        <v>131</v>
      </c>
      <c r="B78">
        <v>100</v>
      </c>
      <c r="C78" t="s">
        <v>29</v>
      </c>
    </row>
    <row r="79" spans="1:3" x14ac:dyDescent="0.25">
      <c r="A79" t="s">
        <v>132</v>
      </c>
      <c r="B79">
        <v>100</v>
      </c>
      <c r="C79" t="s">
        <v>70</v>
      </c>
    </row>
    <row r="80" spans="1:3" x14ac:dyDescent="0.25">
      <c r="A80" t="s">
        <v>133</v>
      </c>
      <c r="B80">
        <v>100</v>
      </c>
      <c r="C80" t="s">
        <v>77</v>
      </c>
    </row>
    <row r="81" spans="1:3" x14ac:dyDescent="0.25">
      <c r="A81" t="s">
        <v>134</v>
      </c>
      <c r="B81">
        <v>100</v>
      </c>
      <c r="C81" t="s">
        <v>56</v>
      </c>
    </row>
    <row r="82" spans="1:3" x14ac:dyDescent="0.25">
      <c r="A82" t="s">
        <v>135</v>
      </c>
      <c r="B82">
        <v>100</v>
      </c>
      <c r="C82" t="s">
        <v>69</v>
      </c>
    </row>
    <row r="83" spans="1:3" x14ac:dyDescent="0.25">
      <c r="A83" t="s">
        <v>136</v>
      </c>
      <c r="B83">
        <v>100</v>
      </c>
      <c r="C83" t="s">
        <v>64</v>
      </c>
    </row>
    <row r="84" spans="1:3" x14ac:dyDescent="0.25">
      <c r="A84" t="s">
        <v>137</v>
      </c>
      <c r="B84">
        <v>100</v>
      </c>
      <c r="C84" t="s">
        <v>57</v>
      </c>
    </row>
    <row r="85" spans="1:3" x14ac:dyDescent="0.25">
      <c r="A85" t="s">
        <v>138</v>
      </c>
      <c r="B85">
        <v>100</v>
      </c>
      <c r="C85" t="s">
        <v>60</v>
      </c>
    </row>
    <row r="86" spans="1:3" x14ac:dyDescent="0.25">
      <c r="A86" t="s">
        <v>139</v>
      </c>
      <c r="B86">
        <v>100</v>
      </c>
      <c r="C86" t="s">
        <v>91</v>
      </c>
    </row>
    <row r="87" spans="1:3" x14ac:dyDescent="0.25">
      <c r="A87" t="s">
        <v>140</v>
      </c>
      <c r="B87">
        <v>100</v>
      </c>
      <c r="C87" t="s">
        <v>81</v>
      </c>
    </row>
    <row r="88" spans="1:3" x14ac:dyDescent="0.25">
      <c r="A88" t="s">
        <v>141</v>
      </c>
      <c r="B88">
        <v>100</v>
      </c>
      <c r="C88" t="s">
        <v>61</v>
      </c>
    </row>
    <row r="89" spans="1:3" x14ac:dyDescent="0.25">
      <c r="A89" t="s">
        <v>142</v>
      </c>
      <c r="B89">
        <v>100</v>
      </c>
      <c r="C89" t="s">
        <v>86</v>
      </c>
    </row>
    <row r="90" spans="1:3" x14ac:dyDescent="0.25">
      <c r="A90" t="s">
        <v>143</v>
      </c>
      <c r="B90">
        <v>100</v>
      </c>
      <c r="C90" t="s">
        <v>66</v>
      </c>
    </row>
    <row r="91" spans="1:3" x14ac:dyDescent="0.25">
      <c r="A91" t="s">
        <v>144</v>
      </c>
      <c r="B91">
        <v>100</v>
      </c>
      <c r="C91" t="s">
        <v>37</v>
      </c>
    </row>
    <row r="92" spans="1:3" x14ac:dyDescent="0.25">
      <c r="A92" t="s">
        <v>145</v>
      </c>
      <c r="B92">
        <v>100</v>
      </c>
      <c r="C92" t="s">
        <v>82</v>
      </c>
    </row>
    <row r="93" spans="1:3" x14ac:dyDescent="0.25">
      <c r="A93" t="s">
        <v>146</v>
      </c>
      <c r="B93">
        <v>100</v>
      </c>
      <c r="C93" t="s">
        <v>74</v>
      </c>
    </row>
    <row r="94" spans="1:3" x14ac:dyDescent="0.25">
      <c r="A94" t="s">
        <v>147</v>
      </c>
      <c r="B94">
        <v>100</v>
      </c>
      <c r="C94" t="s">
        <v>71</v>
      </c>
    </row>
    <row r="95" spans="1:3" x14ac:dyDescent="0.25">
      <c r="A95" t="s">
        <v>148</v>
      </c>
      <c r="B95">
        <v>100</v>
      </c>
      <c r="C95" t="s">
        <v>30</v>
      </c>
    </row>
    <row r="96" spans="1:3" x14ac:dyDescent="0.25">
      <c r="A96" t="s">
        <v>149</v>
      </c>
      <c r="B96">
        <v>100</v>
      </c>
      <c r="C96" t="s">
        <v>73</v>
      </c>
    </row>
    <row r="97" spans="1:3" x14ac:dyDescent="0.25">
      <c r="A97" t="s">
        <v>150</v>
      </c>
      <c r="B97">
        <v>100</v>
      </c>
      <c r="C97" t="s">
        <v>66</v>
      </c>
    </row>
    <row r="98" spans="1:3" x14ac:dyDescent="0.25">
      <c r="A98" t="s">
        <v>151</v>
      </c>
      <c r="B98">
        <v>100</v>
      </c>
      <c r="C98" t="s">
        <v>92</v>
      </c>
    </row>
    <row r="99" spans="1:3" x14ac:dyDescent="0.25">
      <c r="A99" t="s">
        <v>152</v>
      </c>
      <c r="B99">
        <v>100</v>
      </c>
      <c r="C99" t="s">
        <v>78</v>
      </c>
    </row>
    <row r="100" spans="1:3" x14ac:dyDescent="0.25">
      <c r="A100" t="s">
        <v>153</v>
      </c>
      <c r="B100">
        <v>100</v>
      </c>
      <c r="C100" t="s">
        <v>70</v>
      </c>
    </row>
    <row r="101" spans="1:3" x14ac:dyDescent="0.25">
      <c r="A101" t="s">
        <v>154</v>
      </c>
      <c r="B101">
        <v>100</v>
      </c>
      <c r="C101" t="s">
        <v>81</v>
      </c>
    </row>
    <row r="102" spans="1:3" x14ac:dyDescent="0.25">
      <c r="A102" t="s">
        <v>155</v>
      </c>
      <c r="B102">
        <v>100</v>
      </c>
      <c r="C102" t="s">
        <v>88</v>
      </c>
    </row>
    <row r="103" spans="1:3" x14ac:dyDescent="0.25">
      <c r="A103" t="s">
        <v>156</v>
      </c>
      <c r="B103">
        <v>100</v>
      </c>
      <c r="C103" t="s">
        <v>92</v>
      </c>
    </row>
    <row r="104" spans="1:3" x14ac:dyDescent="0.25">
      <c r="A104" t="s">
        <v>157</v>
      </c>
      <c r="B104">
        <v>100</v>
      </c>
      <c r="C104" t="s">
        <v>57</v>
      </c>
    </row>
    <row r="105" spans="1:3" x14ac:dyDescent="0.25">
      <c r="A105" t="s">
        <v>158</v>
      </c>
      <c r="B105">
        <v>100</v>
      </c>
      <c r="C105" t="s">
        <v>27</v>
      </c>
    </row>
    <row r="106" spans="1:3" x14ac:dyDescent="0.25">
      <c r="A106" t="s">
        <v>159</v>
      </c>
      <c r="B106">
        <v>100</v>
      </c>
      <c r="C106" t="s">
        <v>84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7030A0"/>
  </sheetPr>
  <dimension ref="A1:N5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6.28515625" bestFit="1" customWidth="1"/>
    <col min="2" max="2" width="14" bestFit="1" customWidth="1"/>
    <col min="3" max="6" width="10.42578125" bestFit="1" customWidth="1"/>
    <col min="7" max="10" width="15.85546875" bestFit="1" customWidth="1"/>
    <col min="11" max="14" width="7.7109375" bestFit="1" customWidth="1"/>
  </cols>
  <sheetData>
    <row r="1" spans="1:14" x14ac:dyDescent="0.25">
      <c r="A1" t="s">
        <v>18</v>
      </c>
      <c r="B1" t="s">
        <v>192</v>
      </c>
      <c r="C1" t="s">
        <v>48</v>
      </c>
      <c r="D1" t="s">
        <v>49</v>
      </c>
      <c r="E1" t="s">
        <v>50</v>
      </c>
      <c r="F1" t="s">
        <v>51</v>
      </c>
      <c r="G1" t="s">
        <v>193</v>
      </c>
      <c r="H1" t="s">
        <v>194</v>
      </c>
      <c r="I1" t="s">
        <v>195</v>
      </c>
      <c r="J1" t="s">
        <v>196</v>
      </c>
      <c r="K1" t="s">
        <v>164</v>
      </c>
      <c r="L1" t="s">
        <v>165</v>
      </c>
      <c r="M1" t="s">
        <v>166</v>
      </c>
      <c r="N1" t="s">
        <v>167</v>
      </c>
    </row>
    <row r="2" spans="1:14" x14ac:dyDescent="0.25">
      <c r="A2" t="s">
        <v>24</v>
      </c>
      <c r="G2" t="s">
        <v>43</v>
      </c>
      <c r="H2" t="s">
        <v>43</v>
      </c>
      <c r="I2" t="s">
        <v>43</v>
      </c>
      <c r="J2" t="s">
        <v>43</v>
      </c>
    </row>
    <row r="3" spans="1:14" x14ac:dyDescent="0.25">
      <c r="A3" t="s">
        <v>25</v>
      </c>
      <c r="C3" t="s">
        <v>265</v>
      </c>
      <c r="D3" t="s">
        <v>263</v>
      </c>
      <c r="E3" t="s">
        <v>264</v>
      </c>
      <c r="F3" t="s">
        <v>262</v>
      </c>
      <c r="G3">
        <v>3</v>
      </c>
      <c r="H3">
        <v>3</v>
      </c>
      <c r="I3">
        <v>3</v>
      </c>
      <c r="J3">
        <v>3</v>
      </c>
    </row>
    <row r="4" spans="1:14" x14ac:dyDescent="0.25">
      <c r="A4" t="s">
        <v>26</v>
      </c>
      <c r="C4" t="s">
        <v>322</v>
      </c>
      <c r="D4" t="s">
        <v>284</v>
      </c>
      <c r="E4" t="s">
        <v>304</v>
      </c>
      <c r="G4">
        <v>4</v>
      </c>
      <c r="H4">
        <v>1</v>
      </c>
      <c r="I4">
        <v>2</v>
      </c>
      <c r="J4" t="s">
        <v>43</v>
      </c>
    </row>
    <row r="5" spans="1:14" x14ac:dyDescent="0.25">
      <c r="A5" t="s">
        <v>27</v>
      </c>
      <c r="C5" t="s">
        <v>354</v>
      </c>
      <c r="G5">
        <v>1</v>
      </c>
      <c r="H5" t="s">
        <v>43</v>
      </c>
      <c r="I5" t="s">
        <v>43</v>
      </c>
      <c r="J5" t="s">
        <v>43</v>
      </c>
    </row>
    <row r="6" spans="1:14" x14ac:dyDescent="0.25">
      <c r="A6" t="s">
        <v>29</v>
      </c>
      <c r="C6" t="s">
        <v>327</v>
      </c>
      <c r="D6" t="s">
        <v>309</v>
      </c>
      <c r="G6">
        <v>1</v>
      </c>
      <c r="H6">
        <v>2</v>
      </c>
      <c r="I6" t="s">
        <v>43</v>
      </c>
      <c r="J6" t="s">
        <v>43</v>
      </c>
    </row>
    <row r="7" spans="1:14" x14ac:dyDescent="0.25">
      <c r="A7" t="s">
        <v>30</v>
      </c>
      <c r="C7" t="s">
        <v>300</v>
      </c>
      <c r="D7" t="s">
        <v>319</v>
      </c>
      <c r="E7" t="s">
        <v>344</v>
      </c>
      <c r="G7">
        <v>1</v>
      </c>
      <c r="H7">
        <v>6</v>
      </c>
      <c r="I7">
        <v>2</v>
      </c>
      <c r="J7" t="s">
        <v>43</v>
      </c>
    </row>
    <row r="8" spans="1:14" x14ac:dyDescent="0.25">
      <c r="A8" t="s">
        <v>35</v>
      </c>
      <c r="C8" t="s">
        <v>325</v>
      </c>
      <c r="D8" t="s">
        <v>295</v>
      </c>
      <c r="G8">
        <v>1</v>
      </c>
      <c r="H8">
        <v>2</v>
      </c>
      <c r="I8" t="s">
        <v>43</v>
      </c>
      <c r="J8" t="s">
        <v>43</v>
      </c>
    </row>
    <row r="9" spans="1:14" x14ac:dyDescent="0.25">
      <c r="A9" t="s">
        <v>37</v>
      </c>
      <c r="C9" t="s">
        <v>340</v>
      </c>
      <c r="G9">
        <v>5</v>
      </c>
      <c r="H9" t="s">
        <v>43</v>
      </c>
      <c r="I9" t="s">
        <v>43</v>
      </c>
      <c r="J9" t="s">
        <v>43</v>
      </c>
    </row>
    <row r="10" spans="1:14" x14ac:dyDescent="0.25">
      <c r="A10" t="s">
        <v>38</v>
      </c>
      <c r="C10" t="s">
        <v>273</v>
      </c>
      <c r="D10" t="s">
        <v>270</v>
      </c>
      <c r="E10" t="s">
        <v>271</v>
      </c>
      <c r="F10" t="s">
        <v>272</v>
      </c>
      <c r="G10">
        <v>4</v>
      </c>
      <c r="H10">
        <v>4</v>
      </c>
      <c r="I10">
        <v>4</v>
      </c>
      <c r="J10">
        <v>4</v>
      </c>
    </row>
    <row r="11" spans="1:14" x14ac:dyDescent="0.25">
      <c r="A11" t="s">
        <v>52</v>
      </c>
      <c r="C11" t="s">
        <v>317</v>
      </c>
      <c r="G11">
        <v>1</v>
      </c>
      <c r="H11" t="s">
        <v>43</v>
      </c>
      <c r="I11" t="s">
        <v>43</v>
      </c>
      <c r="J11" t="s">
        <v>43</v>
      </c>
    </row>
    <row r="12" spans="1:14" x14ac:dyDescent="0.25">
      <c r="A12" t="s">
        <v>53</v>
      </c>
      <c r="C12" t="s">
        <v>266</v>
      </c>
      <c r="D12" t="s">
        <v>268</v>
      </c>
      <c r="E12" t="s">
        <v>269</v>
      </c>
      <c r="F12" t="s">
        <v>267</v>
      </c>
      <c r="G12">
        <v>6</v>
      </c>
      <c r="H12">
        <v>6</v>
      </c>
      <c r="I12">
        <v>6</v>
      </c>
      <c r="J12">
        <v>6</v>
      </c>
    </row>
    <row r="13" spans="1:14" x14ac:dyDescent="0.25">
      <c r="A13" t="s">
        <v>54</v>
      </c>
      <c r="C13" t="s">
        <v>315</v>
      </c>
      <c r="D13" t="s">
        <v>34</v>
      </c>
      <c r="G13">
        <v>3</v>
      </c>
      <c r="H13">
        <v>1</v>
      </c>
      <c r="I13" t="s">
        <v>43</v>
      </c>
      <c r="J13" t="s">
        <v>43</v>
      </c>
    </row>
    <row r="14" spans="1:14" x14ac:dyDescent="0.25">
      <c r="A14" t="s">
        <v>55</v>
      </c>
      <c r="C14" t="s">
        <v>308</v>
      </c>
      <c r="D14" t="s">
        <v>310</v>
      </c>
      <c r="E14" t="s">
        <v>292</v>
      </c>
      <c r="F14" t="s">
        <v>352</v>
      </c>
      <c r="G14">
        <v>6</v>
      </c>
      <c r="H14">
        <v>4</v>
      </c>
      <c r="I14">
        <v>2</v>
      </c>
      <c r="J14">
        <v>1</v>
      </c>
    </row>
    <row r="15" spans="1:14" x14ac:dyDescent="0.25">
      <c r="A15" t="s">
        <v>56</v>
      </c>
      <c r="C15" t="s">
        <v>297</v>
      </c>
      <c r="D15" t="s">
        <v>330</v>
      </c>
      <c r="E15" t="s">
        <v>359</v>
      </c>
      <c r="F15" t="s">
        <v>359</v>
      </c>
      <c r="G15">
        <v>2</v>
      </c>
      <c r="H15">
        <v>6</v>
      </c>
      <c r="I15">
        <v>1</v>
      </c>
      <c r="J15">
        <v>1</v>
      </c>
    </row>
    <row r="16" spans="1:14" x14ac:dyDescent="0.25">
      <c r="A16" t="s">
        <v>57</v>
      </c>
      <c r="C16" t="s">
        <v>333</v>
      </c>
      <c r="D16" t="s">
        <v>291</v>
      </c>
      <c r="E16" t="s">
        <v>368</v>
      </c>
      <c r="F16" t="s">
        <v>353</v>
      </c>
      <c r="G16">
        <v>3</v>
      </c>
      <c r="H16">
        <v>1</v>
      </c>
      <c r="I16">
        <v>1</v>
      </c>
      <c r="J16">
        <v>2</v>
      </c>
    </row>
    <row r="17" spans="1:10" x14ac:dyDescent="0.25">
      <c r="A17" t="s">
        <v>58</v>
      </c>
      <c r="G17" t="s">
        <v>43</v>
      </c>
      <c r="H17" t="s">
        <v>43</v>
      </c>
      <c r="I17" t="s">
        <v>43</v>
      </c>
      <c r="J17" t="s">
        <v>43</v>
      </c>
    </row>
    <row r="18" spans="1:10" x14ac:dyDescent="0.25">
      <c r="A18" t="s">
        <v>59</v>
      </c>
      <c r="C18" t="s">
        <v>286</v>
      </c>
      <c r="G18">
        <v>1</v>
      </c>
      <c r="H18" t="s">
        <v>43</v>
      </c>
      <c r="I18" t="s">
        <v>43</v>
      </c>
      <c r="J18" t="s">
        <v>43</v>
      </c>
    </row>
    <row r="19" spans="1:10" x14ac:dyDescent="0.25">
      <c r="A19" t="s">
        <v>60</v>
      </c>
      <c r="C19" t="s">
        <v>334</v>
      </c>
      <c r="D19" t="s">
        <v>318</v>
      </c>
      <c r="E19" t="s">
        <v>285</v>
      </c>
      <c r="F19" t="s">
        <v>293</v>
      </c>
      <c r="G19">
        <v>2</v>
      </c>
      <c r="H19">
        <v>1</v>
      </c>
      <c r="I19">
        <v>3</v>
      </c>
      <c r="J19">
        <v>5</v>
      </c>
    </row>
    <row r="20" spans="1:10" x14ac:dyDescent="0.25">
      <c r="A20" t="s">
        <v>61</v>
      </c>
      <c r="C20" t="s">
        <v>337</v>
      </c>
      <c r="G20">
        <v>2</v>
      </c>
      <c r="H20" t="s">
        <v>43</v>
      </c>
      <c r="I20" t="s">
        <v>43</v>
      </c>
      <c r="J20" t="s">
        <v>43</v>
      </c>
    </row>
    <row r="21" spans="1:10" x14ac:dyDescent="0.25">
      <c r="A21" t="s">
        <v>62</v>
      </c>
      <c r="C21" t="s">
        <v>314</v>
      </c>
      <c r="D21" t="s">
        <v>311</v>
      </c>
      <c r="G21">
        <v>2</v>
      </c>
      <c r="H21">
        <v>4</v>
      </c>
      <c r="I21" t="s">
        <v>43</v>
      </c>
      <c r="J21" t="s">
        <v>43</v>
      </c>
    </row>
    <row r="22" spans="1:10" x14ac:dyDescent="0.25">
      <c r="A22" t="s">
        <v>63</v>
      </c>
      <c r="C22" t="s">
        <v>305</v>
      </c>
      <c r="G22">
        <v>1</v>
      </c>
      <c r="H22" t="s">
        <v>43</v>
      </c>
      <c r="I22" t="s">
        <v>43</v>
      </c>
      <c r="J22" t="s">
        <v>43</v>
      </c>
    </row>
    <row r="23" spans="1:10" x14ac:dyDescent="0.25">
      <c r="A23" t="s">
        <v>64</v>
      </c>
      <c r="C23" t="s">
        <v>332</v>
      </c>
      <c r="D23" t="s">
        <v>306</v>
      </c>
      <c r="G23">
        <v>4</v>
      </c>
      <c r="H23">
        <v>1</v>
      </c>
      <c r="I23" t="s">
        <v>43</v>
      </c>
      <c r="J23" t="s">
        <v>43</v>
      </c>
    </row>
    <row r="24" spans="1:10" x14ac:dyDescent="0.25">
      <c r="A24" t="s">
        <v>65</v>
      </c>
      <c r="C24" t="s">
        <v>278</v>
      </c>
      <c r="D24" t="s">
        <v>279</v>
      </c>
      <c r="E24" t="s">
        <v>280</v>
      </c>
      <c r="F24" t="s">
        <v>281</v>
      </c>
      <c r="G24">
        <v>1</v>
      </c>
      <c r="H24">
        <v>1</v>
      </c>
      <c r="I24">
        <v>1</v>
      </c>
      <c r="J24">
        <v>1</v>
      </c>
    </row>
    <row r="25" spans="1:10" x14ac:dyDescent="0.25">
      <c r="A25" t="s">
        <v>66</v>
      </c>
      <c r="C25" t="s">
        <v>346</v>
      </c>
      <c r="D25" t="s">
        <v>339</v>
      </c>
      <c r="G25">
        <v>4</v>
      </c>
      <c r="H25">
        <v>5</v>
      </c>
      <c r="I25" t="s">
        <v>43</v>
      </c>
      <c r="J25" t="s">
        <v>43</v>
      </c>
    </row>
    <row r="26" spans="1:10" x14ac:dyDescent="0.25">
      <c r="A26" t="s">
        <v>67</v>
      </c>
      <c r="C26" t="s">
        <v>323</v>
      </c>
      <c r="G26">
        <v>1</v>
      </c>
      <c r="H26" t="s">
        <v>43</v>
      </c>
      <c r="I26" t="s">
        <v>43</v>
      </c>
      <c r="J26" t="s">
        <v>43</v>
      </c>
    </row>
    <row r="27" spans="1:10" x14ac:dyDescent="0.25">
      <c r="A27" t="s">
        <v>68</v>
      </c>
      <c r="C27" t="s">
        <v>274</v>
      </c>
      <c r="D27" t="s">
        <v>276</v>
      </c>
      <c r="E27" t="s">
        <v>277</v>
      </c>
      <c r="F27" t="s">
        <v>275</v>
      </c>
      <c r="G27">
        <v>5</v>
      </c>
      <c r="H27">
        <v>5</v>
      </c>
      <c r="I27">
        <v>5</v>
      </c>
      <c r="J27">
        <v>5</v>
      </c>
    </row>
    <row r="28" spans="1:10" x14ac:dyDescent="0.25">
      <c r="A28" t="s">
        <v>69</v>
      </c>
      <c r="C28" t="s">
        <v>331</v>
      </c>
      <c r="G28">
        <v>1</v>
      </c>
      <c r="H28" t="s">
        <v>43</v>
      </c>
      <c r="I28" t="s">
        <v>43</v>
      </c>
      <c r="J28" t="s">
        <v>43</v>
      </c>
    </row>
    <row r="29" spans="1:10" x14ac:dyDescent="0.25">
      <c r="A29" t="s">
        <v>70</v>
      </c>
      <c r="C29" t="s">
        <v>349</v>
      </c>
      <c r="D29" t="s">
        <v>328</v>
      </c>
      <c r="G29">
        <v>2</v>
      </c>
      <c r="H29">
        <v>1</v>
      </c>
      <c r="I29" t="s">
        <v>43</v>
      </c>
      <c r="J29" t="s">
        <v>43</v>
      </c>
    </row>
    <row r="30" spans="1:10" x14ac:dyDescent="0.25">
      <c r="A30" t="s">
        <v>71</v>
      </c>
      <c r="C30" t="s">
        <v>36</v>
      </c>
      <c r="D30" t="s">
        <v>343</v>
      </c>
      <c r="G30">
        <v>1</v>
      </c>
      <c r="H30">
        <v>3</v>
      </c>
      <c r="I30" t="s">
        <v>43</v>
      </c>
      <c r="J30" t="s">
        <v>43</v>
      </c>
    </row>
    <row r="31" spans="1:10" x14ac:dyDescent="0.25">
      <c r="A31" t="s">
        <v>72</v>
      </c>
      <c r="C31" t="s">
        <v>291</v>
      </c>
      <c r="D31" t="s">
        <v>368</v>
      </c>
      <c r="G31">
        <v>1</v>
      </c>
      <c r="H31">
        <v>1</v>
      </c>
      <c r="I31" t="s">
        <v>43</v>
      </c>
      <c r="J31" t="s">
        <v>43</v>
      </c>
    </row>
    <row r="32" spans="1:10" x14ac:dyDescent="0.25">
      <c r="A32" t="s">
        <v>73</v>
      </c>
      <c r="C32" t="s">
        <v>326</v>
      </c>
      <c r="D32" t="s">
        <v>303</v>
      </c>
      <c r="E32" t="s">
        <v>345</v>
      </c>
      <c r="G32">
        <v>2</v>
      </c>
      <c r="H32">
        <v>1</v>
      </c>
      <c r="I32">
        <v>4</v>
      </c>
      <c r="J32" t="s">
        <v>43</v>
      </c>
    </row>
    <row r="33" spans="1:10" x14ac:dyDescent="0.25">
      <c r="A33" t="s">
        <v>75</v>
      </c>
      <c r="C33" t="s">
        <v>298</v>
      </c>
      <c r="D33" t="s">
        <v>299</v>
      </c>
      <c r="G33">
        <v>3</v>
      </c>
      <c r="H33">
        <v>4</v>
      </c>
      <c r="I33" t="s">
        <v>43</v>
      </c>
      <c r="J33" t="s">
        <v>43</v>
      </c>
    </row>
    <row r="34" spans="1:10" x14ac:dyDescent="0.25">
      <c r="A34" t="s">
        <v>76</v>
      </c>
      <c r="C34" t="s">
        <v>288</v>
      </c>
      <c r="G34">
        <v>2</v>
      </c>
      <c r="H34" t="s">
        <v>43</v>
      </c>
      <c r="I34" t="s">
        <v>43</v>
      </c>
      <c r="J34" t="s">
        <v>43</v>
      </c>
    </row>
    <row r="35" spans="1:10" x14ac:dyDescent="0.25">
      <c r="A35" t="s">
        <v>77</v>
      </c>
      <c r="C35" t="s">
        <v>296</v>
      </c>
      <c r="D35" t="s">
        <v>329</v>
      </c>
      <c r="G35">
        <v>1</v>
      </c>
      <c r="H35">
        <v>2</v>
      </c>
      <c r="I35" t="s">
        <v>43</v>
      </c>
      <c r="J35" t="s">
        <v>43</v>
      </c>
    </row>
    <row r="36" spans="1:10" x14ac:dyDescent="0.25">
      <c r="A36" t="s">
        <v>78</v>
      </c>
      <c r="C36" t="s">
        <v>312</v>
      </c>
      <c r="D36" t="s">
        <v>348</v>
      </c>
      <c r="G36">
        <v>2</v>
      </c>
      <c r="H36">
        <v>1</v>
      </c>
      <c r="I36" t="s">
        <v>43</v>
      </c>
      <c r="J36" t="s">
        <v>43</v>
      </c>
    </row>
    <row r="37" spans="1:10" x14ac:dyDescent="0.25">
      <c r="A37" t="s">
        <v>79</v>
      </c>
      <c r="C37" t="s">
        <v>307</v>
      </c>
      <c r="G37">
        <v>1</v>
      </c>
      <c r="H37" t="s">
        <v>43</v>
      </c>
      <c r="I37" t="s">
        <v>43</v>
      </c>
      <c r="J37" t="s">
        <v>43</v>
      </c>
    </row>
    <row r="38" spans="1:10" x14ac:dyDescent="0.25">
      <c r="A38" t="s">
        <v>80</v>
      </c>
      <c r="C38" t="s">
        <v>301</v>
      </c>
      <c r="G38">
        <v>1</v>
      </c>
      <c r="H38" t="s">
        <v>43</v>
      </c>
      <c r="I38" t="s">
        <v>43</v>
      </c>
      <c r="J38" t="s">
        <v>43</v>
      </c>
    </row>
    <row r="39" spans="1:10" x14ac:dyDescent="0.25">
      <c r="A39" t="s">
        <v>81</v>
      </c>
      <c r="C39" t="s">
        <v>350</v>
      </c>
      <c r="D39" t="s">
        <v>336</v>
      </c>
      <c r="E39" t="s">
        <v>324</v>
      </c>
      <c r="G39">
        <v>4</v>
      </c>
      <c r="H39">
        <v>1</v>
      </c>
      <c r="I39">
        <v>2</v>
      </c>
      <c r="J39" t="s">
        <v>43</v>
      </c>
    </row>
    <row r="40" spans="1:10" x14ac:dyDescent="0.25">
      <c r="A40" t="s">
        <v>74</v>
      </c>
      <c r="C40" t="s">
        <v>342</v>
      </c>
      <c r="G40">
        <v>1</v>
      </c>
      <c r="H40" t="s">
        <v>43</v>
      </c>
      <c r="I40" t="s">
        <v>43</v>
      </c>
      <c r="J40" t="s">
        <v>43</v>
      </c>
    </row>
    <row r="41" spans="1:10" x14ac:dyDescent="0.25">
      <c r="A41" t="s">
        <v>82</v>
      </c>
      <c r="C41" t="s">
        <v>341</v>
      </c>
      <c r="D41" t="s">
        <v>294</v>
      </c>
      <c r="G41">
        <v>1</v>
      </c>
      <c r="H41">
        <v>2</v>
      </c>
      <c r="I41" t="s">
        <v>43</v>
      </c>
      <c r="J41" t="s">
        <v>43</v>
      </c>
    </row>
    <row r="42" spans="1:10" x14ac:dyDescent="0.25">
      <c r="A42" t="s">
        <v>83</v>
      </c>
      <c r="C42" t="s">
        <v>33</v>
      </c>
      <c r="D42" t="s">
        <v>313</v>
      </c>
      <c r="G42">
        <v>1</v>
      </c>
      <c r="H42">
        <v>2</v>
      </c>
      <c r="I42" t="s">
        <v>43</v>
      </c>
      <c r="J42" t="s">
        <v>43</v>
      </c>
    </row>
    <row r="43" spans="1:10" x14ac:dyDescent="0.25">
      <c r="A43" t="s">
        <v>84</v>
      </c>
      <c r="C43" t="s">
        <v>32</v>
      </c>
      <c r="D43" t="s">
        <v>316</v>
      </c>
      <c r="E43" t="s">
        <v>355</v>
      </c>
      <c r="F43" t="s">
        <v>355</v>
      </c>
      <c r="G43">
        <v>3</v>
      </c>
      <c r="H43">
        <v>1</v>
      </c>
      <c r="I43">
        <v>2</v>
      </c>
      <c r="J43">
        <v>2</v>
      </c>
    </row>
    <row r="44" spans="1:10" x14ac:dyDescent="0.25">
      <c r="A44" t="s">
        <v>85</v>
      </c>
      <c r="C44" t="s">
        <v>290</v>
      </c>
      <c r="D44" t="s">
        <v>367</v>
      </c>
      <c r="E44" t="s">
        <v>358</v>
      </c>
      <c r="F44" t="s">
        <v>321</v>
      </c>
      <c r="G44">
        <v>1</v>
      </c>
      <c r="H44">
        <v>1</v>
      </c>
      <c r="I44">
        <v>1</v>
      </c>
      <c r="J44">
        <v>2</v>
      </c>
    </row>
    <row r="45" spans="1:10" x14ac:dyDescent="0.25">
      <c r="A45" t="s">
        <v>86</v>
      </c>
      <c r="C45" t="s">
        <v>338</v>
      </c>
      <c r="D45" t="s">
        <v>287</v>
      </c>
      <c r="G45">
        <v>1</v>
      </c>
      <c r="H45">
        <v>3</v>
      </c>
      <c r="I45" t="s">
        <v>43</v>
      </c>
      <c r="J45" t="s">
        <v>43</v>
      </c>
    </row>
    <row r="46" spans="1:10" x14ac:dyDescent="0.25">
      <c r="A46" t="s">
        <v>87</v>
      </c>
      <c r="C46" t="s">
        <v>31</v>
      </c>
      <c r="D46" t="s">
        <v>320</v>
      </c>
      <c r="G46">
        <v>2</v>
      </c>
      <c r="H46">
        <v>1</v>
      </c>
      <c r="I46" t="s">
        <v>43</v>
      </c>
      <c r="J46" t="s">
        <v>43</v>
      </c>
    </row>
    <row r="47" spans="1:10" x14ac:dyDescent="0.25">
      <c r="A47" t="s">
        <v>88</v>
      </c>
      <c r="C47" t="s">
        <v>302</v>
      </c>
      <c r="D47" t="s">
        <v>351</v>
      </c>
      <c r="G47">
        <v>2</v>
      </c>
      <c r="H47">
        <v>1</v>
      </c>
      <c r="I47" t="s">
        <v>43</v>
      </c>
      <c r="J47" t="s">
        <v>43</v>
      </c>
    </row>
    <row r="48" spans="1:10" x14ac:dyDescent="0.25">
      <c r="A48" t="s">
        <v>89</v>
      </c>
      <c r="C48" t="s">
        <v>283</v>
      </c>
      <c r="G48">
        <v>2</v>
      </c>
      <c r="H48" t="s">
        <v>43</v>
      </c>
      <c r="I48" t="s">
        <v>43</v>
      </c>
      <c r="J48" t="s">
        <v>43</v>
      </c>
    </row>
    <row r="49" spans="1:10" x14ac:dyDescent="0.25">
      <c r="A49" t="s">
        <v>90</v>
      </c>
      <c r="G49" t="s">
        <v>43</v>
      </c>
      <c r="H49" t="s">
        <v>43</v>
      </c>
      <c r="I49" t="s">
        <v>43</v>
      </c>
      <c r="J49" t="s">
        <v>43</v>
      </c>
    </row>
    <row r="50" spans="1:10" x14ac:dyDescent="0.25">
      <c r="A50" t="s">
        <v>91</v>
      </c>
      <c r="C50" t="s">
        <v>335</v>
      </c>
      <c r="D50" t="s">
        <v>357</v>
      </c>
      <c r="E50" t="s">
        <v>366</v>
      </c>
      <c r="F50" t="s">
        <v>289</v>
      </c>
      <c r="G50">
        <v>4</v>
      </c>
      <c r="H50">
        <v>5</v>
      </c>
      <c r="I50">
        <v>5</v>
      </c>
      <c r="J50">
        <v>5</v>
      </c>
    </row>
    <row r="51" spans="1:10" x14ac:dyDescent="0.25">
      <c r="A51" t="s">
        <v>92</v>
      </c>
      <c r="C51" t="s">
        <v>347</v>
      </c>
      <c r="D51" t="s">
        <v>282</v>
      </c>
      <c r="E51" t="s">
        <v>352</v>
      </c>
      <c r="G51">
        <v>4</v>
      </c>
      <c r="H51">
        <v>2</v>
      </c>
      <c r="I51">
        <v>1</v>
      </c>
      <c r="J51" t="s">
        <v>43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7030A0"/>
  </sheetPr>
  <dimension ref="A1:G1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13" sqref="A13"/>
    </sheetView>
  </sheetViews>
  <sheetFormatPr defaultRowHeight="15" x14ac:dyDescent="0.25"/>
  <cols>
    <col min="1" max="1" width="10.85546875" bestFit="1" customWidth="1"/>
    <col min="2" max="2" width="9" bestFit="1" customWidth="1"/>
    <col min="3" max="7" width="22.7109375" customWidth="1"/>
  </cols>
  <sheetData>
    <row r="1" spans="1:7" ht="15.75" thickBot="1" x14ac:dyDescent="0.3">
      <c r="A1" s="33" t="s">
        <v>202</v>
      </c>
      <c r="B1" s="33"/>
      <c r="C1" s="33"/>
      <c r="D1" s="33"/>
      <c r="E1" s="33"/>
      <c r="F1" s="33"/>
      <c r="G1" s="33"/>
    </row>
    <row r="2" spans="1:7" x14ac:dyDescent="0.25">
      <c r="A2" s="34"/>
      <c r="B2" s="35"/>
      <c r="C2" s="9" t="s">
        <v>203</v>
      </c>
      <c r="D2" s="9" t="s">
        <v>204</v>
      </c>
      <c r="E2" s="9" t="s">
        <v>205</v>
      </c>
      <c r="F2" s="9" t="s">
        <v>206</v>
      </c>
      <c r="G2" s="10" t="s">
        <v>207</v>
      </c>
    </row>
    <row r="3" spans="1:7" x14ac:dyDescent="0.25">
      <c r="A3" s="11" t="s">
        <v>208</v>
      </c>
      <c r="B3" s="12" t="s">
        <v>209</v>
      </c>
      <c r="C3" s="13" t="s">
        <v>210</v>
      </c>
      <c r="D3" s="13">
        <v>2</v>
      </c>
      <c r="E3" s="13" t="s">
        <v>210</v>
      </c>
      <c r="F3" s="14">
        <v>3</v>
      </c>
      <c r="G3" s="15" t="s">
        <v>211</v>
      </c>
    </row>
    <row r="4" spans="1:7" x14ac:dyDescent="0.25">
      <c r="A4" s="11" t="s">
        <v>212</v>
      </c>
      <c r="B4" s="12" t="s">
        <v>213</v>
      </c>
      <c r="C4" s="16">
        <v>4</v>
      </c>
      <c r="D4" s="16" t="s">
        <v>214</v>
      </c>
      <c r="E4" s="16">
        <v>4</v>
      </c>
      <c r="F4" s="14">
        <v>3</v>
      </c>
      <c r="G4" s="17" t="s">
        <v>214</v>
      </c>
    </row>
    <row r="5" spans="1:7" x14ac:dyDescent="0.25">
      <c r="A5" s="11" t="s">
        <v>215</v>
      </c>
      <c r="B5" s="12" t="s">
        <v>216</v>
      </c>
      <c r="C5" s="16">
        <v>6</v>
      </c>
      <c r="D5" s="16" t="s">
        <v>217</v>
      </c>
      <c r="E5" s="18" t="s">
        <v>218</v>
      </c>
      <c r="F5" s="16">
        <v>6</v>
      </c>
      <c r="G5" s="17" t="s">
        <v>217</v>
      </c>
    </row>
    <row r="6" spans="1:7" x14ac:dyDescent="0.25">
      <c r="A6" s="11" t="s">
        <v>219</v>
      </c>
      <c r="B6" s="12" t="s">
        <v>220</v>
      </c>
      <c r="C6" s="16" t="s">
        <v>221</v>
      </c>
      <c r="D6" s="16" t="s">
        <v>222</v>
      </c>
      <c r="E6" s="18" t="s">
        <v>218</v>
      </c>
      <c r="F6" s="16" t="s">
        <v>221</v>
      </c>
      <c r="G6" s="17" t="s">
        <v>222</v>
      </c>
    </row>
    <row r="7" spans="1:7" x14ac:dyDescent="0.25">
      <c r="A7" s="11" t="s">
        <v>223</v>
      </c>
      <c r="B7" s="12" t="s">
        <v>224</v>
      </c>
      <c r="C7" s="16" t="s">
        <v>225</v>
      </c>
      <c r="D7" s="19" t="s">
        <v>226</v>
      </c>
      <c r="E7" s="19" t="s">
        <v>226</v>
      </c>
      <c r="F7" s="16" t="s">
        <v>225</v>
      </c>
      <c r="G7" s="20">
        <v>16</v>
      </c>
    </row>
    <row r="8" spans="1:7" x14ac:dyDescent="0.25">
      <c r="A8" s="21" t="s">
        <v>227</v>
      </c>
      <c r="B8" s="22" t="s">
        <v>4</v>
      </c>
      <c r="C8" s="16">
        <v>12</v>
      </c>
      <c r="D8" s="16" t="s">
        <v>228</v>
      </c>
      <c r="E8" s="16">
        <v>12</v>
      </c>
      <c r="F8" s="16" t="s">
        <v>228</v>
      </c>
      <c r="G8" s="20">
        <v>16</v>
      </c>
    </row>
    <row r="9" spans="1:7" x14ac:dyDescent="0.25">
      <c r="A9" s="11" t="s">
        <v>229</v>
      </c>
      <c r="B9" s="12" t="s">
        <v>5</v>
      </c>
      <c r="C9" s="16" t="s">
        <v>230</v>
      </c>
      <c r="D9" s="16" t="s">
        <v>231</v>
      </c>
      <c r="E9" s="16" t="s">
        <v>230</v>
      </c>
      <c r="F9" s="16" t="s">
        <v>231</v>
      </c>
      <c r="G9" s="17"/>
    </row>
    <row r="10" spans="1:7" x14ac:dyDescent="0.25">
      <c r="A10" s="11" t="s">
        <v>232</v>
      </c>
      <c r="B10" s="12" t="s">
        <v>233</v>
      </c>
      <c r="C10" s="16" t="s">
        <v>234</v>
      </c>
      <c r="D10" s="16" t="s">
        <v>235</v>
      </c>
      <c r="E10" s="16" t="s">
        <v>236</v>
      </c>
      <c r="F10" s="16" t="s">
        <v>218</v>
      </c>
      <c r="G10" s="17"/>
    </row>
    <row r="11" spans="1:7" x14ac:dyDescent="0.25">
      <c r="A11" s="11" t="s">
        <v>237</v>
      </c>
      <c r="B11" s="12" t="s">
        <v>238</v>
      </c>
      <c r="C11" s="13" t="s">
        <v>239</v>
      </c>
      <c r="D11" s="13" t="s">
        <v>240</v>
      </c>
      <c r="E11" s="13" t="s">
        <v>241</v>
      </c>
      <c r="F11" s="13">
        <v>24</v>
      </c>
      <c r="G11" s="17"/>
    </row>
    <row r="12" spans="1:7" ht="15.75" thickBot="1" x14ac:dyDescent="0.3">
      <c r="A12" s="23" t="s">
        <v>242</v>
      </c>
      <c r="B12" s="24" t="s">
        <v>238</v>
      </c>
      <c r="C12" s="25" t="s">
        <v>243</v>
      </c>
      <c r="D12" s="25" t="s">
        <v>244</v>
      </c>
      <c r="E12" s="25" t="s">
        <v>245</v>
      </c>
      <c r="F12" s="26">
        <v>28</v>
      </c>
      <c r="G12" s="27"/>
    </row>
  </sheetData>
  <mergeCells count="2">
    <mergeCell ref="A1:G1"/>
    <mergeCell ref="A2:B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Q51"/>
  <sheetViews>
    <sheetView workbookViewId="0">
      <selection activeCell="A2" sqref="A2:I51"/>
    </sheetView>
  </sheetViews>
  <sheetFormatPr defaultRowHeight="15" x14ac:dyDescent="0.25"/>
  <cols>
    <col min="1" max="1" width="10" bestFit="1" customWidth="1"/>
    <col min="2" max="2" width="15.7109375" customWidth="1"/>
    <col min="3" max="3" width="14.28515625" bestFit="1" customWidth="1"/>
    <col min="4" max="9" width="9" bestFit="1" customWidth="1"/>
    <col min="10" max="13" width="12" bestFit="1" customWidth="1"/>
    <col min="18" max="18" width="7.42578125" customWidth="1"/>
    <col min="19" max="19" width="1.7109375" customWidth="1"/>
  </cols>
  <sheetData>
    <row r="1" spans="1:17" x14ac:dyDescent="0.25">
      <c r="A1" s="29" t="s">
        <v>18</v>
      </c>
      <c r="B1" s="29" t="s">
        <v>19</v>
      </c>
      <c r="C1" s="29" t="s">
        <v>356</v>
      </c>
      <c r="D1" s="29" t="s">
        <v>249</v>
      </c>
      <c r="E1" s="29" t="s">
        <v>250</v>
      </c>
      <c r="F1" s="29" t="s">
        <v>251</v>
      </c>
      <c r="G1" s="29" t="s">
        <v>252</v>
      </c>
      <c r="H1" s="29" t="s">
        <v>253</v>
      </c>
      <c r="I1" s="29" t="s">
        <v>254</v>
      </c>
      <c r="J1" s="29" t="s">
        <v>48</v>
      </c>
      <c r="K1" s="29" t="s">
        <v>49</v>
      </c>
      <c r="L1" s="29" t="s">
        <v>50</v>
      </c>
      <c r="M1" s="29" t="s">
        <v>51</v>
      </c>
      <c r="N1" s="29" t="s">
        <v>255</v>
      </c>
      <c r="O1" s="29" t="s">
        <v>256</v>
      </c>
      <c r="P1" s="29" t="s">
        <v>257</v>
      </c>
      <c r="Q1" s="29" t="s">
        <v>258</v>
      </c>
    </row>
    <row r="2" spans="1:17" x14ac:dyDescent="0.25">
      <c r="A2" t="s">
        <v>24</v>
      </c>
      <c r="B2" t="s">
        <v>4</v>
      </c>
      <c r="C2">
        <v>1</v>
      </c>
      <c r="D2" t="s">
        <v>105</v>
      </c>
      <c r="E2" t="s">
        <v>157</v>
      </c>
      <c r="F2" t="s">
        <v>148</v>
      </c>
      <c r="G2" t="s">
        <v>13</v>
      </c>
      <c r="H2" t="s">
        <v>9</v>
      </c>
      <c r="N2" s="32" t="str">
        <f>IFERROR(MATCH(LEFT(CProf[[#This Row],[Session_1]],5),CProf[[#This Row],[Pref_1]:[Pref_6]],0),"")</f>
        <v/>
      </c>
      <c r="O2" s="32" t="str">
        <f>IFERROR(MATCH(LEFT(CProf[[#This Row],[Session_2]],5),CProf[[#This Row],[Pref_1]:[Pref_6]],0),"")</f>
        <v/>
      </c>
      <c r="P2" s="32" t="str">
        <f>IFERROR(MATCH(LEFT(CProf[[#This Row],[Session_3]],5),CProf[[#This Row],[Pref_1]:[Pref_6]],0),"")</f>
        <v/>
      </c>
      <c r="Q2" s="32" t="str">
        <f>IFERROR(MATCH(LEFT(CProf[[#This Row],[Session_4]],5),CProf[[#This Row],[Pref_1]:[Pref_6]],0),"")</f>
        <v/>
      </c>
    </row>
    <row r="3" spans="1:17" x14ac:dyDescent="0.25">
      <c r="A3" t="s">
        <v>25</v>
      </c>
      <c r="B3" t="s">
        <v>4</v>
      </c>
      <c r="C3">
        <v>0</v>
      </c>
      <c r="D3" t="s">
        <v>124</v>
      </c>
      <c r="E3" t="s">
        <v>119</v>
      </c>
      <c r="F3" t="s">
        <v>199</v>
      </c>
      <c r="G3" t="s">
        <v>141</v>
      </c>
      <c r="H3" t="s">
        <v>103</v>
      </c>
      <c r="J3" t="s">
        <v>265</v>
      </c>
      <c r="K3" t="s">
        <v>263</v>
      </c>
      <c r="L3" t="s">
        <v>264</v>
      </c>
      <c r="M3" t="s">
        <v>262</v>
      </c>
      <c r="N3" s="32">
        <f>IFERROR(MATCH(LEFT(CProf[[#This Row],[Session_1]],5),CProf[[#This Row],[Pref_1]:[Pref_6]],0),"")</f>
        <v>3</v>
      </c>
      <c r="O3" s="32">
        <f>IFERROR(MATCH(LEFT(CProf[[#This Row],[Session_2]],5),CProf[[#This Row],[Pref_1]:[Pref_6]],0),"")</f>
        <v>3</v>
      </c>
      <c r="P3" s="32">
        <f>IFERROR(MATCH(LEFT(CProf[[#This Row],[Session_3]],5),CProf[[#This Row],[Pref_1]:[Pref_6]],0),"")</f>
        <v>3</v>
      </c>
      <c r="Q3" s="32">
        <f>IFERROR(MATCH(LEFT(CProf[[#This Row],[Session_4]],5),CProf[[#This Row],[Pref_1]:[Pref_6]],0),"")</f>
        <v>3</v>
      </c>
    </row>
    <row r="4" spans="1:17" x14ac:dyDescent="0.25">
      <c r="A4" t="s">
        <v>26</v>
      </c>
      <c r="B4" t="s">
        <v>4</v>
      </c>
      <c r="C4">
        <v>0</v>
      </c>
      <c r="D4" t="s">
        <v>13</v>
      </c>
      <c r="E4" t="s">
        <v>108</v>
      </c>
      <c r="F4" t="s">
        <v>148</v>
      </c>
      <c r="G4" t="s">
        <v>126</v>
      </c>
      <c r="H4" t="s">
        <v>152</v>
      </c>
      <c r="I4" t="s">
        <v>145</v>
      </c>
      <c r="J4" t="s">
        <v>322</v>
      </c>
      <c r="K4" t="s">
        <v>284</v>
      </c>
      <c r="L4" t="s">
        <v>304</v>
      </c>
      <c r="N4" s="32">
        <f>IFERROR(MATCH(LEFT(CProf[[#This Row],[Session_1]],5),CProf[[#This Row],[Pref_1]:[Pref_6]],0),"")</f>
        <v>4</v>
      </c>
      <c r="O4" s="32">
        <f>IFERROR(MATCH(LEFT(CProf[[#This Row],[Session_2]],5),CProf[[#This Row],[Pref_1]:[Pref_6]],0),"")</f>
        <v>1</v>
      </c>
      <c r="P4" s="32">
        <f>IFERROR(MATCH(LEFT(CProf[[#This Row],[Session_3]],5),CProf[[#This Row],[Pref_1]:[Pref_6]],0),"")</f>
        <v>2</v>
      </c>
      <c r="Q4" s="32" t="str">
        <f>IFERROR(MATCH(LEFT(CProf[[#This Row],[Session_4]],5),CProf[[#This Row],[Pref_1]:[Pref_6]],0),"")</f>
        <v/>
      </c>
    </row>
    <row r="5" spans="1:17" x14ac:dyDescent="0.25">
      <c r="A5" t="s">
        <v>27</v>
      </c>
      <c r="B5" t="s">
        <v>28</v>
      </c>
      <c r="C5">
        <v>0</v>
      </c>
      <c r="D5" t="s">
        <v>158</v>
      </c>
      <c r="E5" t="s">
        <v>201</v>
      </c>
      <c r="F5" t="s">
        <v>12</v>
      </c>
      <c r="G5" t="s">
        <v>98</v>
      </c>
      <c r="H5" t="s">
        <v>120</v>
      </c>
      <c r="I5" t="s">
        <v>99</v>
      </c>
      <c r="J5" t="s">
        <v>354</v>
      </c>
      <c r="N5" s="32">
        <f>IFERROR(MATCH(LEFT(CProf[[#This Row],[Session_1]],5),CProf[[#This Row],[Pref_1]:[Pref_6]],0),"")</f>
        <v>1</v>
      </c>
      <c r="O5" s="32" t="str">
        <f>IFERROR(MATCH(LEFT(CProf[[#This Row],[Session_2]],5),CProf[[#This Row],[Pref_1]:[Pref_6]],0),"")</f>
        <v/>
      </c>
      <c r="P5" s="32" t="str">
        <f>IFERROR(MATCH(LEFT(CProf[[#This Row],[Session_3]],5),CProf[[#This Row],[Pref_1]:[Pref_6]],0),"")</f>
        <v/>
      </c>
      <c r="Q5" s="32" t="str">
        <f>IFERROR(MATCH(LEFT(CProf[[#This Row],[Session_4]],5),CProf[[#This Row],[Pref_1]:[Pref_6]],0),"")</f>
        <v/>
      </c>
    </row>
    <row r="6" spans="1:17" x14ac:dyDescent="0.25">
      <c r="A6" t="s">
        <v>29</v>
      </c>
      <c r="B6" t="s">
        <v>4</v>
      </c>
      <c r="C6">
        <v>0</v>
      </c>
      <c r="D6" t="s">
        <v>131</v>
      </c>
      <c r="E6" t="s">
        <v>113</v>
      </c>
      <c r="F6" t="s">
        <v>108</v>
      </c>
      <c r="G6" t="s">
        <v>109</v>
      </c>
      <c r="H6" t="s">
        <v>147</v>
      </c>
      <c r="I6" t="s">
        <v>115</v>
      </c>
      <c r="J6" t="s">
        <v>327</v>
      </c>
      <c r="K6" t="s">
        <v>309</v>
      </c>
      <c r="N6" s="32">
        <f>IFERROR(MATCH(LEFT(CProf[[#This Row],[Session_1]],5),CProf[[#This Row],[Pref_1]:[Pref_6]],0),"")</f>
        <v>1</v>
      </c>
      <c r="O6" s="32">
        <f>IFERROR(MATCH(LEFT(CProf[[#This Row],[Session_2]],5),CProf[[#This Row],[Pref_1]:[Pref_6]],0),"")</f>
        <v>2</v>
      </c>
      <c r="P6" s="32" t="str">
        <f>IFERROR(MATCH(LEFT(CProf[[#This Row],[Session_3]],5),CProf[[#This Row],[Pref_1]:[Pref_6]],0),"")</f>
        <v/>
      </c>
      <c r="Q6" s="32" t="str">
        <f>IFERROR(MATCH(LEFT(CProf[[#This Row],[Session_4]],5),CProf[[#This Row],[Pref_1]:[Pref_6]],0),"")</f>
        <v/>
      </c>
    </row>
    <row r="7" spans="1:17" x14ac:dyDescent="0.25">
      <c r="A7" t="s">
        <v>30</v>
      </c>
      <c r="B7" t="s">
        <v>4</v>
      </c>
      <c r="C7">
        <v>0</v>
      </c>
      <c r="D7" t="s">
        <v>104</v>
      </c>
      <c r="E7" t="s">
        <v>148</v>
      </c>
      <c r="F7" t="s">
        <v>118</v>
      </c>
      <c r="G7" t="s">
        <v>260</v>
      </c>
      <c r="H7" t="s">
        <v>159</v>
      </c>
      <c r="I7" t="s">
        <v>123</v>
      </c>
      <c r="J7" t="s">
        <v>300</v>
      </c>
      <c r="K7" t="s">
        <v>319</v>
      </c>
      <c r="L7" t="s">
        <v>344</v>
      </c>
      <c r="N7" s="32">
        <f>IFERROR(MATCH(LEFT(CProf[[#This Row],[Session_1]],5),CProf[[#This Row],[Pref_1]:[Pref_6]],0),"")</f>
        <v>1</v>
      </c>
      <c r="O7" s="32">
        <f>IFERROR(MATCH(LEFT(CProf[[#This Row],[Session_2]],5),CProf[[#This Row],[Pref_1]:[Pref_6]],0),"")</f>
        <v>6</v>
      </c>
      <c r="P7" s="32">
        <f>IFERROR(MATCH(LEFT(CProf[[#This Row],[Session_3]],5),CProf[[#This Row],[Pref_1]:[Pref_6]],0),"")</f>
        <v>2</v>
      </c>
      <c r="Q7" s="32" t="str">
        <f>IFERROR(MATCH(LEFT(CProf[[#This Row],[Session_4]],5),CProf[[#This Row],[Pref_1]:[Pref_6]],0),"")</f>
        <v/>
      </c>
    </row>
    <row r="8" spans="1:17" x14ac:dyDescent="0.25">
      <c r="A8" t="s">
        <v>35</v>
      </c>
      <c r="B8" t="s">
        <v>28</v>
      </c>
      <c r="C8">
        <v>1</v>
      </c>
      <c r="D8" t="s">
        <v>129</v>
      </c>
      <c r="E8" t="s">
        <v>99</v>
      </c>
      <c r="F8" t="s">
        <v>141</v>
      </c>
      <c r="G8" t="s">
        <v>11</v>
      </c>
      <c r="H8" t="s">
        <v>120</v>
      </c>
      <c r="I8" t="s">
        <v>136</v>
      </c>
      <c r="J8" t="s">
        <v>325</v>
      </c>
      <c r="K8" t="s">
        <v>295</v>
      </c>
      <c r="N8" s="32">
        <f>IFERROR(MATCH(LEFT(CProf[[#This Row],[Session_1]],5),CProf[[#This Row],[Pref_1]:[Pref_6]],0),"")</f>
        <v>1</v>
      </c>
      <c r="O8" s="32">
        <f>IFERROR(MATCH(LEFT(CProf[[#This Row],[Session_2]],5),CProf[[#This Row],[Pref_1]:[Pref_6]],0),"")</f>
        <v>2</v>
      </c>
      <c r="P8" s="32" t="str">
        <f>IFERROR(MATCH(LEFT(CProf[[#This Row],[Session_3]],5),CProf[[#This Row],[Pref_1]:[Pref_6]],0),"")</f>
        <v/>
      </c>
      <c r="Q8" s="32" t="str">
        <f>IFERROR(MATCH(LEFT(CProf[[#This Row],[Session_4]],5),CProf[[#This Row],[Pref_1]:[Pref_6]],0),"")</f>
        <v/>
      </c>
    </row>
    <row r="9" spans="1:17" x14ac:dyDescent="0.25">
      <c r="A9" t="s">
        <v>37</v>
      </c>
      <c r="B9" t="s">
        <v>28</v>
      </c>
      <c r="C9">
        <v>2</v>
      </c>
      <c r="D9" t="s">
        <v>132</v>
      </c>
      <c r="E9" t="s">
        <v>121</v>
      </c>
      <c r="F9" t="s">
        <v>156</v>
      </c>
      <c r="G9" t="s">
        <v>122</v>
      </c>
      <c r="H9" t="s">
        <v>144</v>
      </c>
      <c r="J9" t="s">
        <v>340</v>
      </c>
      <c r="N9" s="32">
        <f>IFERROR(MATCH(LEFT(CProf[[#This Row],[Session_1]],5),CProf[[#This Row],[Pref_1]:[Pref_6]],0),"")</f>
        <v>5</v>
      </c>
      <c r="O9" s="32" t="str">
        <f>IFERROR(MATCH(LEFT(CProf[[#This Row],[Session_2]],5),CProf[[#This Row],[Pref_1]:[Pref_6]],0),"")</f>
        <v/>
      </c>
      <c r="P9" s="32" t="str">
        <f>IFERROR(MATCH(LEFT(CProf[[#This Row],[Session_3]],5),CProf[[#This Row],[Pref_1]:[Pref_6]],0),"")</f>
        <v/>
      </c>
      <c r="Q9" s="32" t="str">
        <f>IFERROR(MATCH(LEFT(CProf[[#This Row],[Session_4]],5),CProf[[#This Row],[Pref_1]:[Pref_6]],0),"")</f>
        <v/>
      </c>
    </row>
    <row r="10" spans="1:17" x14ac:dyDescent="0.25">
      <c r="A10" t="s">
        <v>38</v>
      </c>
      <c r="B10" t="s">
        <v>4</v>
      </c>
      <c r="C10">
        <v>0</v>
      </c>
      <c r="D10" t="s">
        <v>147</v>
      </c>
      <c r="E10" t="s">
        <v>149</v>
      </c>
      <c r="F10" t="s">
        <v>8</v>
      </c>
      <c r="G10" t="s">
        <v>201</v>
      </c>
      <c r="H10" t="s">
        <v>138</v>
      </c>
      <c r="I10" t="s">
        <v>150</v>
      </c>
      <c r="J10" t="s">
        <v>273</v>
      </c>
      <c r="K10" t="s">
        <v>270</v>
      </c>
      <c r="L10" t="s">
        <v>271</v>
      </c>
      <c r="M10" t="s">
        <v>272</v>
      </c>
      <c r="N10" s="32">
        <f>IFERROR(MATCH(LEFT(CProf[[#This Row],[Session_1]],5),CProf[[#This Row],[Pref_1]:[Pref_6]],0),"")</f>
        <v>4</v>
      </c>
      <c r="O10" s="32">
        <f>IFERROR(MATCH(LEFT(CProf[[#This Row],[Session_2]],5),CProf[[#This Row],[Pref_1]:[Pref_6]],0),"")</f>
        <v>4</v>
      </c>
      <c r="P10" s="32">
        <f>IFERROR(MATCH(LEFT(CProf[[#This Row],[Session_3]],5),CProf[[#This Row],[Pref_1]:[Pref_6]],0),"")</f>
        <v>4</v>
      </c>
      <c r="Q10" s="32">
        <f>IFERROR(MATCH(LEFT(CProf[[#This Row],[Session_4]],5),CProf[[#This Row],[Pref_1]:[Pref_6]],0),"")</f>
        <v>4</v>
      </c>
    </row>
    <row r="11" spans="1:17" x14ac:dyDescent="0.25">
      <c r="A11" t="s">
        <v>52</v>
      </c>
      <c r="B11" t="s">
        <v>4</v>
      </c>
      <c r="C11">
        <v>0</v>
      </c>
      <c r="D11" t="s">
        <v>121</v>
      </c>
      <c r="E11" t="s">
        <v>111</v>
      </c>
      <c r="F11" t="s">
        <v>142</v>
      </c>
      <c r="G11" t="s">
        <v>103</v>
      </c>
      <c r="H11" t="s">
        <v>141</v>
      </c>
      <c r="I11" t="s">
        <v>151</v>
      </c>
      <c r="J11" t="s">
        <v>317</v>
      </c>
      <c r="N11" s="32">
        <f>IFERROR(MATCH(LEFT(CProf[[#This Row],[Session_1]],5),CProf[[#This Row],[Pref_1]:[Pref_6]],0),"")</f>
        <v>1</v>
      </c>
      <c r="O11" s="32" t="str">
        <f>IFERROR(MATCH(LEFT(CProf[[#This Row],[Session_2]],5),CProf[[#This Row],[Pref_1]:[Pref_6]],0),"")</f>
        <v/>
      </c>
      <c r="P11" s="32" t="str">
        <f>IFERROR(MATCH(LEFT(CProf[[#This Row],[Session_3]],5),CProf[[#This Row],[Pref_1]:[Pref_6]],0),"")</f>
        <v/>
      </c>
      <c r="Q11" s="32" t="str">
        <f>IFERROR(MATCH(LEFT(CProf[[#This Row],[Session_4]],5),CProf[[#This Row],[Pref_1]:[Pref_6]],0),"")</f>
        <v/>
      </c>
    </row>
    <row r="12" spans="1:17" x14ac:dyDescent="0.25">
      <c r="A12" t="s">
        <v>53</v>
      </c>
      <c r="B12" t="s">
        <v>4</v>
      </c>
      <c r="C12">
        <v>0</v>
      </c>
      <c r="D12" t="s">
        <v>95</v>
      </c>
      <c r="E12" t="s">
        <v>110</v>
      </c>
      <c r="F12" t="s">
        <v>139</v>
      </c>
      <c r="G12" t="s">
        <v>102</v>
      </c>
      <c r="H12" t="s">
        <v>127</v>
      </c>
      <c r="I12" t="s">
        <v>200</v>
      </c>
      <c r="J12" t="s">
        <v>266</v>
      </c>
      <c r="K12" t="s">
        <v>268</v>
      </c>
      <c r="L12" t="s">
        <v>269</v>
      </c>
      <c r="M12" t="s">
        <v>267</v>
      </c>
      <c r="N12" s="32">
        <f>IFERROR(MATCH(LEFT(CProf[[#This Row],[Session_1]],5),CProf[[#This Row],[Pref_1]:[Pref_6]],0),"")</f>
        <v>6</v>
      </c>
      <c r="O12" s="32">
        <f>IFERROR(MATCH(LEFT(CProf[[#This Row],[Session_2]],5),CProf[[#This Row],[Pref_1]:[Pref_6]],0),"")</f>
        <v>6</v>
      </c>
      <c r="P12" s="32">
        <f>IFERROR(MATCH(LEFT(CProf[[#This Row],[Session_3]],5),CProf[[#This Row],[Pref_1]:[Pref_6]],0),"")</f>
        <v>6</v>
      </c>
      <c r="Q12" s="32">
        <f>IFERROR(MATCH(LEFT(CProf[[#This Row],[Session_4]],5),CProf[[#This Row],[Pref_1]:[Pref_6]],0),"")</f>
        <v>6</v>
      </c>
    </row>
    <row r="13" spans="1:17" x14ac:dyDescent="0.25">
      <c r="A13" t="s">
        <v>54</v>
      </c>
      <c r="B13" t="s">
        <v>4</v>
      </c>
      <c r="C13">
        <v>0</v>
      </c>
      <c r="D13" t="s">
        <v>9</v>
      </c>
      <c r="E13" t="s">
        <v>97</v>
      </c>
      <c r="F13" t="s">
        <v>119</v>
      </c>
      <c r="G13" t="s">
        <v>133</v>
      </c>
      <c r="H13" t="s">
        <v>129</v>
      </c>
      <c r="I13" t="s">
        <v>259</v>
      </c>
      <c r="J13" t="s">
        <v>315</v>
      </c>
      <c r="K13" t="s">
        <v>34</v>
      </c>
      <c r="N13" s="32">
        <f>IFERROR(MATCH(LEFT(CProf[[#This Row],[Session_1]],5),CProf[[#This Row],[Pref_1]:[Pref_6]],0),"")</f>
        <v>3</v>
      </c>
      <c r="O13" s="32">
        <f>IFERROR(MATCH(LEFT(CProf[[#This Row],[Session_2]],5),CProf[[#This Row],[Pref_1]:[Pref_6]],0),"")</f>
        <v>1</v>
      </c>
      <c r="P13" s="32" t="str">
        <f>IFERROR(MATCH(LEFT(CProf[[#This Row],[Session_3]],5),CProf[[#This Row],[Pref_1]:[Pref_6]],0),"")</f>
        <v/>
      </c>
      <c r="Q13" s="32" t="str">
        <f>IFERROR(MATCH(LEFT(CProf[[#This Row],[Session_4]],5),CProf[[#This Row],[Pref_1]:[Pref_6]],0),"")</f>
        <v/>
      </c>
    </row>
    <row r="14" spans="1:17" x14ac:dyDescent="0.25">
      <c r="A14" t="s">
        <v>55</v>
      </c>
      <c r="B14" t="s">
        <v>4</v>
      </c>
      <c r="C14">
        <v>0</v>
      </c>
      <c r="D14" t="s">
        <v>156</v>
      </c>
      <c r="E14" t="s">
        <v>96</v>
      </c>
      <c r="F14" t="s">
        <v>152</v>
      </c>
      <c r="G14" t="s">
        <v>114</v>
      </c>
      <c r="H14" t="s">
        <v>157</v>
      </c>
      <c r="I14" t="s">
        <v>112</v>
      </c>
      <c r="J14" t="s">
        <v>308</v>
      </c>
      <c r="K14" t="s">
        <v>310</v>
      </c>
      <c r="L14" t="s">
        <v>292</v>
      </c>
      <c r="M14" t="s">
        <v>352</v>
      </c>
      <c r="N14" s="32">
        <f>IFERROR(MATCH(LEFT(CProf[[#This Row],[Session_1]],5),CProf[[#This Row],[Pref_1]:[Pref_6]],0),"")</f>
        <v>6</v>
      </c>
      <c r="O14" s="32">
        <f>IFERROR(MATCH(LEFT(CProf[[#This Row],[Session_2]],5),CProf[[#This Row],[Pref_1]:[Pref_6]],0),"")</f>
        <v>4</v>
      </c>
      <c r="P14" s="32">
        <f>IFERROR(MATCH(LEFT(CProf[[#This Row],[Session_3]],5),CProf[[#This Row],[Pref_1]:[Pref_6]],0),"")</f>
        <v>2</v>
      </c>
      <c r="Q14" s="32">
        <f>IFERROR(MATCH(LEFT(CProf[[#This Row],[Session_4]],5),CProf[[#This Row],[Pref_1]:[Pref_6]],0),"")</f>
        <v>1</v>
      </c>
    </row>
    <row r="15" spans="1:17" x14ac:dyDescent="0.25">
      <c r="A15" t="s">
        <v>56</v>
      </c>
      <c r="B15" t="s">
        <v>4</v>
      </c>
      <c r="C15">
        <v>0</v>
      </c>
      <c r="D15" t="s">
        <v>95</v>
      </c>
      <c r="E15" t="s">
        <v>101</v>
      </c>
      <c r="F15" t="s">
        <v>15</v>
      </c>
      <c r="G15" t="s">
        <v>135</v>
      </c>
      <c r="H15" t="s">
        <v>105</v>
      </c>
      <c r="I15" t="s">
        <v>134</v>
      </c>
      <c r="J15" t="s">
        <v>297</v>
      </c>
      <c r="K15" t="s">
        <v>330</v>
      </c>
      <c r="L15" t="s">
        <v>359</v>
      </c>
      <c r="M15" t="s">
        <v>359</v>
      </c>
      <c r="N15" s="32">
        <f>IFERROR(MATCH(LEFT(CProf[[#This Row],[Session_1]],5),CProf[[#This Row],[Pref_1]:[Pref_6]],0),"")</f>
        <v>2</v>
      </c>
      <c r="O15" s="32">
        <f>IFERROR(MATCH(LEFT(CProf[[#This Row],[Session_2]],5),CProf[[#This Row],[Pref_1]:[Pref_6]],0),"")</f>
        <v>6</v>
      </c>
      <c r="P15" s="32">
        <f>IFERROR(MATCH(LEFT(CProf[[#This Row],[Session_3]],5),CProf[[#This Row],[Pref_1]:[Pref_6]],0),"")</f>
        <v>1</v>
      </c>
      <c r="Q15" s="32">
        <f>IFERROR(MATCH(LEFT(CProf[[#This Row],[Session_4]],5),CProf[[#This Row],[Pref_1]:[Pref_6]],0),"")</f>
        <v>1</v>
      </c>
    </row>
    <row r="16" spans="1:17" x14ac:dyDescent="0.25">
      <c r="A16" t="s">
        <v>57</v>
      </c>
      <c r="B16" t="s">
        <v>4</v>
      </c>
      <c r="C16">
        <v>0</v>
      </c>
      <c r="D16" t="s">
        <v>95</v>
      </c>
      <c r="E16" t="s">
        <v>157</v>
      </c>
      <c r="F16" t="s">
        <v>137</v>
      </c>
      <c r="G16" t="s">
        <v>135</v>
      </c>
      <c r="H16" t="s">
        <v>99</v>
      </c>
      <c r="I16" t="s">
        <v>8</v>
      </c>
      <c r="J16" t="s">
        <v>333</v>
      </c>
      <c r="K16" t="s">
        <v>291</v>
      </c>
      <c r="L16" t="s">
        <v>368</v>
      </c>
      <c r="M16" t="s">
        <v>353</v>
      </c>
      <c r="N16" s="32">
        <f>IFERROR(MATCH(LEFT(CProf[[#This Row],[Session_1]],5),CProf[[#This Row],[Pref_1]:[Pref_6]],0),"")</f>
        <v>3</v>
      </c>
      <c r="O16" s="32">
        <f>IFERROR(MATCH(LEFT(CProf[[#This Row],[Session_2]],5),CProf[[#This Row],[Pref_1]:[Pref_6]],0),"")</f>
        <v>1</v>
      </c>
      <c r="P16" s="32">
        <f>IFERROR(MATCH(LEFT(CProf[[#This Row],[Session_3]],5),CProf[[#This Row],[Pref_1]:[Pref_6]],0),"")</f>
        <v>1</v>
      </c>
      <c r="Q16" s="32">
        <f>IFERROR(MATCH(LEFT(CProf[[#This Row],[Session_4]],5),CProf[[#This Row],[Pref_1]:[Pref_6]],0),"")</f>
        <v>2</v>
      </c>
    </row>
    <row r="17" spans="1:17" x14ac:dyDescent="0.25">
      <c r="A17" t="s">
        <v>58</v>
      </c>
      <c r="B17" t="s">
        <v>4</v>
      </c>
      <c r="C17">
        <v>0</v>
      </c>
      <c r="D17" t="s">
        <v>132</v>
      </c>
      <c r="E17" t="s">
        <v>153</v>
      </c>
      <c r="F17" t="s">
        <v>108</v>
      </c>
      <c r="G17" t="s">
        <v>114</v>
      </c>
      <c r="H17" t="s">
        <v>107</v>
      </c>
      <c r="I17" t="s">
        <v>10</v>
      </c>
      <c r="N17" s="32" t="str">
        <f>IFERROR(MATCH(LEFT(CProf[[#This Row],[Session_1]],5),CProf[[#This Row],[Pref_1]:[Pref_6]],0),"")</f>
        <v/>
      </c>
      <c r="O17" s="32" t="str">
        <f>IFERROR(MATCH(LEFT(CProf[[#This Row],[Session_2]],5),CProf[[#This Row],[Pref_1]:[Pref_6]],0),"")</f>
        <v/>
      </c>
      <c r="P17" s="32" t="str">
        <f>IFERROR(MATCH(LEFT(CProf[[#This Row],[Session_3]],5),CProf[[#This Row],[Pref_1]:[Pref_6]],0),"")</f>
        <v/>
      </c>
      <c r="Q17" s="32" t="str">
        <f>IFERROR(MATCH(LEFT(CProf[[#This Row],[Session_4]],5),CProf[[#This Row],[Pref_1]:[Pref_6]],0),"")</f>
        <v/>
      </c>
    </row>
    <row r="18" spans="1:17" x14ac:dyDescent="0.25">
      <c r="A18" t="s">
        <v>59</v>
      </c>
      <c r="B18" t="s">
        <v>4</v>
      </c>
      <c r="C18">
        <v>3</v>
      </c>
      <c r="D18" t="s">
        <v>15</v>
      </c>
      <c r="E18" t="s">
        <v>9</v>
      </c>
      <c r="F18" t="s">
        <v>128</v>
      </c>
      <c r="G18" t="s">
        <v>155</v>
      </c>
      <c r="H18" t="s">
        <v>156</v>
      </c>
      <c r="I18" t="s">
        <v>106</v>
      </c>
      <c r="J18" t="s">
        <v>286</v>
      </c>
      <c r="N18" s="32">
        <f>IFERROR(MATCH(LEFT(CProf[[#This Row],[Session_1]],5),CProf[[#This Row],[Pref_1]:[Pref_6]],0),"")</f>
        <v>1</v>
      </c>
      <c r="O18" s="32" t="str">
        <f>IFERROR(MATCH(LEFT(CProf[[#This Row],[Session_2]],5),CProf[[#This Row],[Pref_1]:[Pref_6]],0),"")</f>
        <v/>
      </c>
      <c r="P18" s="32" t="str">
        <f>IFERROR(MATCH(LEFT(CProf[[#This Row],[Session_3]],5),CProf[[#This Row],[Pref_1]:[Pref_6]],0),"")</f>
        <v/>
      </c>
      <c r="Q18" s="32" t="str">
        <f>IFERROR(MATCH(LEFT(CProf[[#This Row],[Session_4]],5),CProf[[#This Row],[Pref_1]:[Pref_6]],0),"")</f>
        <v/>
      </c>
    </row>
    <row r="19" spans="1:17" x14ac:dyDescent="0.25">
      <c r="A19" t="s">
        <v>60</v>
      </c>
      <c r="B19" t="s">
        <v>4</v>
      </c>
      <c r="C19">
        <v>0</v>
      </c>
      <c r="D19" t="s">
        <v>122</v>
      </c>
      <c r="E19" t="s">
        <v>138</v>
      </c>
      <c r="F19" t="s">
        <v>14</v>
      </c>
      <c r="G19" t="s">
        <v>6</v>
      </c>
      <c r="H19" t="s">
        <v>97</v>
      </c>
      <c r="J19" t="s">
        <v>334</v>
      </c>
      <c r="K19" t="s">
        <v>318</v>
      </c>
      <c r="L19" t="s">
        <v>285</v>
      </c>
      <c r="M19" t="s">
        <v>293</v>
      </c>
      <c r="N19" s="32">
        <f>IFERROR(MATCH(LEFT(CProf[[#This Row],[Session_1]],5),CProf[[#This Row],[Pref_1]:[Pref_6]],0),"")</f>
        <v>2</v>
      </c>
      <c r="O19" s="32">
        <f>IFERROR(MATCH(LEFT(CProf[[#This Row],[Session_2]],5),CProf[[#This Row],[Pref_1]:[Pref_6]],0),"")</f>
        <v>1</v>
      </c>
      <c r="P19" s="32">
        <f>IFERROR(MATCH(LEFT(CProf[[#This Row],[Session_3]],5),CProf[[#This Row],[Pref_1]:[Pref_6]],0),"")</f>
        <v>3</v>
      </c>
      <c r="Q19" s="32">
        <f>IFERROR(MATCH(LEFT(CProf[[#This Row],[Session_4]],5),CProf[[#This Row],[Pref_1]:[Pref_6]],0),"")</f>
        <v>5</v>
      </c>
    </row>
    <row r="20" spans="1:17" x14ac:dyDescent="0.25">
      <c r="A20" t="s">
        <v>61</v>
      </c>
      <c r="B20" t="s">
        <v>28</v>
      </c>
      <c r="C20">
        <v>0</v>
      </c>
      <c r="D20" t="s">
        <v>145</v>
      </c>
      <c r="E20" t="s">
        <v>141</v>
      </c>
      <c r="F20" t="s">
        <v>153</v>
      </c>
      <c r="G20" t="s">
        <v>259</v>
      </c>
      <c r="H20" t="s">
        <v>119</v>
      </c>
      <c r="J20" t="s">
        <v>337</v>
      </c>
      <c r="N20" s="32">
        <f>IFERROR(MATCH(LEFT(CProf[[#This Row],[Session_1]],5),CProf[[#This Row],[Pref_1]:[Pref_6]],0),"")</f>
        <v>2</v>
      </c>
      <c r="O20" s="32" t="str">
        <f>IFERROR(MATCH(LEFT(CProf[[#This Row],[Session_2]],5),CProf[[#This Row],[Pref_1]:[Pref_6]],0),"")</f>
        <v/>
      </c>
      <c r="P20" s="32" t="str">
        <f>IFERROR(MATCH(LEFT(CProf[[#This Row],[Session_3]],5),CProf[[#This Row],[Pref_1]:[Pref_6]],0),"")</f>
        <v/>
      </c>
      <c r="Q20" s="32" t="str">
        <f>IFERROR(MATCH(LEFT(CProf[[#This Row],[Session_4]],5),CProf[[#This Row],[Pref_1]:[Pref_6]],0),"")</f>
        <v/>
      </c>
    </row>
    <row r="21" spans="1:17" x14ac:dyDescent="0.25">
      <c r="A21" t="s">
        <v>62</v>
      </c>
      <c r="B21" t="s">
        <v>28</v>
      </c>
      <c r="C21">
        <v>2</v>
      </c>
      <c r="D21" t="s">
        <v>95</v>
      </c>
      <c r="E21" t="s">
        <v>118</v>
      </c>
      <c r="F21" t="s">
        <v>132</v>
      </c>
      <c r="G21" t="s">
        <v>115</v>
      </c>
      <c r="H21" t="s">
        <v>122</v>
      </c>
      <c r="J21" t="s">
        <v>314</v>
      </c>
      <c r="K21" t="s">
        <v>311</v>
      </c>
      <c r="N21" s="32">
        <f>IFERROR(MATCH(LEFT(CProf[[#This Row],[Session_1]],5),CProf[[#This Row],[Pref_1]:[Pref_6]],0),"")</f>
        <v>2</v>
      </c>
      <c r="O21" s="32">
        <f>IFERROR(MATCH(LEFT(CProf[[#This Row],[Session_2]],5),CProf[[#This Row],[Pref_1]:[Pref_6]],0),"")</f>
        <v>4</v>
      </c>
      <c r="P21" s="32" t="str">
        <f>IFERROR(MATCH(LEFT(CProf[[#This Row],[Session_3]],5),CProf[[#This Row],[Pref_1]:[Pref_6]],0),"")</f>
        <v/>
      </c>
      <c r="Q21" s="32" t="str">
        <f>IFERROR(MATCH(LEFT(CProf[[#This Row],[Session_4]],5),CProf[[#This Row],[Pref_1]:[Pref_6]],0),"")</f>
        <v/>
      </c>
    </row>
    <row r="22" spans="1:17" x14ac:dyDescent="0.25">
      <c r="A22" t="s">
        <v>63</v>
      </c>
      <c r="B22" t="s">
        <v>28</v>
      </c>
      <c r="C22">
        <v>0</v>
      </c>
      <c r="D22" t="s">
        <v>109</v>
      </c>
      <c r="E22" t="s">
        <v>135</v>
      </c>
      <c r="F22" t="s">
        <v>158</v>
      </c>
      <c r="G22" t="s">
        <v>123</v>
      </c>
      <c r="H22" t="s">
        <v>130</v>
      </c>
      <c r="J22" t="s">
        <v>305</v>
      </c>
      <c r="N22" s="32">
        <f>IFERROR(MATCH(LEFT(CProf[[#This Row],[Session_1]],5),CProf[[#This Row],[Pref_1]:[Pref_6]],0),"")</f>
        <v>1</v>
      </c>
      <c r="O22" s="32" t="str">
        <f>IFERROR(MATCH(LEFT(CProf[[#This Row],[Session_2]],5),CProf[[#This Row],[Pref_1]:[Pref_6]],0),"")</f>
        <v/>
      </c>
      <c r="P22" s="32" t="str">
        <f>IFERROR(MATCH(LEFT(CProf[[#This Row],[Session_3]],5),CProf[[#This Row],[Pref_1]:[Pref_6]],0),"")</f>
        <v/>
      </c>
      <c r="Q22" s="32" t="str">
        <f>IFERROR(MATCH(LEFT(CProf[[#This Row],[Session_4]],5),CProf[[#This Row],[Pref_1]:[Pref_6]],0),"")</f>
        <v/>
      </c>
    </row>
    <row r="23" spans="1:17" x14ac:dyDescent="0.25">
      <c r="A23" t="s">
        <v>64</v>
      </c>
      <c r="B23" t="s">
        <v>28</v>
      </c>
      <c r="C23">
        <v>2</v>
      </c>
      <c r="D23" t="s">
        <v>110</v>
      </c>
      <c r="E23" t="s">
        <v>124</v>
      </c>
      <c r="F23" t="s">
        <v>199</v>
      </c>
      <c r="G23" t="s">
        <v>136</v>
      </c>
      <c r="H23" t="s">
        <v>138</v>
      </c>
      <c r="J23" t="s">
        <v>332</v>
      </c>
      <c r="K23" t="s">
        <v>306</v>
      </c>
      <c r="N23" s="32">
        <f>IFERROR(MATCH(LEFT(CProf[[#This Row],[Session_1]],5),CProf[[#This Row],[Pref_1]:[Pref_6]],0),"")</f>
        <v>4</v>
      </c>
      <c r="O23" s="32">
        <f>IFERROR(MATCH(LEFT(CProf[[#This Row],[Session_2]],5),CProf[[#This Row],[Pref_1]:[Pref_6]],0),"")</f>
        <v>1</v>
      </c>
      <c r="P23" s="32" t="str">
        <f>IFERROR(MATCH(LEFT(CProf[[#This Row],[Session_3]],5),CProf[[#This Row],[Pref_1]:[Pref_6]],0),"")</f>
        <v/>
      </c>
      <c r="Q23" s="32" t="str">
        <f>IFERROR(MATCH(LEFT(CProf[[#This Row],[Session_4]],5),CProf[[#This Row],[Pref_1]:[Pref_6]],0),"")</f>
        <v/>
      </c>
    </row>
    <row r="24" spans="1:17" x14ac:dyDescent="0.25">
      <c r="A24" t="s">
        <v>65</v>
      </c>
      <c r="B24" t="s">
        <v>28</v>
      </c>
      <c r="C24">
        <v>0</v>
      </c>
      <c r="D24" t="s">
        <v>260</v>
      </c>
      <c r="E24" t="s">
        <v>143</v>
      </c>
      <c r="F24" t="s">
        <v>138</v>
      </c>
      <c r="G24" t="s">
        <v>144</v>
      </c>
      <c r="H24" t="s">
        <v>142</v>
      </c>
      <c r="J24" t="s">
        <v>278</v>
      </c>
      <c r="K24" t="s">
        <v>279</v>
      </c>
      <c r="L24" t="s">
        <v>280</v>
      </c>
      <c r="M24" t="s">
        <v>281</v>
      </c>
      <c r="N24" s="32">
        <f>IFERROR(MATCH(LEFT(CProf[[#This Row],[Session_1]],5),CProf[[#This Row],[Pref_1]:[Pref_6]],0),"")</f>
        <v>1</v>
      </c>
      <c r="O24" s="32">
        <f>IFERROR(MATCH(LEFT(CProf[[#This Row],[Session_2]],5),CProf[[#This Row],[Pref_1]:[Pref_6]],0),"")</f>
        <v>1</v>
      </c>
      <c r="P24" s="32">
        <f>IFERROR(MATCH(LEFT(CProf[[#This Row],[Session_3]],5),CProf[[#This Row],[Pref_1]:[Pref_6]],0),"")</f>
        <v>1</v>
      </c>
      <c r="Q24" s="32">
        <f>IFERROR(MATCH(LEFT(CProf[[#This Row],[Session_4]],5),CProf[[#This Row],[Pref_1]:[Pref_6]],0),"")</f>
        <v>1</v>
      </c>
    </row>
    <row r="25" spans="1:17" x14ac:dyDescent="0.25">
      <c r="A25" t="s">
        <v>66</v>
      </c>
      <c r="B25" t="s">
        <v>28</v>
      </c>
      <c r="C25">
        <v>1</v>
      </c>
      <c r="D25" t="s">
        <v>132</v>
      </c>
      <c r="E25" t="s">
        <v>145</v>
      </c>
      <c r="F25" t="s">
        <v>102</v>
      </c>
      <c r="G25" t="s">
        <v>150</v>
      </c>
      <c r="H25" t="s">
        <v>143</v>
      </c>
      <c r="J25" t="s">
        <v>346</v>
      </c>
      <c r="K25" t="s">
        <v>339</v>
      </c>
      <c r="N25" s="32">
        <f>IFERROR(MATCH(LEFT(CProf[[#This Row],[Session_1]],5),CProf[[#This Row],[Pref_1]:[Pref_6]],0),"")</f>
        <v>4</v>
      </c>
      <c r="O25" s="32">
        <f>IFERROR(MATCH(LEFT(CProf[[#This Row],[Session_2]],5),CProf[[#This Row],[Pref_1]:[Pref_6]],0),"")</f>
        <v>5</v>
      </c>
      <c r="P25" s="32" t="str">
        <f>IFERROR(MATCH(LEFT(CProf[[#This Row],[Session_3]],5),CProf[[#This Row],[Pref_1]:[Pref_6]],0),"")</f>
        <v/>
      </c>
      <c r="Q25" s="32" t="str">
        <f>IFERROR(MATCH(LEFT(CProf[[#This Row],[Session_4]],5),CProf[[#This Row],[Pref_1]:[Pref_6]],0),"")</f>
        <v/>
      </c>
    </row>
    <row r="26" spans="1:17" x14ac:dyDescent="0.25">
      <c r="A26" t="s">
        <v>67</v>
      </c>
      <c r="B26" t="s">
        <v>28</v>
      </c>
      <c r="C26">
        <v>3</v>
      </c>
      <c r="D26" t="s">
        <v>127</v>
      </c>
      <c r="E26" t="s">
        <v>153</v>
      </c>
      <c r="F26" t="s">
        <v>102</v>
      </c>
      <c r="G26" t="s">
        <v>151</v>
      </c>
      <c r="H26" t="s">
        <v>144</v>
      </c>
      <c r="J26" t="s">
        <v>323</v>
      </c>
      <c r="N26" s="32">
        <f>IFERROR(MATCH(LEFT(CProf[[#This Row],[Session_1]],5),CProf[[#This Row],[Pref_1]:[Pref_6]],0),"")</f>
        <v>1</v>
      </c>
      <c r="O26" s="32" t="str">
        <f>IFERROR(MATCH(LEFT(CProf[[#This Row],[Session_2]],5),CProf[[#This Row],[Pref_1]:[Pref_6]],0),"")</f>
        <v/>
      </c>
      <c r="P26" s="32" t="str">
        <f>IFERROR(MATCH(LEFT(CProf[[#This Row],[Session_3]],5),CProf[[#This Row],[Pref_1]:[Pref_6]],0),"")</f>
        <v/>
      </c>
      <c r="Q26" s="32" t="str">
        <f>IFERROR(MATCH(LEFT(CProf[[#This Row],[Session_4]],5),CProf[[#This Row],[Pref_1]:[Pref_6]],0),"")</f>
        <v/>
      </c>
    </row>
    <row r="27" spans="1:17" x14ac:dyDescent="0.25">
      <c r="A27" t="s">
        <v>68</v>
      </c>
      <c r="B27" t="s">
        <v>28</v>
      </c>
      <c r="C27">
        <v>0</v>
      </c>
      <c r="D27" t="s">
        <v>155</v>
      </c>
      <c r="E27" t="s">
        <v>14</v>
      </c>
      <c r="F27" t="s">
        <v>110</v>
      </c>
      <c r="G27" t="s">
        <v>122</v>
      </c>
      <c r="H27" t="s">
        <v>259</v>
      </c>
      <c r="J27" t="s">
        <v>274</v>
      </c>
      <c r="K27" t="s">
        <v>276</v>
      </c>
      <c r="L27" t="s">
        <v>277</v>
      </c>
      <c r="M27" t="s">
        <v>275</v>
      </c>
      <c r="N27" s="32">
        <f>IFERROR(MATCH(LEFT(CProf[[#This Row],[Session_1]],5),CProf[[#This Row],[Pref_1]:[Pref_6]],0),"")</f>
        <v>5</v>
      </c>
      <c r="O27" s="32">
        <f>IFERROR(MATCH(LEFT(CProf[[#This Row],[Session_2]],5),CProf[[#This Row],[Pref_1]:[Pref_6]],0),"")</f>
        <v>5</v>
      </c>
      <c r="P27" s="32">
        <f>IFERROR(MATCH(LEFT(CProf[[#This Row],[Session_3]],5),CProf[[#This Row],[Pref_1]:[Pref_6]],0),"")</f>
        <v>5</v>
      </c>
      <c r="Q27" s="32">
        <f>IFERROR(MATCH(LEFT(CProf[[#This Row],[Session_4]],5),CProf[[#This Row],[Pref_1]:[Pref_6]],0),"")</f>
        <v>5</v>
      </c>
    </row>
    <row r="28" spans="1:17" x14ac:dyDescent="0.25">
      <c r="A28" t="s">
        <v>69</v>
      </c>
      <c r="B28" t="s">
        <v>4</v>
      </c>
      <c r="C28">
        <v>0</v>
      </c>
      <c r="D28" t="s">
        <v>135</v>
      </c>
      <c r="E28" t="s">
        <v>146</v>
      </c>
      <c r="F28" t="s">
        <v>15</v>
      </c>
      <c r="G28" t="s">
        <v>96</v>
      </c>
      <c r="H28" t="s">
        <v>129</v>
      </c>
      <c r="I28" t="s">
        <v>95</v>
      </c>
      <c r="J28" t="s">
        <v>331</v>
      </c>
      <c r="N28" s="32">
        <f>IFERROR(MATCH(LEFT(CProf[[#This Row],[Session_1]],5),CProf[[#This Row],[Pref_1]:[Pref_6]],0),"")</f>
        <v>1</v>
      </c>
      <c r="O28" s="32" t="str">
        <f>IFERROR(MATCH(LEFT(CProf[[#This Row],[Session_2]],5),CProf[[#This Row],[Pref_1]:[Pref_6]],0),"")</f>
        <v/>
      </c>
      <c r="P28" s="32" t="str">
        <f>IFERROR(MATCH(LEFT(CProf[[#This Row],[Session_3]],5),CProf[[#This Row],[Pref_1]:[Pref_6]],0),"")</f>
        <v/>
      </c>
      <c r="Q28" s="32" t="str">
        <f>IFERROR(MATCH(LEFT(CProf[[#This Row],[Session_4]],5),CProf[[#This Row],[Pref_1]:[Pref_6]],0),"")</f>
        <v/>
      </c>
    </row>
    <row r="29" spans="1:17" x14ac:dyDescent="0.25">
      <c r="A29" t="s">
        <v>70</v>
      </c>
      <c r="B29" t="s">
        <v>4</v>
      </c>
      <c r="C29">
        <v>1</v>
      </c>
      <c r="D29" t="s">
        <v>132</v>
      </c>
      <c r="E29" t="s">
        <v>153</v>
      </c>
      <c r="F29" t="s">
        <v>14</v>
      </c>
      <c r="G29" t="s">
        <v>137</v>
      </c>
      <c r="H29" t="s">
        <v>157</v>
      </c>
      <c r="I29" t="s">
        <v>101</v>
      </c>
      <c r="J29" t="s">
        <v>349</v>
      </c>
      <c r="K29" t="s">
        <v>328</v>
      </c>
      <c r="N29" s="32">
        <f>IFERROR(MATCH(LEFT(CProf[[#This Row],[Session_1]],5),CProf[[#This Row],[Pref_1]:[Pref_6]],0),"")</f>
        <v>2</v>
      </c>
      <c r="O29" s="32">
        <f>IFERROR(MATCH(LEFT(CProf[[#This Row],[Session_2]],5),CProf[[#This Row],[Pref_1]:[Pref_6]],0),"")</f>
        <v>1</v>
      </c>
      <c r="P29" s="32" t="str">
        <f>IFERROR(MATCH(LEFT(CProf[[#This Row],[Session_3]],5),CProf[[#This Row],[Pref_1]:[Pref_6]],0),"")</f>
        <v/>
      </c>
      <c r="Q29" s="32" t="str">
        <f>IFERROR(MATCH(LEFT(CProf[[#This Row],[Session_4]],5),CProf[[#This Row],[Pref_1]:[Pref_6]],0),"")</f>
        <v/>
      </c>
    </row>
    <row r="30" spans="1:17" x14ac:dyDescent="0.25">
      <c r="A30" t="s">
        <v>71</v>
      </c>
      <c r="B30" t="s">
        <v>4</v>
      </c>
      <c r="C30">
        <v>0</v>
      </c>
      <c r="D30" t="s">
        <v>10</v>
      </c>
      <c r="E30" t="s">
        <v>96</v>
      </c>
      <c r="F30" t="s">
        <v>147</v>
      </c>
      <c r="G30" t="s">
        <v>111</v>
      </c>
      <c r="H30" t="s">
        <v>199</v>
      </c>
      <c r="I30" t="s">
        <v>135</v>
      </c>
      <c r="J30" t="s">
        <v>36</v>
      </c>
      <c r="K30" t="s">
        <v>343</v>
      </c>
      <c r="N30" s="32">
        <f>IFERROR(MATCH(LEFT(CProf[[#This Row],[Session_1]],5),CProf[[#This Row],[Pref_1]:[Pref_6]],0),"")</f>
        <v>1</v>
      </c>
      <c r="O30" s="32">
        <f>IFERROR(MATCH(LEFT(CProf[[#This Row],[Session_2]],5),CProf[[#This Row],[Pref_1]:[Pref_6]],0),"")</f>
        <v>3</v>
      </c>
      <c r="P30" s="32" t="str">
        <f>IFERROR(MATCH(LEFT(CProf[[#This Row],[Session_3]],5),CProf[[#This Row],[Pref_1]:[Pref_6]],0),"")</f>
        <v/>
      </c>
      <c r="Q30" s="32" t="str">
        <f>IFERROR(MATCH(LEFT(CProf[[#This Row],[Session_4]],5),CProf[[#This Row],[Pref_1]:[Pref_6]],0),"")</f>
        <v/>
      </c>
    </row>
    <row r="31" spans="1:17" x14ac:dyDescent="0.25">
      <c r="A31" t="s">
        <v>72</v>
      </c>
      <c r="B31" t="s">
        <v>4</v>
      </c>
      <c r="C31">
        <v>2</v>
      </c>
      <c r="D31" t="s">
        <v>95</v>
      </c>
      <c r="E31" t="s">
        <v>129</v>
      </c>
      <c r="F31" t="s">
        <v>118</v>
      </c>
      <c r="G31" t="s">
        <v>13</v>
      </c>
      <c r="H31" t="s">
        <v>156</v>
      </c>
      <c r="I31" t="s">
        <v>17</v>
      </c>
      <c r="J31" t="s">
        <v>291</v>
      </c>
      <c r="K31" t="s">
        <v>368</v>
      </c>
      <c r="N31" s="32">
        <f>IFERROR(MATCH(LEFT(CProf[[#This Row],[Session_1]],5),CProf[[#This Row],[Pref_1]:[Pref_6]],0),"")</f>
        <v>1</v>
      </c>
      <c r="O31" s="32">
        <f>IFERROR(MATCH(LEFT(CProf[[#This Row],[Session_2]],5),CProf[[#This Row],[Pref_1]:[Pref_6]],0),"")</f>
        <v>1</v>
      </c>
      <c r="P31" s="32" t="str">
        <f>IFERROR(MATCH(LEFT(CProf[[#This Row],[Session_3]],5),CProf[[#This Row],[Pref_1]:[Pref_6]],0),"")</f>
        <v/>
      </c>
      <c r="Q31" s="32" t="str">
        <f>IFERROR(MATCH(LEFT(CProf[[#This Row],[Session_4]],5),CProf[[#This Row],[Pref_1]:[Pref_6]],0),"")</f>
        <v/>
      </c>
    </row>
    <row r="32" spans="1:17" x14ac:dyDescent="0.25">
      <c r="A32" t="s">
        <v>73</v>
      </c>
      <c r="B32" t="s">
        <v>4</v>
      </c>
      <c r="C32">
        <v>1</v>
      </c>
      <c r="D32" t="s">
        <v>107</v>
      </c>
      <c r="E32" t="s">
        <v>130</v>
      </c>
      <c r="F32" t="s">
        <v>116</v>
      </c>
      <c r="G32" t="s">
        <v>149</v>
      </c>
      <c r="H32" t="s">
        <v>126</v>
      </c>
      <c r="I32" t="s">
        <v>135</v>
      </c>
      <c r="J32" t="s">
        <v>326</v>
      </c>
      <c r="K32" t="s">
        <v>303</v>
      </c>
      <c r="L32" t="s">
        <v>345</v>
      </c>
      <c r="N32" s="32">
        <f>IFERROR(MATCH(LEFT(CProf[[#This Row],[Session_1]],5),CProf[[#This Row],[Pref_1]:[Pref_6]],0),"")</f>
        <v>2</v>
      </c>
      <c r="O32" s="32">
        <f>IFERROR(MATCH(LEFT(CProf[[#This Row],[Session_2]],5),CProf[[#This Row],[Pref_1]:[Pref_6]],0),"")</f>
        <v>1</v>
      </c>
      <c r="P32" s="32">
        <f>IFERROR(MATCH(LEFT(CProf[[#This Row],[Session_3]],5),CProf[[#This Row],[Pref_1]:[Pref_6]],0),"")</f>
        <v>4</v>
      </c>
      <c r="Q32" s="32" t="str">
        <f>IFERROR(MATCH(LEFT(CProf[[#This Row],[Session_4]],5),CProf[[#This Row],[Pref_1]:[Pref_6]],0),"")</f>
        <v/>
      </c>
    </row>
    <row r="33" spans="1:17" x14ac:dyDescent="0.25">
      <c r="A33" t="s">
        <v>75</v>
      </c>
      <c r="B33" t="s">
        <v>4</v>
      </c>
      <c r="C33">
        <v>0</v>
      </c>
      <c r="D33" t="s">
        <v>135</v>
      </c>
      <c r="E33" t="s">
        <v>11</v>
      </c>
      <c r="F33" t="s">
        <v>102</v>
      </c>
      <c r="G33" t="s">
        <v>103</v>
      </c>
      <c r="H33" t="s">
        <v>152</v>
      </c>
      <c r="I33" t="s">
        <v>125</v>
      </c>
      <c r="J33" t="s">
        <v>298</v>
      </c>
      <c r="K33" t="s">
        <v>299</v>
      </c>
      <c r="N33" s="32">
        <f>IFERROR(MATCH(LEFT(CProf[[#This Row],[Session_1]],5),CProf[[#This Row],[Pref_1]:[Pref_6]],0),"")</f>
        <v>3</v>
      </c>
      <c r="O33" s="32">
        <f>IFERROR(MATCH(LEFT(CProf[[#This Row],[Session_2]],5),CProf[[#This Row],[Pref_1]:[Pref_6]],0),"")</f>
        <v>4</v>
      </c>
      <c r="P33" s="32" t="str">
        <f>IFERROR(MATCH(LEFT(CProf[[#This Row],[Session_3]],5),CProf[[#This Row],[Pref_1]:[Pref_6]],0),"")</f>
        <v/>
      </c>
      <c r="Q33" s="32" t="str">
        <f>IFERROR(MATCH(LEFT(CProf[[#This Row],[Session_4]],5),CProf[[#This Row],[Pref_1]:[Pref_6]],0),"")</f>
        <v/>
      </c>
    </row>
    <row r="34" spans="1:17" x14ac:dyDescent="0.25">
      <c r="A34" t="s">
        <v>76</v>
      </c>
      <c r="B34" t="s">
        <v>4</v>
      </c>
      <c r="C34">
        <v>0</v>
      </c>
      <c r="D34" t="s">
        <v>94</v>
      </c>
      <c r="E34" t="s">
        <v>17</v>
      </c>
      <c r="F34" t="s">
        <v>13</v>
      </c>
      <c r="G34" t="s">
        <v>10</v>
      </c>
      <c r="H34" t="s">
        <v>149</v>
      </c>
      <c r="I34" t="s">
        <v>107</v>
      </c>
      <c r="J34" t="s">
        <v>288</v>
      </c>
      <c r="N34" s="32">
        <f>IFERROR(MATCH(LEFT(CProf[[#This Row],[Session_1]],5),CProf[[#This Row],[Pref_1]:[Pref_6]],0),"")</f>
        <v>2</v>
      </c>
      <c r="O34" s="32" t="str">
        <f>IFERROR(MATCH(LEFT(CProf[[#This Row],[Session_2]],5),CProf[[#This Row],[Pref_1]:[Pref_6]],0),"")</f>
        <v/>
      </c>
      <c r="P34" s="32" t="str">
        <f>IFERROR(MATCH(LEFT(CProf[[#This Row],[Session_3]],5),CProf[[#This Row],[Pref_1]:[Pref_6]],0),"")</f>
        <v/>
      </c>
      <c r="Q34" s="32" t="str">
        <f>IFERROR(MATCH(LEFT(CProf[[#This Row],[Session_4]],5),CProf[[#This Row],[Pref_1]:[Pref_6]],0),"")</f>
        <v/>
      </c>
    </row>
    <row r="35" spans="1:17" x14ac:dyDescent="0.25">
      <c r="A35" t="s">
        <v>77</v>
      </c>
      <c r="B35" t="s">
        <v>4</v>
      </c>
      <c r="C35">
        <v>0</v>
      </c>
      <c r="D35" t="s">
        <v>100</v>
      </c>
      <c r="E35" t="s">
        <v>133</v>
      </c>
      <c r="F35" t="s">
        <v>140</v>
      </c>
      <c r="G35" t="s">
        <v>99</v>
      </c>
      <c r="H35" t="s">
        <v>158</v>
      </c>
      <c r="I35" t="s">
        <v>109</v>
      </c>
      <c r="J35" t="s">
        <v>296</v>
      </c>
      <c r="K35" t="s">
        <v>329</v>
      </c>
      <c r="N35" s="32">
        <f>IFERROR(MATCH(LEFT(CProf[[#This Row],[Session_1]],5),CProf[[#This Row],[Pref_1]:[Pref_6]],0),"")</f>
        <v>1</v>
      </c>
      <c r="O35" s="32">
        <f>IFERROR(MATCH(LEFT(CProf[[#This Row],[Session_2]],5),CProf[[#This Row],[Pref_1]:[Pref_6]],0),"")</f>
        <v>2</v>
      </c>
      <c r="P35" s="32" t="str">
        <f>IFERROR(MATCH(LEFT(CProf[[#This Row],[Session_3]],5),CProf[[#This Row],[Pref_1]:[Pref_6]],0),"")</f>
        <v/>
      </c>
      <c r="Q35" s="32" t="str">
        <f>IFERROR(MATCH(LEFT(CProf[[#This Row],[Session_4]],5),CProf[[#This Row],[Pref_1]:[Pref_6]],0),"")</f>
        <v/>
      </c>
    </row>
    <row r="36" spans="1:17" x14ac:dyDescent="0.25">
      <c r="A36" t="s">
        <v>78</v>
      </c>
      <c r="B36" t="s">
        <v>4</v>
      </c>
      <c r="C36">
        <v>1</v>
      </c>
      <c r="D36" t="s">
        <v>152</v>
      </c>
      <c r="E36" t="s">
        <v>116</v>
      </c>
      <c r="F36" t="s">
        <v>201</v>
      </c>
      <c r="G36" t="s">
        <v>128</v>
      </c>
      <c r="H36" t="s">
        <v>97</v>
      </c>
      <c r="I36" t="s">
        <v>11</v>
      </c>
      <c r="J36" t="s">
        <v>312</v>
      </c>
      <c r="K36" t="s">
        <v>348</v>
      </c>
      <c r="N36" s="32">
        <f>IFERROR(MATCH(LEFT(CProf[[#This Row],[Session_1]],5),CProf[[#This Row],[Pref_1]:[Pref_6]],0),"")</f>
        <v>2</v>
      </c>
      <c r="O36" s="32">
        <f>IFERROR(MATCH(LEFT(CProf[[#This Row],[Session_2]],5),CProf[[#This Row],[Pref_1]:[Pref_6]],0),"")</f>
        <v>1</v>
      </c>
      <c r="P36" s="32" t="str">
        <f>IFERROR(MATCH(LEFT(CProf[[#This Row],[Session_3]],5),CProf[[#This Row],[Pref_1]:[Pref_6]],0),"")</f>
        <v/>
      </c>
      <c r="Q36" s="32" t="str">
        <f>IFERROR(MATCH(LEFT(CProf[[#This Row],[Session_4]],5),CProf[[#This Row],[Pref_1]:[Pref_6]],0),"")</f>
        <v/>
      </c>
    </row>
    <row r="37" spans="1:17" x14ac:dyDescent="0.25">
      <c r="A37" t="s">
        <v>79</v>
      </c>
      <c r="B37" t="s">
        <v>4</v>
      </c>
      <c r="C37">
        <v>0</v>
      </c>
      <c r="D37" t="s">
        <v>111</v>
      </c>
      <c r="E37" t="s">
        <v>155</v>
      </c>
      <c r="J37" t="s">
        <v>307</v>
      </c>
      <c r="N37" s="32">
        <f>IFERROR(MATCH(LEFT(CProf[[#This Row],[Session_1]],5),CProf[[#This Row],[Pref_1]:[Pref_6]],0),"")</f>
        <v>1</v>
      </c>
      <c r="O37" s="32" t="str">
        <f>IFERROR(MATCH(LEFT(CProf[[#This Row],[Session_2]],5),CProf[[#This Row],[Pref_1]:[Pref_6]],0),"")</f>
        <v/>
      </c>
      <c r="P37" s="32" t="str">
        <f>IFERROR(MATCH(LEFT(CProf[[#This Row],[Session_3]],5),CProf[[#This Row],[Pref_1]:[Pref_6]],0),"")</f>
        <v/>
      </c>
      <c r="Q37" s="32" t="str">
        <f>IFERROR(MATCH(LEFT(CProf[[#This Row],[Session_4]],5),CProf[[#This Row],[Pref_1]:[Pref_6]],0),"")</f>
        <v/>
      </c>
    </row>
    <row r="38" spans="1:17" x14ac:dyDescent="0.25">
      <c r="A38" t="s">
        <v>80</v>
      </c>
      <c r="B38" t="s">
        <v>4</v>
      </c>
      <c r="C38">
        <v>1</v>
      </c>
      <c r="D38" t="s">
        <v>105</v>
      </c>
      <c r="E38" t="s">
        <v>159</v>
      </c>
      <c r="J38" t="s">
        <v>301</v>
      </c>
      <c r="N38" s="32">
        <f>IFERROR(MATCH(LEFT(CProf[[#This Row],[Session_1]],5),CProf[[#This Row],[Pref_1]:[Pref_6]],0),"")</f>
        <v>1</v>
      </c>
      <c r="O38" s="32" t="str">
        <f>IFERROR(MATCH(LEFT(CProf[[#This Row],[Session_2]],5),CProf[[#This Row],[Pref_1]:[Pref_6]],0),"")</f>
        <v/>
      </c>
      <c r="P38" s="32" t="str">
        <f>IFERROR(MATCH(LEFT(CProf[[#This Row],[Session_3]],5),CProf[[#This Row],[Pref_1]:[Pref_6]],0),"")</f>
        <v/>
      </c>
      <c r="Q38" s="32" t="str">
        <f>IFERROR(MATCH(LEFT(CProf[[#This Row],[Session_4]],5),CProf[[#This Row],[Pref_1]:[Pref_6]],0),"")</f>
        <v/>
      </c>
    </row>
    <row r="39" spans="1:17" x14ac:dyDescent="0.25">
      <c r="A39" t="s">
        <v>81</v>
      </c>
      <c r="B39" t="s">
        <v>4</v>
      </c>
      <c r="C39">
        <v>0</v>
      </c>
      <c r="D39" t="s">
        <v>140</v>
      </c>
      <c r="E39" t="s">
        <v>128</v>
      </c>
      <c r="F39" t="s">
        <v>132</v>
      </c>
      <c r="G39" t="s">
        <v>154</v>
      </c>
      <c r="J39" t="s">
        <v>350</v>
      </c>
      <c r="K39" t="s">
        <v>336</v>
      </c>
      <c r="L39" t="s">
        <v>324</v>
      </c>
      <c r="N39" s="32">
        <f>IFERROR(MATCH(LEFT(CProf[[#This Row],[Session_1]],5),CProf[[#This Row],[Pref_1]:[Pref_6]],0),"")</f>
        <v>4</v>
      </c>
      <c r="O39" s="32">
        <f>IFERROR(MATCH(LEFT(CProf[[#This Row],[Session_2]],5),CProf[[#This Row],[Pref_1]:[Pref_6]],0),"")</f>
        <v>1</v>
      </c>
      <c r="P39" s="32">
        <f>IFERROR(MATCH(LEFT(CProf[[#This Row],[Session_3]],5),CProf[[#This Row],[Pref_1]:[Pref_6]],0),"")</f>
        <v>2</v>
      </c>
      <c r="Q39" s="32" t="str">
        <f>IFERROR(MATCH(LEFT(CProf[[#This Row],[Session_4]],5),CProf[[#This Row],[Pref_1]:[Pref_6]],0),"")</f>
        <v/>
      </c>
    </row>
    <row r="40" spans="1:17" x14ac:dyDescent="0.25">
      <c r="A40" t="s">
        <v>74</v>
      </c>
      <c r="B40" t="s">
        <v>4</v>
      </c>
      <c r="C40">
        <v>3</v>
      </c>
      <c r="D40" t="s">
        <v>146</v>
      </c>
      <c r="E40" t="s">
        <v>113</v>
      </c>
      <c r="F40" t="s">
        <v>95</v>
      </c>
      <c r="J40" t="s">
        <v>342</v>
      </c>
      <c r="N40" s="32">
        <f>IFERROR(MATCH(LEFT(CProf[[#This Row],[Session_1]],5),CProf[[#This Row],[Pref_1]:[Pref_6]],0),"")</f>
        <v>1</v>
      </c>
      <c r="O40" s="32" t="str">
        <f>IFERROR(MATCH(LEFT(CProf[[#This Row],[Session_2]],5),CProf[[#This Row],[Pref_1]:[Pref_6]],0),"")</f>
        <v/>
      </c>
      <c r="P40" s="32" t="str">
        <f>IFERROR(MATCH(LEFT(CProf[[#This Row],[Session_3]],5),CProf[[#This Row],[Pref_1]:[Pref_6]],0),"")</f>
        <v/>
      </c>
      <c r="Q40" s="32" t="str">
        <f>IFERROR(MATCH(LEFT(CProf[[#This Row],[Session_4]],5),CProf[[#This Row],[Pref_1]:[Pref_6]],0),"")</f>
        <v/>
      </c>
    </row>
    <row r="41" spans="1:17" x14ac:dyDescent="0.25">
      <c r="A41" t="s">
        <v>82</v>
      </c>
      <c r="B41" t="s">
        <v>4</v>
      </c>
      <c r="C41">
        <v>2</v>
      </c>
      <c r="D41" t="s">
        <v>145</v>
      </c>
      <c r="E41" t="s">
        <v>98</v>
      </c>
      <c r="J41" t="s">
        <v>341</v>
      </c>
      <c r="K41" t="s">
        <v>294</v>
      </c>
      <c r="N41" s="32">
        <f>IFERROR(MATCH(LEFT(CProf[[#This Row],[Session_1]],5),CProf[[#This Row],[Pref_1]:[Pref_6]],0),"")</f>
        <v>1</v>
      </c>
      <c r="O41" s="32">
        <f>IFERROR(MATCH(LEFT(CProf[[#This Row],[Session_2]],5),CProf[[#This Row],[Pref_1]:[Pref_6]],0),"")</f>
        <v>2</v>
      </c>
      <c r="P41" s="32" t="str">
        <f>IFERROR(MATCH(LEFT(CProf[[#This Row],[Session_3]],5),CProf[[#This Row],[Pref_1]:[Pref_6]],0),"")</f>
        <v/>
      </c>
      <c r="Q41" s="32" t="str">
        <f>IFERROR(MATCH(LEFT(CProf[[#This Row],[Session_4]],5),CProf[[#This Row],[Pref_1]:[Pref_6]],0),"")</f>
        <v/>
      </c>
    </row>
    <row r="42" spans="1:17" x14ac:dyDescent="0.25">
      <c r="A42" t="s">
        <v>83</v>
      </c>
      <c r="B42" t="s">
        <v>4</v>
      </c>
      <c r="C42">
        <v>2</v>
      </c>
      <c r="D42" t="s">
        <v>8</v>
      </c>
      <c r="E42" t="s">
        <v>117</v>
      </c>
      <c r="J42" t="s">
        <v>33</v>
      </c>
      <c r="K42" t="s">
        <v>313</v>
      </c>
      <c r="N42" s="32">
        <f>IFERROR(MATCH(LEFT(CProf[[#This Row],[Session_1]],5),CProf[[#This Row],[Pref_1]:[Pref_6]],0),"")</f>
        <v>1</v>
      </c>
      <c r="O42" s="32">
        <f>IFERROR(MATCH(LEFT(CProf[[#This Row],[Session_2]],5),CProf[[#This Row],[Pref_1]:[Pref_6]],0),"")</f>
        <v>2</v>
      </c>
      <c r="P42" s="32" t="str">
        <f>IFERROR(MATCH(LEFT(CProf[[#This Row],[Session_3]],5),CProf[[#This Row],[Pref_1]:[Pref_6]],0),"")</f>
        <v/>
      </c>
      <c r="Q42" s="32" t="str">
        <f>IFERROR(MATCH(LEFT(CProf[[#This Row],[Session_4]],5),CProf[[#This Row],[Pref_1]:[Pref_6]],0),"")</f>
        <v/>
      </c>
    </row>
    <row r="43" spans="1:17" x14ac:dyDescent="0.25">
      <c r="A43" t="s">
        <v>84</v>
      </c>
      <c r="B43" t="s">
        <v>4</v>
      </c>
      <c r="C43">
        <v>0</v>
      </c>
      <c r="D43" t="s">
        <v>120</v>
      </c>
      <c r="E43" t="s">
        <v>159</v>
      </c>
      <c r="F43" t="s">
        <v>7</v>
      </c>
      <c r="G43" t="s">
        <v>133</v>
      </c>
      <c r="H43" t="s">
        <v>141</v>
      </c>
      <c r="I43" t="s">
        <v>11</v>
      </c>
      <c r="J43" t="s">
        <v>32</v>
      </c>
      <c r="K43" t="s">
        <v>316</v>
      </c>
      <c r="L43" t="s">
        <v>355</v>
      </c>
      <c r="M43" t="s">
        <v>355</v>
      </c>
      <c r="N43" s="32">
        <f>IFERROR(MATCH(LEFT(CProf[[#This Row],[Session_1]],5),CProf[[#This Row],[Pref_1]:[Pref_6]],0),"")</f>
        <v>3</v>
      </c>
      <c r="O43" s="32">
        <f>IFERROR(MATCH(LEFT(CProf[[#This Row],[Session_2]],5),CProf[[#This Row],[Pref_1]:[Pref_6]],0),"")</f>
        <v>1</v>
      </c>
      <c r="P43" s="32">
        <f>IFERROR(MATCH(LEFT(CProf[[#This Row],[Session_3]],5),CProf[[#This Row],[Pref_1]:[Pref_6]],0),"")</f>
        <v>2</v>
      </c>
      <c r="Q43" s="32">
        <f>IFERROR(MATCH(LEFT(CProf[[#This Row],[Session_4]],5),CProf[[#This Row],[Pref_1]:[Pref_6]],0),"")</f>
        <v>2</v>
      </c>
    </row>
    <row r="44" spans="1:17" x14ac:dyDescent="0.25">
      <c r="A44" t="s">
        <v>85</v>
      </c>
      <c r="B44" t="s">
        <v>4</v>
      </c>
      <c r="C44">
        <v>0</v>
      </c>
      <c r="D44" t="s">
        <v>94</v>
      </c>
      <c r="E44" t="s">
        <v>125</v>
      </c>
      <c r="F44" t="s">
        <v>147</v>
      </c>
      <c r="G44" t="s">
        <v>119</v>
      </c>
      <c r="H44" t="s">
        <v>93</v>
      </c>
      <c r="I44" t="s">
        <v>115</v>
      </c>
      <c r="J44" t="s">
        <v>290</v>
      </c>
      <c r="K44" t="s">
        <v>367</v>
      </c>
      <c r="L44" t="s">
        <v>358</v>
      </c>
      <c r="M44" t="s">
        <v>321</v>
      </c>
      <c r="N44" s="32">
        <f>IFERROR(MATCH(LEFT(CProf[[#This Row],[Session_1]],5),CProf[[#This Row],[Pref_1]:[Pref_6]],0),"")</f>
        <v>1</v>
      </c>
      <c r="O44" s="32">
        <f>IFERROR(MATCH(LEFT(CProf[[#This Row],[Session_2]],5),CProf[[#This Row],[Pref_1]:[Pref_6]],0),"")</f>
        <v>1</v>
      </c>
      <c r="P44" s="32">
        <f>IFERROR(MATCH(LEFT(CProf[[#This Row],[Session_3]],5),CProf[[#This Row],[Pref_1]:[Pref_6]],0),"")</f>
        <v>1</v>
      </c>
      <c r="Q44" s="32">
        <f>IFERROR(MATCH(LEFT(CProf[[#This Row],[Session_4]],5),CProf[[#This Row],[Pref_1]:[Pref_6]],0),"")</f>
        <v>2</v>
      </c>
    </row>
    <row r="45" spans="1:17" x14ac:dyDescent="0.25">
      <c r="A45" t="s">
        <v>86</v>
      </c>
      <c r="B45" t="s">
        <v>4</v>
      </c>
      <c r="C45">
        <v>2</v>
      </c>
      <c r="D45" t="s">
        <v>142</v>
      </c>
      <c r="E45" t="s">
        <v>105</v>
      </c>
      <c r="F45" t="s">
        <v>16</v>
      </c>
      <c r="G45" t="s">
        <v>140</v>
      </c>
      <c r="H45" t="s">
        <v>155</v>
      </c>
      <c r="J45" t="s">
        <v>338</v>
      </c>
      <c r="K45" t="s">
        <v>287</v>
      </c>
      <c r="N45" s="32">
        <f>IFERROR(MATCH(LEFT(CProf[[#This Row],[Session_1]],5),CProf[[#This Row],[Pref_1]:[Pref_6]],0),"")</f>
        <v>1</v>
      </c>
      <c r="O45" s="32">
        <f>IFERROR(MATCH(LEFT(CProf[[#This Row],[Session_2]],5),CProf[[#This Row],[Pref_1]:[Pref_6]],0),"")</f>
        <v>3</v>
      </c>
      <c r="P45" s="32" t="str">
        <f>IFERROR(MATCH(LEFT(CProf[[#This Row],[Session_3]],5),CProf[[#This Row],[Pref_1]:[Pref_6]],0),"")</f>
        <v/>
      </c>
      <c r="Q45" s="32" t="str">
        <f>IFERROR(MATCH(LEFT(CProf[[#This Row],[Session_4]],5),CProf[[#This Row],[Pref_1]:[Pref_6]],0),"")</f>
        <v/>
      </c>
    </row>
    <row r="46" spans="1:17" x14ac:dyDescent="0.25">
      <c r="A46" t="s">
        <v>87</v>
      </c>
      <c r="B46" t="s">
        <v>4</v>
      </c>
      <c r="C46">
        <v>0</v>
      </c>
      <c r="D46" t="s">
        <v>124</v>
      </c>
      <c r="E46" t="s">
        <v>6</v>
      </c>
      <c r="F46" t="s">
        <v>10</v>
      </c>
      <c r="J46" t="s">
        <v>31</v>
      </c>
      <c r="K46" t="s">
        <v>320</v>
      </c>
      <c r="N46" s="32">
        <f>IFERROR(MATCH(LEFT(CProf[[#This Row],[Session_1]],5),CProf[[#This Row],[Pref_1]:[Pref_6]],0),"")</f>
        <v>2</v>
      </c>
      <c r="O46" s="32">
        <f>IFERROR(MATCH(LEFT(CProf[[#This Row],[Session_2]],5),CProf[[#This Row],[Pref_1]:[Pref_6]],0),"")</f>
        <v>1</v>
      </c>
      <c r="P46" s="32" t="str">
        <f>IFERROR(MATCH(LEFT(CProf[[#This Row],[Session_3]],5),CProf[[#This Row],[Pref_1]:[Pref_6]],0),"")</f>
        <v/>
      </c>
      <c r="Q46" s="32" t="str">
        <f>IFERROR(MATCH(LEFT(CProf[[#This Row],[Session_4]],5),CProf[[#This Row],[Pref_1]:[Pref_6]],0),"")</f>
        <v/>
      </c>
    </row>
    <row r="47" spans="1:17" x14ac:dyDescent="0.25">
      <c r="A47" t="s">
        <v>88</v>
      </c>
      <c r="B47" t="s">
        <v>4</v>
      </c>
      <c r="C47">
        <v>2</v>
      </c>
      <c r="D47" t="s">
        <v>155</v>
      </c>
      <c r="E47" t="s">
        <v>106</v>
      </c>
      <c r="F47" t="s">
        <v>108</v>
      </c>
      <c r="G47" t="s">
        <v>8</v>
      </c>
      <c r="H47" t="s">
        <v>102</v>
      </c>
      <c r="J47" t="s">
        <v>302</v>
      </c>
      <c r="K47" t="s">
        <v>351</v>
      </c>
      <c r="N47" s="32">
        <f>IFERROR(MATCH(LEFT(CProf[[#This Row],[Session_1]],5),CProf[[#This Row],[Pref_1]:[Pref_6]],0),"")</f>
        <v>2</v>
      </c>
      <c r="O47" s="32">
        <f>IFERROR(MATCH(LEFT(CProf[[#This Row],[Session_2]],5),CProf[[#This Row],[Pref_1]:[Pref_6]],0),"")</f>
        <v>1</v>
      </c>
      <c r="P47" s="32" t="str">
        <f>IFERROR(MATCH(LEFT(CProf[[#This Row],[Session_3]],5),CProf[[#This Row],[Pref_1]:[Pref_6]],0),"")</f>
        <v/>
      </c>
      <c r="Q47" s="32" t="str">
        <f>IFERROR(MATCH(LEFT(CProf[[#This Row],[Session_4]],5),CProf[[#This Row],[Pref_1]:[Pref_6]],0),"")</f>
        <v/>
      </c>
    </row>
    <row r="48" spans="1:17" x14ac:dyDescent="0.25">
      <c r="A48" t="s">
        <v>89</v>
      </c>
      <c r="B48" t="s">
        <v>4</v>
      </c>
      <c r="C48">
        <v>2</v>
      </c>
      <c r="D48" t="s">
        <v>260</v>
      </c>
      <c r="E48" t="s">
        <v>12</v>
      </c>
      <c r="F48" t="s">
        <v>14</v>
      </c>
      <c r="G48" t="s">
        <v>116</v>
      </c>
      <c r="H48" t="s">
        <v>200</v>
      </c>
      <c r="J48" t="s">
        <v>283</v>
      </c>
      <c r="N48" s="32">
        <f>IFERROR(MATCH(LEFT(CProf[[#This Row],[Session_1]],5),CProf[[#This Row],[Pref_1]:[Pref_6]],0),"")</f>
        <v>2</v>
      </c>
      <c r="O48" s="32" t="str">
        <f>IFERROR(MATCH(LEFT(CProf[[#This Row],[Session_2]],5),CProf[[#This Row],[Pref_1]:[Pref_6]],0),"")</f>
        <v/>
      </c>
      <c r="P48" s="32" t="str">
        <f>IFERROR(MATCH(LEFT(CProf[[#This Row],[Session_3]],5),CProf[[#This Row],[Pref_1]:[Pref_6]],0),"")</f>
        <v/>
      </c>
      <c r="Q48" s="32" t="str">
        <f>IFERROR(MATCH(LEFT(CProf[[#This Row],[Session_4]],5),CProf[[#This Row],[Pref_1]:[Pref_6]],0),"")</f>
        <v/>
      </c>
    </row>
    <row r="49" spans="1:17" x14ac:dyDescent="0.25">
      <c r="A49" t="s">
        <v>90</v>
      </c>
      <c r="B49" t="s">
        <v>4</v>
      </c>
      <c r="C49">
        <v>0</v>
      </c>
      <c r="D49" t="s">
        <v>112</v>
      </c>
      <c r="E49" t="s">
        <v>14</v>
      </c>
      <c r="F49" t="s">
        <v>140</v>
      </c>
      <c r="G49" t="s">
        <v>134</v>
      </c>
      <c r="H49" t="s">
        <v>131</v>
      </c>
      <c r="I49" t="s">
        <v>149</v>
      </c>
      <c r="N49" s="32" t="str">
        <f>IFERROR(MATCH(LEFT(CProf[[#This Row],[Session_1]],5),CProf[[#This Row],[Pref_1]:[Pref_6]],0),"")</f>
        <v/>
      </c>
      <c r="O49" s="32" t="str">
        <f>IFERROR(MATCH(LEFT(CProf[[#This Row],[Session_2]],5),CProf[[#This Row],[Pref_1]:[Pref_6]],0),"")</f>
        <v/>
      </c>
      <c r="P49" s="32" t="str">
        <f>IFERROR(MATCH(LEFT(CProf[[#This Row],[Session_3]],5),CProf[[#This Row],[Pref_1]:[Pref_6]],0),"")</f>
        <v/>
      </c>
      <c r="Q49" s="32" t="str">
        <f>IFERROR(MATCH(LEFT(CProf[[#This Row],[Session_4]],5),CProf[[#This Row],[Pref_1]:[Pref_6]],0),"")</f>
        <v/>
      </c>
    </row>
    <row r="50" spans="1:17" x14ac:dyDescent="0.25">
      <c r="A50" t="s">
        <v>91</v>
      </c>
      <c r="B50" t="s">
        <v>4</v>
      </c>
      <c r="C50">
        <v>0</v>
      </c>
      <c r="D50" t="s">
        <v>124</v>
      </c>
      <c r="E50" t="s">
        <v>129</v>
      </c>
      <c r="F50" t="s">
        <v>11</v>
      </c>
      <c r="G50" t="s">
        <v>139</v>
      </c>
      <c r="H50" t="s">
        <v>93</v>
      </c>
      <c r="J50" t="s">
        <v>335</v>
      </c>
      <c r="K50" t="s">
        <v>357</v>
      </c>
      <c r="L50" t="s">
        <v>366</v>
      </c>
      <c r="M50" t="s">
        <v>289</v>
      </c>
      <c r="N50" s="32">
        <f>IFERROR(MATCH(LEFT(CProf[[#This Row],[Session_1]],5),CProf[[#This Row],[Pref_1]:[Pref_6]],0),"")</f>
        <v>4</v>
      </c>
      <c r="O50" s="32">
        <f>IFERROR(MATCH(LEFT(CProf[[#This Row],[Session_2]],5),CProf[[#This Row],[Pref_1]:[Pref_6]],0),"")</f>
        <v>5</v>
      </c>
      <c r="P50" s="32">
        <f>IFERROR(MATCH(LEFT(CProf[[#This Row],[Session_3]],5),CProf[[#This Row],[Pref_1]:[Pref_6]],0),"")</f>
        <v>5</v>
      </c>
      <c r="Q50" s="32">
        <f>IFERROR(MATCH(LEFT(CProf[[#This Row],[Session_4]],5),CProf[[#This Row],[Pref_1]:[Pref_6]],0),"")</f>
        <v>5</v>
      </c>
    </row>
    <row r="51" spans="1:17" x14ac:dyDescent="0.25">
      <c r="A51" t="s">
        <v>92</v>
      </c>
      <c r="B51" t="s">
        <v>4</v>
      </c>
      <c r="C51">
        <v>0</v>
      </c>
      <c r="D51" t="s">
        <v>156</v>
      </c>
      <c r="E51" t="s">
        <v>11</v>
      </c>
      <c r="F51" t="s">
        <v>101</v>
      </c>
      <c r="G51" t="s">
        <v>151</v>
      </c>
      <c r="H51" t="s">
        <v>125</v>
      </c>
      <c r="J51" t="s">
        <v>347</v>
      </c>
      <c r="K51" t="s">
        <v>282</v>
      </c>
      <c r="L51" t="s">
        <v>352</v>
      </c>
      <c r="N51" s="32">
        <f>IFERROR(MATCH(LEFT(CProf[[#This Row],[Session_1]],5),CProf[[#This Row],[Pref_1]:[Pref_6]],0),"")</f>
        <v>4</v>
      </c>
      <c r="O51" s="32">
        <f>IFERROR(MATCH(LEFT(CProf[[#This Row],[Session_2]],5),CProf[[#This Row],[Pref_1]:[Pref_6]],0),"")</f>
        <v>2</v>
      </c>
      <c r="P51" s="32">
        <f>IFERROR(MATCH(LEFT(CProf[[#This Row],[Session_3]],5),CProf[[#This Row],[Pref_1]:[Pref_6]],0),"")</f>
        <v>1</v>
      </c>
      <c r="Q51" s="32" t="str">
        <f>IFERROR(MATCH(LEFT(CProf[[#This Row],[Session_4]],5),CProf[[#This Row],[Pref_1]:[Pref_6]],0),"")</f>
        <v/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L106"/>
  <sheetViews>
    <sheetView topLeftCell="A78" workbookViewId="0">
      <selection activeCell="K101" sqref="K101"/>
    </sheetView>
  </sheetViews>
  <sheetFormatPr defaultRowHeight="15" x14ac:dyDescent="0.25"/>
  <cols>
    <col min="1" max="1" width="9.42578125" customWidth="1"/>
    <col min="2" max="2" width="9.28515625" customWidth="1"/>
    <col min="3" max="3" width="9.85546875" customWidth="1"/>
    <col min="4" max="4" width="7.85546875" customWidth="1"/>
    <col min="5" max="5" width="12.140625" customWidth="1"/>
    <col min="6" max="6" width="10.7109375" customWidth="1"/>
    <col min="9" max="9" width="13.42578125" bestFit="1" customWidth="1"/>
    <col min="10" max="10" width="6.28515625" bestFit="1" customWidth="1"/>
    <col min="12" max="12" width="12" bestFit="1" customWidth="1"/>
  </cols>
  <sheetData>
    <row r="1" spans="1:12" x14ac:dyDescent="0.25">
      <c r="A1" s="30" t="s">
        <v>41</v>
      </c>
      <c r="B1" t="s">
        <v>41</v>
      </c>
      <c r="C1" t="s">
        <v>1</v>
      </c>
      <c r="D1" t="s">
        <v>2</v>
      </c>
      <c r="E1" t="s">
        <v>39</v>
      </c>
      <c r="F1" t="s">
        <v>40</v>
      </c>
      <c r="G1" t="s">
        <v>248</v>
      </c>
      <c r="H1" t="s">
        <v>160</v>
      </c>
      <c r="I1" t="s">
        <v>261</v>
      </c>
      <c r="J1" t="s">
        <v>42</v>
      </c>
      <c r="K1" t="s">
        <v>47</v>
      </c>
      <c r="L1" t="s">
        <v>161</v>
      </c>
    </row>
    <row r="2" spans="1:12" x14ac:dyDescent="0.25">
      <c r="A2" s="4" t="s">
        <v>6</v>
      </c>
      <c r="B2" t="s">
        <v>6</v>
      </c>
      <c r="C2">
        <v>100</v>
      </c>
      <c r="D2" t="s">
        <v>5</v>
      </c>
      <c r="E2" s="32" t="s">
        <v>31</v>
      </c>
      <c r="F2" s="32">
        <f>COUNTIF(CProf[[Pref_1]:[Pref_6]],CCourse[[#This Row],[Course]])</f>
        <v>2</v>
      </c>
      <c r="G2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" s="32">
        <f>COUNTIF(CCourse[Course],CCourse[[#This Row],[Course]])-COUNTIF(CProf[[Session_1]:[Session_4]],CCourse[[#This Row],[Course]]&amp;"*")</f>
        <v>0</v>
      </c>
      <c r="I2" s="32">
        <v>10</v>
      </c>
      <c r="J2" s="32" t="str">
        <f>IFERROR(INDEX(CProf[Full/Part-time],MATCH(CCourse[[#This Row],[Professor]],CProf[Name],0)),"")</f>
        <v>F</v>
      </c>
      <c r="K2" t="s">
        <v>87</v>
      </c>
      <c r="L2" s="32">
        <v>0.15195625898775456</v>
      </c>
    </row>
    <row r="3" spans="1:12" x14ac:dyDescent="0.25">
      <c r="A3" s="4" t="s">
        <v>7</v>
      </c>
      <c r="B3" t="s">
        <v>7</v>
      </c>
      <c r="C3">
        <v>100</v>
      </c>
      <c r="D3" t="s">
        <v>5</v>
      </c>
      <c r="E3" s="32" t="s">
        <v>32</v>
      </c>
      <c r="F3" s="32">
        <f>COUNTIF(CProf[[Pref_1]:[Pref_6]],CCourse[[#This Row],[Course]])</f>
        <v>1</v>
      </c>
      <c r="G3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" s="32">
        <f>COUNTIF(CCourse[Course],CCourse[[#This Row],[Course]])-COUNTIF(CProf[[Session_1]:[Session_4]],CCourse[[#This Row],[Course]]&amp;"*")</f>
        <v>0</v>
      </c>
      <c r="I3" s="32">
        <v>10</v>
      </c>
      <c r="J3" s="32" t="str">
        <f>IFERROR(INDEX(CProf[Full/Part-time],MATCH(CCourse[[#This Row],[Professor]],CProf[Name],0)),"")</f>
        <v>F</v>
      </c>
      <c r="K3" t="s">
        <v>84</v>
      </c>
      <c r="L3" s="32">
        <v>0.36879274457014244</v>
      </c>
    </row>
    <row r="4" spans="1:12" x14ac:dyDescent="0.25">
      <c r="A4" s="4" t="s">
        <v>8</v>
      </c>
      <c r="B4" t="s">
        <v>8</v>
      </c>
      <c r="C4">
        <v>100</v>
      </c>
      <c r="D4" t="s">
        <v>5</v>
      </c>
      <c r="E4" s="32" t="s">
        <v>33</v>
      </c>
      <c r="F4" s="32">
        <f>COUNTIF(CProf[[Pref_1]:[Pref_6]],CCourse[[#This Row],[Course]])</f>
        <v>4</v>
      </c>
      <c r="G4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4" s="32">
        <f>COUNTIF(CCourse[Course],CCourse[[#This Row],[Course]])-COUNTIF(CProf[[Session_1]:[Session_4]],CCourse[[#This Row],[Course]]&amp;"*")</f>
        <v>0</v>
      </c>
      <c r="I4" s="32">
        <v>10</v>
      </c>
      <c r="J4" s="32" t="str">
        <f>IFERROR(INDEX(CProf[Full/Part-time],MATCH(CCourse[[#This Row],[Professor]],CProf[Name],0)),"")</f>
        <v>F</v>
      </c>
      <c r="K4" t="s">
        <v>83</v>
      </c>
      <c r="L4" s="32">
        <v>0.3797602907766493</v>
      </c>
    </row>
    <row r="5" spans="1:12" x14ac:dyDescent="0.25">
      <c r="A5" s="4" t="s">
        <v>9</v>
      </c>
      <c r="B5" t="s">
        <v>9</v>
      </c>
      <c r="C5">
        <v>100</v>
      </c>
      <c r="D5" t="s">
        <v>5</v>
      </c>
      <c r="E5" s="32" t="s">
        <v>34</v>
      </c>
      <c r="F5" s="32">
        <f>COUNTIF(CProf[[Pref_1]:[Pref_6]],CCourse[[#This Row],[Course]])</f>
        <v>3</v>
      </c>
      <c r="G5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5" s="32">
        <f>COUNTIF(CCourse[Course],CCourse[[#This Row],[Course]])-COUNTIF(CProf[[Session_1]:[Session_4]],CCourse[[#This Row],[Course]]&amp;"*")</f>
        <v>0</v>
      </c>
      <c r="I5" s="32">
        <v>10</v>
      </c>
      <c r="J5" s="32" t="str">
        <f>IFERROR(INDEX(CProf[Full/Part-time],MATCH(CCourse[[#This Row],[Professor]],CProf[Name],0)),"")</f>
        <v>F</v>
      </c>
      <c r="K5" t="s">
        <v>54</v>
      </c>
      <c r="L5" s="32">
        <v>0.32443493846524052</v>
      </c>
    </row>
    <row r="6" spans="1:12" x14ac:dyDescent="0.25">
      <c r="A6" s="4" t="s">
        <v>10</v>
      </c>
      <c r="B6" t="s">
        <v>10</v>
      </c>
      <c r="C6">
        <v>100</v>
      </c>
      <c r="D6" t="s">
        <v>5</v>
      </c>
      <c r="E6" s="32" t="s">
        <v>36</v>
      </c>
      <c r="F6" s="32">
        <f>COUNTIF(CProf[[Pref_1]:[Pref_6]],CCourse[[#This Row],[Course]])</f>
        <v>4</v>
      </c>
      <c r="G6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6" s="32">
        <f>COUNTIF(CCourse[Course],CCourse[[#This Row],[Course]])-COUNTIF(CProf[[Session_1]:[Session_4]],CCourse[[#This Row],[Course]]&amp;"*")</f>
        <v>0</v>
      </c>
      <c r="I6" s="32">
        <v>10</v>
      </c>
      <c r="J6" s="32" t="str">
        <f>IFERROR(INDEX(CProf[Full/Part-time],MATCH(CCourse[[#This Row],[Professor]],CProf[Name],0)),"")</f>
        <v>F</v>
      </c>
      <c r="K6" t="s">
        <v>71</v>
      </c>
      <c r="L6" s="32">
        <v>0.13218010619239828</v>
      </c>
    </row>
    <row r="7" spans="1:12" x14ac:dyDescent="0.25">
      <c r="A7" s="4" t="s">
        <v>11</v>
      </c>
      <c r="B7" t="s">
        <v>11</v>
      </c>
      <c r="C7">
        <v>100</v>
      </c>
      <c r="D7" t="s">
        <v>5</v>
      </c>
      <c r="E7" s="32" t="s">
        <v>282</v>
      </c>
      <c r="F7" s="32">
        <f>COUNTIF(CProf[[Pref_1]:[Pref_6]],CCourse[[#This Row],[Course]])</f>
        <v>6</v>
      </c>
      <c r="G7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7" s="32">
        <f>COUNTIF(CCourse[Course],CCourse[[#This Row],[Course]])-COUNTIF(CProf[[Session_1]:[Session_4]],CCourse[[#This Row],[Course]]&amp;"*")</f>
        <v>0</v>
      </c>
      <c r="I7" s="32">
        <v>10</v>
      </c>
      <c r="J7" s="32" t="str">
        <f>IFERROR(INDEX(CProf[Full/Part-time],MATCH(CCourse[[#This Row],[Professor]],CProf[Name],0)),"")</f>
        <v>F</v>
      </c>
      <c r="K7" t="s">
        <v>92</v>
      </c>
      <c r="L7" s="32">
        <v>0.46818478115356277</v>
      </c>
    </row>
    <row r="8" spans="1:12" x14ac:dyDescent="0.25">
      <c r="A8" s="4" t="s">
        <v>12</v>
      </c>
      <c r="B8" t="s">
        <v>12</v>
      </c>
      <c r="C8">
        <v>100</v>
      </c>
      <c r="D8" t="s">
        <v>5</v>
      </c>
      <c r="E8" s="32" t="s">
        <v>283</v>
      </c>
      <c r="F8" s="32">
        <f>COUNTIF(CProf[[Pref_1]:[Pref_6]],CCourse[[#This Row],[Course]])</f>
        <v>2</v>
      </c>
      <c r="G8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8" s="32">
        <f>COUNTIF(CCourse[Course],CCourse[[#This Row],[Course]])-COUNTIF(CProf[[Session_1]:[Session_4]],CCourse[[#This Row],[Course]]&amp;"*")</f>
        <v>0</v>
      </c>
      <c r="I8" s="32">
        <v>10</v>
      </c>
      <c r="J8" s="32" t="str">
        <f>IFERROR(INDEX(CProf[Full/Part-time],MATCH(CCourse[[#This Row],[Professor]],CProf[Name],0)),"")</f>
        <v>F</v>
      </c>
      <c r="K8" t="s">
        <v>89</v>
      </c>
      <c r="L8" s="32">
        <v>0.92695071838580057</v>
      </c>
    </row>
    <row r="9" spans="1:12" x14ac:dyDescent="0.25">
      <c r="A9" s="4" t="s">
        <v>13</v>
      </c>
      <c r="B9" t="s">
        <v>13</v>
      </c>
      <c r="C9">
        <v>100</v>
      </c>
      <c r="D9" t="s">
        <v>5</v>
      </c>
      <c r="E9" s="32" t="s">
        <v>284</v>
      </c>
      <c r="F9" s="32">
        <f>COUNTIF(CProf[[Pref_1]:[Pref_6]],CCourse[[#This Row],[Course]])</f>
        <v>4</v>
      </c>
      <c r="G9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9" s="32">
        <f>COUNTIF(CCourse[Course],CCourse[[#This Row],[Course]])-COUNTIF(CProf[[Session_1]:[Session_4]],CCourse[[#This Row],[Course]]&amp;"*")</f>
        <v>0</v>
      </c>
      <c r="I9" s="32">
        <v>10</v>
      </c>
      <c r="J9" s="32" t="str">
        <f>IFERROR(INDEX(CProf[Full/Part-time],MATCH(CCourse[[#This Row],[Professor]],CProf[Name],0)),"")</f>
        <v>F</v>
      </c>
      <c r="K9" t="s">
        <v>26</v>
      </c>
      <c r="L9" s="32">
        <v>0.74828769330743528</v>
      </c>
    </row>
    <row r="10" spans="1:12" x14ac:dyDescent="0.25">
      <c r="A10" s="4" t="s">
        <v>14</v>
      </c>
      <c r="B10" t="s">
        <v>14</v>
      </c>
      <c r="C10">
        <v>100</v>
      </c>
      <c r="D10" t="s">
        <v>5</v>
      </c>
      <c r="E10" s="32" t="s">
        <v>285</v>
      </c>
      <c r="F10" s="32">
        <f>COUNTIF(CProf[[Pref_1]:[Pref_6]],CCourse[[#This Row],[Course]])</f>
        <v>5</v>
      </c>
      <c r="G10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10" s="32">
        <f>COUNTIF(CCourse[Course],CCourse[[#This Row],[Course]])-COUNTIF(CProf[[Session_1]:[Session_4]],CCourse[[#This Row],[Course]]&amp;"*")</f>
        <v>0</v>
      </c>
      <c r="I10" s="32">
        <v>10</v>
      </c>
      <c r="J10" s="32" t="str">
        <f>IFERROR(INDEX(CProf[Full/Part-time],MATCH(CCourse[[#This Row],[Professor]],CProf[Name],0)),"")</f>
        <v>F</v>
      </c>
      <c r="K10" t="s">
        <v>60</v>
      </c>
      <c r="L10" s="32">
        <v>0.77157116866293518</v>
      </c>
    </row>
    <row r="11" spans="1:12" x14ac:dyDescent="0.25">
      <c r="A11" s="4" t="s">
        <v>15</v>
      </c>
      <c r="B11" t="s">
        <v>15</v>
      </c>
      <c r="C11">
        <v>100</v>
      </c>
      <c r="D11" t="s">
        <v>5</v>
      </c>
      <c r="E11" s="32" t="s">
        <v>286</v>
      </c>
      <c r="F11" s="32">
        <f>COUNTIF(CProf[[Pref_1]:[Pref_6]],CCourse[[#This Row],[Course]])</f>
        <v>3</v>
      </c>
      <c r="G11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11" s="32">
        <f>COUNTIF(CCourse[Course],CCourse[[#This Row],[Course]])-COUNTIF(CProf[[Session_1]:[Session_4]],CCourse[[#This Row],[Course]]&amp;"*")</f>
        <v>0</v>
      </c>
      <c r="I11" s="32">
        <v>10</v>
      </c>
      <c r="J11" s="32" t="str">
        <f>IFERROR(INDEX(CProf[Full/Part-time],MATCH(CCourse[[#This Row],[Professor]],CProf[Name],0)),"")</f>
        <v>F</v>
      </c>
      <c r="K11" t="s">
        <v>59</v>
      </c>
      <c r="L11" s="32">
        <v>0.91312598315664018</v>
      </c>
    </row>
    <row r="12" spans="1:12" x14ac:dyDescent="0.25">
      <c r="A12" s="4" t="s">
        <v>16</v>
      </c>
      <c r="B12" t="s">
        <v>16</v>
      </c>
      <c r="C12">
        <v>100</v>
      </c>
      <c r="D12" t="s">
        <v>5</v>
      </c>
      <c r="E12" s="32" t="s">
        <v>287</v>
      </c>
      <c r="F12" s="32">
        <f>COUNTIF(CProf[[Pref_1]:[Pref_6]],CCourse[[#This Row],[Course]])</f>
        <v>1</v>
      </c>
      <c r="G12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2" s="32">
        <f>COUNTIF(CCourse[Course],CCourse[[#This Row],[Course]])-COUNTIF(CProf[[Session_1]:[Session_4]],CCourse[[#This Row],[Course]]&amp;"*")</f>
        <v>0</v>
      </c>
      <c r="I12" s="32">
        <v>10</v>
      </c>
      <c r="J12" s="32" t="str">
        <f>IFERROR(INDEX(CProf[Full/Part-time],MATCH(CCourse[[#This Row],[Professor]],CProf[Name],0)),"")</f>
        <v>F</v>
      </c>
      <c r="K12" t="s">
        <v>86</v>
      </c>
      <c r="L12" s="32">
        <v>0.76503874118357162</v>
      </c>
    </row>
    <row r="13" spans="1:12" x14ac:dyDescent="0.25">
      <c r="A13" s="4" t="s">
        <v>17</v>
      </c>
      <c r="B13" t="s">
        <v>17</v>
      </c>
      <c r="C13">
        <v>100</v>
      </c>
      <c r="D13" t="s">
        <v>5</v>
      </c>
      <c r="E13" s="32" t="s">
        <v>288</v>
      </c>
      <c r="F13" s="32">
        <f>COUNTIF(CProf[[Pref_1]:[Pref_6]],CCourse[[#This Row],[Course]])</f>
        <v>2</v>
      </c>
      <c r="G13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3" s="32">
        <f>COUNTIF(CCourse[Course],CCourse[[#This Row],[Course]])-COUNTIF(CProf[[Session_1]:[Session_4]],CCourse[[#This Row],[Course]]&amp;"*")</f>
        <v>0</v>
      </c>
      <c r="I13" s="32">
        <v>10</v>
      </c>
      <c r="J13" s="32" t="str">
        <f>IFERROR(INDEX(CProf[Full/Part-time],MATCH(CCourse[[#This Row],[Professor]],CProf[Name],0)),"")</f>
        <v>F</v>
      </c>
      <c r="K13" t="s">
        <v>76</v>
      </c>
      <c r="L13" s="32">
        <v>7.3293747588793368E-2</v>
      </c>
    </row>
    <row r="14" spans="1:12" x14ac:dyDescent="0.25">
      <c r="A14" s="4" t="s">
        <v>93</v>
      </c>
      <c r="B14" t="s">
        <v>199</v>
      </c>
      <c r="C14">
        <v>100</v>
      </c>
      <c r="D14" t="s">
        <v>3</v>
      </c>
      <c r="E14" s="32" t="s">
        <v>262</v>
      </c>
      <c r="F14" s="32">
        <f>COUNTIF(CProf[[Pref_1]:[Pref_6]],CCourse[[#This Row],[Course]])</f>
        <v>3</v>
      </c>
      <c r="G14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4" s="32">
        <f>COUNTIF(CCourse[Course],CCourse[[#This Row],[Course]])-COUNTIF(CProf[[Session_1]:[Session_4]],CCourse[[#This Row],[Course]]&amp;"*")</f>
        <v>0</v>
      </c>
      <c r="I14" s="32">
        <v>10</v>
      </c>
      <c r="J14" s="32" t="str">
        <f>IFERROR(INDEX(CProf[Full/Part-time],MATCH(CCourse[[#This Row],[Professor]],CProf[Name],0)),"")</f>
        <v>F</v>
      </c>
      <c r="K14" t="s">
        <v>25</v>
      </c>
      <c r="L14" s="32">
        <v>0.84428925040046643</v>
      </c>
    </row>
    <row r="15" spans="1:12" x14ac:dyDescent="0.25">
      <c r="A15" s="4" t="s">
        <v>94</v>
      </c>
      <c r="B15" t="s">
        <v>199</v>
      </c>
      <c r="C15">
        <v>200</v>
      </c>
      <c r="D15" t="s">
        <v>3</v>
      </c>
      <c r="E15" s="32" t="s">
        <v>263</v>
      </c>
      <c r="F15" s="32">
        <f>COUNTIF(CProf[[Pref_1]:[Pref_6]],CCourse[[#This Row],[Course]])</f>
        <v>3</v>
      </c>
      <c r="G15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5" s="32">
        <f>COUNTIF(CCourse[Course],CCourse[[#This Row],[Course]])-COUNTIF(CProf[[Session_1]:[Session_4]],CCourse[[#This Row],[Course]]&amp;"*")</f>
        <v>0</v>
      </c>
      <c r="I15" s="32">
        <v>10</v>
      </c>
      <c r="J15" s="32" t="str">
        <f>IFERROR(INDEX(CProf[Full/Part-time],MATCH(CCourse[[#This Row],[Professor]],CProf[Name],0)),"")</f>
        <v>F</v>
      </c>
      <c r="K15" t="s">
        <v>25</v>
      </c>
      <c r="L15" s="32">
        <v>0.2247945779675049</v>
      </c>
    </row>
    <row r="16" spans="1:12" x14ac:dyDescent="0.25">
      <c r="A16" s="4" t="s">
        <v>95</v>
      </c>
      <c r="B16" t="s">
        <v>199</v>
      </c>
      <c r="C16">
        <v>300</v>
      </c>
      <c r="D16" t="s">
        <v>3</v>
      </c>
      <c r="E16" s="32" t="s">
        <v>264</v>
      </c>
      <c r="F16" s="32">
        <f>COUNTIF(CProf[[Pref_1]:[Pref_6]],CCourse[[#This Row],[Course]])</f>
        <v>3</v>
      </c>
      <c r="G16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6" s="32">
        <f>COUNTIF(CCourse[Course],CCourse[[#This Row],[Course]])-COUNTIF(CProf[[Session_1]:[Session_4]],CCourse[[#This Row],[Course]]&amp;"*")</f>
        <v>0</v>
      </c>
      <c r="I16" s="32">
        <v>10</v>
      </c>
      <c r="J16" s="32" t="str">
        <f>IFERROR(INDEX(CProf[Full/Part-time],MATCH(CCourse[[#This Row],[Professor]],CProf[Name],0)),"")</f>
        <v>F</v>
      </c>
      <c r="K16" t="s">
        <v>25</v>
      </c>
      <c r="L16" s="32">
        <v>0.4465107257244475</v>
      </c>
    </row>
    <row r="17" spans="1:12" x14ac:dyDescent="0.25">
      <c r="A17" s="4" t="s">
        <v>96</v>
      </c>
      <c r="B17" t="s">
        <v>199</v>
      </c>
      <c r="C17">
        <v>400</v>
      </c>
      <c r="D17" t="s">
        <v>3</v>
      </c>
      <c r="E17" s="32" t="s">
        <v>265</v>
      </c>
      <c r="F17" s="32">
        <f>COUNTIF(CProf[[Pref_1]:[Pref_6]],CCourse[[#This Row],[Course]])</f>
        <v>3</v>
      </c>
      <c r="G17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7" s="32">
        <f>COUNTIF(CCourse[Course],CCourse[[#This Row],[Course]])-COUNTIF(CProf[[Session_1]:[Session_4]],CCourse[[#This Row],[Course]]&amp;"*")</f>
        <v>0</v>
      </c>
      <c r="I17" s="32">
        <v>10</v>
      </c>
      <c r="J17" s="32" t="str">
        <f>IFERROR(INDEX(CProf[Full/Part-time],MATCH(CCourse[[#This Row],[Professor]],CProf[Name],0)),"")</f>
        <v>F</v>
      </c>
      <c r="K17" t="s">
        <v>25</v>
      </c>
      <c r="L17" s="32">
        <v>6.0768667515728514E-2</v>
      </c>
    </row>
    <row r="18" spans="1:12" x14ac:dyDescent="0.25">
      <c r="A18" s="4" t="s">
        <v>97</v>
      </c>
      <c r="B18" t="s">
        <v>200</v>
      </c>
      <c r="C18">
        <v>100</v>
      </c>
      <c r="D18" t="s">
        <v>3</v>
      </c>
      <c r="E18" s="32" t="s">
        <v>266</v>
      </c>
      <c r="F18" s="32">
        <f>COUNTIF(CProf[[Pref_1]:[Pref_6]],CCourse[[#This Row],[Course]])</f>
        <v>2</v>
      </c>
      <c r="G18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8" s="32">
        <f>COUNTIF(CCourse[Course],CCourse[[#This Row],[Course]])-COUNTIF(CProf[[Session_1]:[Session_4]],CCourse[[#This Row],[Course]]&amp;"*")</f>
        <v>0</v>
      </c>
      <c r="I18" s="32">
        <v>10</v>
      </c>
      <c r="J18" s="32" t="str">
        <f>IFERROR(INDEX(CProf[Full/Part-time],MATCH(CCourse[[#This Row],[Professor]],CProf[Name],0)),"")</f>
        <v>F</v>
      </c>
      <c r="K18" t="s">
        <v>53</v>
      </c>
      <c r="L18" s="32">
        <v>0.13414129767897698</v>
      </c>
    </row>
    <row r="19" spans="1:12" x14ac:dyDescent="0.25">
      <c r="A19" s="4" t="s">
        <v>98</v>
      </c>
      <c r="B19" t="s">
        <v>200</v>
      </c>
      <c r="C19">
        <v>200</v>
      </c>
      <c r="D19" t="s">
        <v>3</v>
      </c>
      <c r="E19" s="32" t="s">
        <v>267</v>
      </c>
      <c r="F19" s="32">
        <f>COUNTIF(CProf[[Pref_1]:[Pref_6]],CCourse[[#This Row],[Course]])</f>
        <v>2</v>
      </c>
      <c r="G19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9" s="32">
        <f>COUNTIF(CCourse[Course],CCourse[[#This Row],[Course]])-COUNTIF(CProf[[Session_1]:[Session_4]],CCourse[[#This Row],[Course]]&amp;"*")</f>
        <v>0</v>
      </c>
      <c r="I19" s="32">
        <v>10</v>
      </c>
      <c r="J19" s="32" t="str">
        <f>IFERROR(INDEX(CProf[Full/Part-time],MATCH(CCourse[[#This Row],[Professor]],CProf[Name],0)),"")</f>
        <v>F</v>
      </c>
      <c r="K19" t="s">
        <v>53</v>
      </c>
      <c r="L19" s="32">
        <v>0.84168629181561272</v>
      </c>
    </row>
    <row r="20" spans="1:12" x14ac:dyDescent="0.25">
      <c r="A20" s="4" t="s">
        <v>99</v>
      </c>
      <c r="B20" t="s">
        <v>200</v>
      </c>
      <c r="C20">
        <v>300</v>
      </c>
      <c r="D20" t="s">
        <v>3</v>
      </c>
      <c r="E20" s="32" t="s">
        <v>268</v>
      </c>
      <c r="F20" s="32">
        <f>COUNTIF(CProf[[Pref_1]:[Pref_6]],CCourse[[#This Row],[Course]])</f>
        <v>2</v>
      </c>
      <c r="G20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20" s="32">
        <f>COUNTIF(CCourse[Course],CCourse[[#This Row],[Course]])-COUNTIF(CProf[[Session_1]:[Session_4]],CCourse[[#This Row],[Course]]&amp;"*")</f>
        <v>0</v>
      </c>
      <c r="I20" s="32">
        <v>10</v>
      </c>
      <c r="J20" s="32" t="str">
        <f>IFERROR(INDEX(CProf[Full/Part-time],MATCH(CCourse[[#This Row],[Professor]],CProf[Name],0)),"")</f>
        <v>F</v>
      </c>
      <c r="K20" t="s">
        <v>53</v>
      </c>
      <c r="L20" s="32">
        <v>0.2455158559453442</v>
      </c>
    </row>
    <row r="21" spans="1:12" x14ac:dyDescent="0.25">
      <c r="A21" s="4" t="s">
        <v>100</v>
      </c>
      <c r="B21" t="s">
        <v>200</v>
      </c>
      <c r="C21">
        <v>400</v>
      </c>
      <c r="D21" t="s">
        <v>3</v>
      </c>
      <c r="E21" s="32" t="s">
        <v>269</v>
      </c>
      <c r="F21" s="32">
        <f>COUNTIF(CProf[[Pref_1]:[Pref_6]],CCourse[[#This Row],[Course]])</f>
        <v>2</v>
      </c>
      <c r="G21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21" s="32">
        <f>COUNTIF(CCourse[Course],CCourse[[#This Row],[Course]])-COUNTIF(CProf[[Session_1]:[Session_4]],CCourse[[#This Row],[Course]]&amp;"*")</f>
        <v>0</v>
      </c>
      <c r="I21" s="32">
        <v>10</v>
      </c>
      <c r="J21" s="32" t="str">
        <f>IFERROR(INDEX(CProf[Full/Part-time],MATCH(CCourse[[#This Row],[Professor]],CProf[Name],0)),"")</f>
        <v>F</v>
      </c>
      <c r="K21" t="s">
        <v>53</v>
      </c>
      <c r="L21" s="32">
        <v>0.83305474893911624</v>
      </c>
    </row>
    <row r="22" spans="1:12" x14ac:dyDescent="0.25">
      <c r="A22" s="4" t="s">
        <v>101</v>
      </c>
      <c r="B22" t="s">
        <v>201</v>
      </c>
      <c r="C22">
        <v>100</v>
      </c>
      <c r="D22" t="s">
        <v>3</v>
      </c>
      <c r="E22" s="32" t="s">
        <v>270</v>
      </c>
      <c r="F22" s="32">
        <f>COUNTIF(CProf[[Pref_1]:[Pref_6]],CCourse[[#This Row],[Course]])</f>
        <v>3</v>
      </c>
      <c r="G22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22" s="32">
        <f>COUNTIF(CCourse[Course],CCourse[[#This Row],[Course]])-COUNTIF(CProf[[Session_1]:[Session_4]],CCourse[[#This Row],[Course]]&amp;"*")</f>
        <v>0</v>
      </c>
      <c r="I22" s="32">
        <v>10</v>
      </c>
      <c r="J22" s="32" t="str">
        <f>IFERROR(INDEX(CProf[Full/Part-time],MATCH(CCourse[[#This Row],[Professor]],CProf[Name],0)),"")</f>
        <v>F</v>
      </c>
      <c r="K22" t="s">
        <v>38</v>
      </c>
      <c r="L22" s="32">
        <v>0.5838753971285382</v>
      </c>
    </row>
    <row r="23" spans="1:12" x14ac:dyDescent="0.25">
      <c r="A23" s="4" t="s">
        <v>102</v>
      </c>
      <c r="B23" t="s">
        <v>201</v>
      </c>
      <c r="C23">
        <v>200</v>
      </c>
      <c r="D23" t="s">
        <v>3</v>
      </c>
      <c r="E23" s="32" t="s">
        <v>271</v>
      </c>
      <c r="F23" s="32">
        <f>COUNTIF(CProf[[Pref_1]:[Pref_6]],CCourse[[#This Row],[Course]])</f>
        <v>3</v>
      </c>
      <c r="G23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23" s="32">
        <f>COUNTIF(CCourse[Course],CCourse[[#This Row],[Course]])-COUNTIF(CProf[[Session_1]:[Session_4]],CCourse[[#This Row],[Course]]&amp;"*")</f>
        <v>0</v>
      </c>
      <c r="I23" s="32">
        <v>10</v>
      </c>
      <c r="J23" s="32" t="str">
        <f>IFERROR(INDEX(CProf[Full/Part-time],MATCH(CCourse[[#This Row],[Professor]],CProf[Name],0)),"")</f>
        <v>F</v>
      </c>
      <c r="K23" t="s">
        <v>38</v>
      </c>
      <c r="L23" s="32">
        <v>0.78329334056813904</v>
      </c>
    </row>
    <row r="24" spans="1:12" x14ac:dyDescent="0.25">
      <c r="A24" s="4" t="s">
        <v>103</v>
      </c>
      <c r="B24" t="s">
        <v>201</v>
      </c>
      <c r="C24">
        <v>300</v>
      </c>
      <c r="D24" t="s">
        <v>3</v>
      </c>
      <c r="E24" s="32" t="s">
        <v>272</v>
      </c>
      <c r="F24" s="32">
        <f>COUNTIF(CProf[[Pref_1]:[Pref_6]],CCourse[[#This Row],[Course]])</f>
        <v>3</v>
      </c>
      <c r="G24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24" s="32">
        <f>COUNTIF(CCourse[Course],CCourse[[#This Row],[Course]])-COUNTIF(CProf[[Session_1]:[Session_4]],CCourse[[#This Row],[Course]]&amp;"*")</f>
        <v>0</v>
      </c>
      <c r="I24" s="32">
        <v>10</v>
      </c>
      <c r="J24" s="32" t="str">
        <f>IFERROR(INDEX(CProf[Full/Part-time],MATCH(CCourse[[#This Row],[Professor]],CProf[Name],0)),"")</f>
        <v>F</v>
      </c>
      <c r="K24" t="s">
        <v>38</v>
      </c>
      <c r="L24" s="32">
        <v>0.89920296158636548</v>
      </c>
    </row>
    <row r="25" spans="1:12" x14ac:dyDescent="0.25">
      <c r="A25" s="4" t="s">
        <v>104</v>
      </c>
      <c r="B25" t="s">
        <v>201</v>
      </c>
      <c r="C25">
        <v>400</v>
      </c>
      <c r="D25" t="s">
        <v>3</v>
      </c>
      <c r="E25" s="32" t="s">
        <v>273</v>
      </c>
      <c r="F25" s="32">
        <f>COUNTIF(CProf[[Pref_1]:[Pref_6]],CCourse[[#This Row],[Course]])</f>
        <v>3</v>
      </c>
      <c r="G25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25" s="32">
        <f>COUNTIF(CCourse[Course],CCourse[[#This Row],[Course]])-COUNTIF(CProf[[Session_1]:[Session_4]],CCourse[[#This Row],[Course]]&amp;"*")</f>
        <v>0</v>
      </c>
      <c r="I25" s="32">
        <v>10</v>
      </c>
      <c r="J25" s="32" t="str">
        <f>IFERROR(INDEX(CProf[Full/Part-time],MATCH(CCourse[[#This Row],[Professor]],CProf[Name],0)),"")</f>
        <v>F</v>
      </c>
      <c r="K25" t="s">
        <v>38</v>
      </c>
      <c r="L25" s="32">
        <v>0.57683229255281054</v>
      </c>
    </row>
    <row r="26" spans="1:12" x14ac:dyDescent="0.25">
      <c r="A26" s="4" t="s">
        <v>105</v>
      </c>
      <c r="B26" t="s">
        <v>259</v>
      </c>
      <c r="C26">
        <v>100</v>
      </c>
      <c r="D26" t="s">
        <v>3</v>
      </c>
      <c r="E26" s="32" t="s">
        <v>274</v>
      </c>
      <c r="F26" s="32">
        <f>COUNTIF(CProf[[Pref_1]:[Pref_6]],CCourse[[#This Row],[Course]])</f>
        <v>3</v>
      </c>
      <c r="G26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6" s="32">
        <f>COUNTIF(CCourse[Course],CCourse[[#This Row],[Course]])-COUNTIF(CProf[[Session_1]:[Session_4]],CCourse[[#This Row],[Course]]&amp;"*")</f>
        <v>0</v>
      </c>
      <c r="I26" s="32">
        <v>10</v>
      </c>
      <c r="J26" s="32" t="str">
        <f>IFERROR(INDEX(CProf[Full/Part-time],MATCH(CCourse[[#This Row],[Professor]],CProf[Name],0)),"")</f>
        <v>P</v>
      </c>
      <c r="K26" t="s">
        <v>68</v>
      </c>
      <c r="L26" s="32">
        <v>0.36614777136998866</v>
      </c>
    </row>
    <row r="27" spans="1:12" x14ac:dyDescent="0.25">
      <c r="A27" s="4" t="s">
        <v>106</v>
      </c>
      <c r="B27" t="s">
        <v>259</v>
      </c>
      <c r="C27">
        <v>200</v>
      </c>
      <c r="D27" t="s">
        <v>3</v>
      </c>
      <c r="E27" s="32" t="s">
        <v>275</v>
      </c>
      <c r="F27" s="32">
        <f>COUNTIF(CProf[[Pref_1]:[Pref_6]],CCourse[[#This Row],[Course]])</f>
        <v>3</v>
      </c>
      <c r="G27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7" s="32">
        <f>COUNTIF(CCourse[Course],CCourse[[#This Row],[Course]])-COUNTIF(CProf[[Session_1]:[Session_4]],CCourse[[#This Row],[Course]]&amp;"*")</f>
        <v>0</v>
      </c>
      <c r="I27" s="32">
        <v>10</v>
      </c>
      <c r="J27" s="32" t="str">
        <f>IFERROR(INDEX(CProf[Full/Part-time],MATCH(CCourse[[#This Row],[Professor]],CProf[Name],0)),"")</f>
        <v>P</v>
      </c>
      <c r="K27" t="s">
        <v>68</v>
      </c>
      <c r="L27" s="32">
        <v>0.98590353903997863</v>
      </c>
    </row>
    <row r="28" spans="1:12" x14ac:dyDescent="0.25">
      <c r="A28" s="4" t="s">
        <v>107</v>
      </c>
      <c r="B28" t="s">
        <v>259</v>
      </c>
      <c r="C28">
        <v>300</v>
      </c>
      <c r="D28" t="s">
        <v>3</v>
      </c>
      <c r="E28" s="32" t="s">
        <v>276</v>
      </c>
      <c r="F28" s="32">
        <f>COUNTIF(CProf[[Pref_1]:[Pref_6]],CCourse[[#This Row],[Course]])</f>
        <v>3</v>
      </c>
      <c r="G28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8" s="32">
        <f>COUNTIF(CCourse[Course],CCourse[[#This Row],[Course]])-COUNTIF(CProf[[Session_1]:[Session_4]],CCourse[[#This Row],[Course]]&amp;"*")</f>
        <v>0</v>
      </c>
      <c r="I28" s="32">
        <v>10</v>
      </c>
      <c r="J28" s="32" t="str">
        <f>IFERROR(INDEX(CProf[Full/Part-time],MATCH(CCourse[[#This Row],[Professor]],CProf[Name],0)),"")</f>
        <v>P</v>
      </c>
      <c r="K28" t="s">
        <v>68</v>
      </c>
      <c r="L28" s="32">
        <v>0.48369542761331208</v>
      </c>
    </row>
    <row r="29" spans="1:12" x14ac:dyDescent="0.25">
      <c r="A29" s="4" t="s">
        <v>108</v>
      </c>
      <c r="B29" t="s">
        <v>259</v>
      </c>
      <c r="C29">
        <v>400</v>
      </c>
      <c r="D29" t="s">
        <v>3</v>
      </c>
      <c r="E29" s="32" t="s">
        <v>277</v>
      </c>
      <c r="F29" s="32">
        <f>COUNTIF(CProf[[Pref_1]:[Pref_6]],CCourse[[#This Row],[Course]])</f>
        <v>3</v>
      </c>
      <c r="G29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9" s="32">
        <f>COUNTIF(CCourse[Course],CCourse[[#This Row],[Course]])-COUNTIF(CProf[[Session_1]:[Session_4]],CCourse[[#This Row],[Course]]&amp;"*")</f>
        <v>0</v>
      </c>
      <c r="I29" s="32">
        <v>10</v>
      </c>
      <c r="J29" s="32" t="str">
        <f>IFERROR(INDEX(CProf[Full/Part-time],MATCH(CCourse[[#This Row],[Professor]],CProf[Name],0)),"")</f>
        <v>P</v>
      </c>
      <c r="K29" t="s">
        <v>68</v>
      </c>
      <c r="L29" s="32">
        <v>0.84639248535596923</v>
      </c>
    </row>
    <row r="30" spans="1:12" x14ac:dyDescent="0.25">
      <c r="A30" s="4" t="s">
        <v>109</v>
      </c>
      <c r="B30" t="s">
        <v>260</v>
      </c>
      <c r="C30">
        <v>100</v>
      </c>
      <c r="D30" t="s">
        <v>3</v>
      </c>
      <c r="E30" s="32" t="s">
        <v>278</v>
      </c>
      <c r="F30" s="32">
        <f>COUNTIF(CProf[[Pref_1]:[Pref_6]],CCourse[[#This Row],[Course]])</f>
        <v>3</v>
      </c>
      <c r="G30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30" s="32">
        <f>COUNTIF(CCourse[Course],CCourse[[#This Row],[Course]])-COUNTIF(CProf[[Session_1]:[Session_4]],CCourse[[#This Row],[Course]]&amp;"*")</f>
        <v>0</v>
      </c>
      <c r="I30" s="32">
        <v>10</v>
      </c>
      <c r="J30" s="32" t="str">
        <f>IFERROR(INDEX(CProf[Full/Part-time],MATCH(CCourse[[#This Row],[Professor]],CProf[Name],0)),"")</f>
        <v>P</v>
      </c>
      <c r="K30" t="s">
        <v>65</v>
      </c>
      <c r="L30" s="32">
        <v>1.7142935884368327E-2</v>
      </c>
    </row>
    <row r="31" spans="1:12" x14ac:dyDescent="0.25">
      <c r="A31" s="4" t="s">
        <v>110</v>
      </c>
      <c r="B31" t="s">
        <v>260</v>
      </c>
      <c r="C31">
        <v>200</v>
      </c>
      <c r="D31" t="s">
        <v>3</v>
      </c>
      <c r="E31" s="32" t="s">
        <v>279</v>
      </c>
      <c r="F31" s="32">
        <f>COUNTIF(CProf[[Pref_1]:[Pref_6]],CCourse[[#This Row],[Course]])</f>
        <v>3</v>
      </c>
      <c r="G31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31" s="32">
        <f>COUNTIF(CCourse[Course],CCourse[[#This Row],[Course]])-COUNTIF(CProf[[Session_1]:[Session_4]],CCourse[[#This Row],[Course]]&amp;"*")</f>
        <v>0</v>
      </c>
      <c r="I31" s="32">
        <v>10</v>
      </c>
      <c r="J31" s="32" t="str">
        <f>IFERROR(INDEX(CProf[Full/Part-time],MATCH(CCourse[[#This Row],[Professor]],CProf[Name],0)),"")</f>
        <v>P</v>
      </c>
      <c r="K31" t="s">
        <v>65</v>
      </c>
      <c r="L31" s="32">
        <v>0.41178978248012554</v>
      </c>
    </row>
    <row r="32" spans="1:12" x14ac:dyDescent="0.25">
      <c r="A32" s="4" t="s">
        <v>111</v>
      </c>
      <c r="B32" t="s">
        <v>260</v>
      </c>
      <c r="C32">
        <v>300</v>
      </c>
      <c r="D32" t="s">
        <v>3</v>
      </c>
      <c r="E32" s="32" t="s">
        <v>280</v>
      </c>
      <c r="F32" s="32">
        <f>COUNTIF(CProf[[Pref_1]:[Pref_6]],CCourse[[#This Row],[Course]])</f>
        <v>3</v>
      </c>
      <c r="G32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32" s="32">
        <f>COUNTIF(CCourse[Course],CCourse[[#This Row],[Course]])-COUNTIF(CProf[[Session_1]:[Session_4]],CCourse[[#This Row],[Course]]&amp;"*")</f>
        <v>0</v>
      </c>
      <c r="I32" s="32">
        <v>10</v>
      </c>
      <c r="J32" s="32" t="str">
        <f>IFERROR(INDEX(CProf[Full/Part-time],MATCH(CCourse[[#This Row],[Professor]],CProf[Name],0)),"")</f>
        <v>P</v>
      </c>
      <c r="K32" t="s">
        <v>65</v>
      </c>
      <c r="L32" s="32">
        <v>0.46186444708434404</v>
      </c>
    </row>
    <row r="33" spans="1:12" x14ac:dyDescent="0.25">
      <c r="A33" s="4" t="s">
        <v>112</v>
      </c>
      <c r="B33" t="s">
        <v>260</v>
      </c>
      <c r="C33">
        <v>400</v>
      </c>
      <c r="D33" t="s">
        <v>3</v>
      </c>
      <c r="E33" s="32" t="s">
        <v>281</v>
      </c>
      <c r="F33" s="32">
        <f>COUNTIF(CProf[[Pref_1]:[Pref_6]],CCourse[[#This Row],[Course]])</f>
        <v>3</v>
      </c>
      <c r="G33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33" s="32">
        <f>COUNTIF(CCourse[Course],CCourse[[#This Row],[Course]])-COUNTIF(CProf[[Session_1]:[Session_4]],CCourse[[#This Row],[Course]]&amp;"*")</f>
        <v>0</v>
      </c>
      <c r="I33" s="32">
        <v>10</v>
      </c>
      <c r="J33" s="32" t="str">
        <f>IFERROR(INDEX(CProf[Full/Part-time],MATCH(CCourse[[#This Row],[Professor]],CProf[Name],0)),"")</f>
        <v>P</v>
      </c>
      <c r="K33" t="s">
        <v>65</v>
      </c>
      <c r="L33" s="32">
        <v>0.96909961434887215</v>
      </c>
    </row>
    <row r="34" spans="1:12" x14ac:dyDescent="0.25">
      <c r="A34" s="4" t="s">
        <v>113</v>
      </c>
      <c r="B34" t="s">
        <v>93</v>
      </c>
      <c r="C34">
        <v>100</v>
      </c>
      <c r="D34" t="s">
        <v>3</v>
      </c>
      <c r="E34" s="32" t="s">
        <v>289</v>
      </c>
      <c r="F34" s="32">
        <f>COUNTIF(CProf[[Pref_1]:[Pref_6]],CCourse[[#This Row],[Course]])</f>
        <v>2</v>
      </c>
      <c r="G34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4" s="32">
        <f>COUNTIF(CCourse[Course],CCourse[[#This Row],[Course]])-COUNTIF(CProf[[Session_1]:[Session_4]],CCourse[[#This Row],[Course]]&amp;"*")</f>
        <v>0</v>
      </c>
      <c r="I34" s="32">
        <v>10</v>
      </c>
      <c r="J34" s="32" t="str">
        <f>IFERROR(INDEX(CProf[Full/Part-time],MATCH(CCourse[[#This Row],[Professor]],CProf[Name],0)),"")</f>
        <v>F</v>
      </c>
      <c r="K34" t="s">
        <v>91</v>
      </c>
      <c r="L34" s="32">
        <v>0.7228499158759083</v>
      </c>
    </row>
    <row r="35" spans="1:12" x14ac:dyDescent="0.25">
      <c r="A35" s="4" t="s">
        <v>114</v>
      </c>
      <c r="B35" t="s">
        <v>93</v>
      </c>
      <c r="C35">
        <v>200</v>
      </c>
      <c r="D35" t="s">
        <v>3</v>
      </c>
      <c r="E35" s="32" t="s">
        <v>357</v>
      </c>
      <c r="F35" s="32">
        <f>COUNTIF(CProf[[Pref_1]:[Pref_6]],CCourse[[#This Row],[Course]])</f>
        <v>2</v>
      </c>
      <c r="G35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5" s="32">
        <f>COUNTIF(CCourse[Course],CCourse[[#This Row],[Course]])-COUNTIF(CProf[[Session_1]:[Session_4]],CCourse[[#This Row],[Course]]&amp;"*")</f>
        <v>0</v>
      </c>
      <c r="I35" s="32">
        <v>10</v>
      </c>
      <c r="J35" s="32" t="str">
        <f>IFERROR(INDEX(CProf[Full/Part-time],MATCH(CCourse[[#This Row],[Professor]],CProf[Name],0)),"")</f>
        <v>F</v>
      </c>
      <c r="K35" t="s">
        <v>91</v>
      </c>
      <c r="L35" s="32">
        <v>0.12283167102381898</v>
      </c>
    </row>
    <row r="36" spans="1:12" x14ac:dyDescent="0.25">
      <c r="A36" s="4" t="s">
        <v>115</v>
      </c>
      <c r="B36" t="s">
        <v>93</v>
      </c>
      <c r="C36">
        <v>300</v>
      </c>
      <c r="D36" t="s">
        <v>3</v>
      </c>
      <c r="E36" s="32" t="s">
        <v>366</v>
      </c>
      <c r="F36" s="32">
        <f>COUNTIF(CProf[[Pref_1]:[Pref_6]],CCourse[[#This Row],[Course]])</f>
        <v>2</v>
      </c>
      <c r="G36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6" s="32">
        <f>COUNTIF(CCourse[Course],CCourse[[#This Row],[Course]])-COUNTIF(CProf[[Session_1]:[Session_4]],CCourse[[#This Row],[Course]]&amp;"*")</f>
        <v>0</v>
      </c>
      <c r="I36" s="32">
        <v>10</v>
      </c>
      <c r="J36" s="32" t="str">
        <f>IFERROR(INDEX(CProf[Full/Part-time],MATCH(CCourse[[#This Row],[Professor]],CProf[Name],0)),"")</f>
        <v>F</v>
      </c>
      <c r="K36" t="s">
        <v>91</v>
      </c>
      <c r="L36" s="32">
        <v>0.66031268924036746</v>
      </c>
    </row>
    <row r="37" spans="1:12" x14ac:dyDescent="0.25">
      <c r="A37" s="4" t="s">
        <v>116</v>
      </c>
      <c r="B37" t="s">
        <v>94</v>
      </c>
      <c r="C37">
        <v>100</v>
      </c>
      <c r="D37" t="s">
        <v>3</v>
      </c>
      <c r="E37" s="32" t="s">
        <v>290</v>
      </c>
      <c r="F37" s="32">
        <f>COUNTIF(CProf[[Pref_1]:[Pref_6]],CCourse[[#This Row],[Course]])</f>
        <v>2</v>
      </c>
      <c r="G37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7" s="32">
        <f>COUNTIF(CCourse[Course],CCourse[[#This Row],[Course]])-COUNTIF(CProf[[Session_1]:[Session_4]],CCourse[[#This Row],[Course]]&amp;"*")</f>
        <v>0</v>
      </c>
      <c r="I37" s="32">
        <v>10</v>
      </c>
      <c r="J37" s="32" t="str">
        <f>IFERROR(INDEX(CProf[Full/Part-time],MATCH(CCourse[[#This Row],[Professor]],CProf[Name],0)),"")</f>
        <v>F</v>
      </c>
      <c r="K37" t="s">
        <v>85</v>
      </c>
      <c r="L37" s="32">
        <v>0.16718032507131031</v>
      </c>
    </row>
    <row r="38" spans="1:12" x14ac:dyDescent="0.25">
      <c r="A38" s="4" t="s">
        <v>117</v>
      </c>
      <c r="B38" t="s">
        <v>94</v>
      </c>
      <c r="C38">
        <v>200</v>
      </c>
      <c r="D38" t="s">
        <v>3</v>
      </c>
      <c r="E38" s="32" t="s">
        <v>358</v>
      </c>
      <c r="F38" s="32">
        <f>COUNTIF(CProf[[Pref_1]:[Pref_6]],CCourse[[#This Row],[Course]])</f>
        <v>2</v>
      </c>
      <c r="G38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8" s="32">
        <f>COUNTIF(CCourse[Course],CCourse[[#This Row],[Course]])-COUNTIF(CProf[[Session_1]:[Session_4]],CCourse[[#This Row],[Course]]&amp;"*")</f>
        <v>0</v>
      </c>
      <c r="I38" s="32">
        <v>10</v>
      </c>
      <c r="J38" s="32" t="str">
        <f>IFERROR(INDEX(CProf[Full/Part-time],MATCH(CCourse[[#This Row],[Professor]],CProf[Name],0)),"")</f>
        <v>F</v>
      </c>
      <c r="K38" t="s">
        <v>85</v>
      </c>
      <c r="L38" s="32">
        <v>0.97342761907777098</v>
      </c>
    </row>
    <row r="39" spans="1:12" x14ac:dyDescent="0.25">
      <c r="A39" s="4" t="s">
        <v>118</v>
      </c>
      <c r="B39" t="s">
        <v>94</v>
      </c>
      <c r="C39">
        <v>300</v>
      </c>
      <c r="D39" t="s">
        <v>3</v>
      </c>
      <c r="E39" s="32" t="s">
        <v>367</v>
      </c>
      <c r="F39" s="32">
        <f>COUNTIF(CProf[[Pref_1]:[Pref_6]],CCourse[[#This Row],[Course]])</f>
        <v>2</v>
      </c>
      <c r="G39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9" s="32">
        <f>COUNTIF(CCourse[Course],CCourse[[#This Row],[Course]])-COUNTIF(CProf[[Session_1]:[Session_4]],CCourse[[#This Row],[Course]]&amp;"*")</f>
        <v>0</v>
      </c>
      <c r="I39" s="32">
        <v>10</v>
      </c>
      <c r="J39" s="32" t="str">
        <f>IFERROR(INDEX(CProf[Full/Part-time],MATCH(CCourse[[#This Row],[Professor]],CProf[Name],0)),"")</f>
        <v>F</v>
      </c>
      <c r="K39" t="s">
        <v>85</v>
      </c>
      <c r="L39" s="32">
        <v>0.61220579324662405</v>
      </c>
    </row>
    <row r="40" spans="1:12" x14ac:dyDescent="0.25">
      <c r="A40" s="4" t="s">
        <v>119</v>
      </c>
      <c r="B40" t="s">
        <v>95</v>
      </c>
      <c r="C40">
        <v>100</v>
      </c>
      <c r="D40" t="s">
        <v>3</v>
      </c>
      <c r="E40" s="32" t="s">
        <v>291</v>
      </c>
      <c r="F40" s="32">
        <f>COUNTIF(CProf[[Pref_1]:[Pref_6]],CCourse[[#This Row],[Course]])</f>
        <v>7</v>
      </c>
      <c r="G40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7</v>
      </c>
      <c r="H40" s="32">
        <f>COUNTIF(CCourse[Course],CCourse[[#This Row],[Course]])-COUNTIF(CProf[[Session_1]:[Session_4]],CCourse[[#This Row],[Course]]&amp;"*")</f>
        <v>-3</v>
      </c>
      <c r="I40" s="32">
        <v>10</v>
      </c>
      <c r="J40" s="32" t="str">
        <f>IFERROR(INDEX(CProf[Full/Part-time],MATCH(CCourse[[#This Row],[Professor]],CProf[Name],0)),"")</f>
        <v>F</v>
      </c>
      <c r="K40" t="s">
        <v>72</v>
      </c>
      <c r="L40" s="32">
        <v>0.21399012370867632</v>
      </c>
    </row>
    <row r="41" spans="1:12" x14ac:dyDescent="0.25">
      <c r="A41" s="4" t="s">
        <v>120</v>
      </c>
      <c r="B41" t="s">
        <v>95</v>
      </c>
      <c r="C41">
        <v>200</v>
      </c>
      <c r="D41" t="s">
        <v>3</v>
      </c>
      <c r="E41" s="32" t="s">
        <v>359</v>
      </c>
      <c r="F41" s="32">
        <f>COUNTIF(CProf[[Pref_1]:[Pref_6]],CCourse[[#This Row],[Course]])</f>
        <v>7</v>
      </c>
      <c r="G41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7</v>
      </c>
      <c r="H41" s="32">
        <f>COUNTIF(CCourse[Course],CCourse[[#This Row],[Course]])-COUNTIF(CProf[[Session_1]:[Session_4]],CCourse[[#This Row],[Course]]&amp;"*")</f>
        <v>-3</v>
      </c>
      <c r="I41" s="32">
        <v>10</v>
      </c>
      <c r="J41" s="32" t="str">
        <f>IFERROR(INDEX(CProf[Full/Part-time],MATCH(CCourse[[#This Row],[Professor]],CProf[Name],0)),"")</f>
        <v>F</v>
      </c>
      <c r="K41" t="s">
        <v>56</v>
      </c>
      <c r="L41" s="32">
        <v>0.15946049263850004</v>
      </c>
    </row>
    <row r="42" spans="1:12" x14ac:dyDescent="0.25">
      <c r="A42" s="4" t="s">
        <v>121</v>
      </c>
      <c r="B42" t="s">
        <v>95</v>
      </c>
      <c r="C42">
        <v>300</v>
      </c>
      <c r="D42" t="s">
        <v>3</v>
      </c>
      <c r="E42" s="32" t="s">
        <v>368</v>
      </c>
      <c r="F42" s="32">
        <f>COUNTIF(CProf[[Pref_1]:[Pref_6]],CCourse[[#This Row],[Course]])</f>
        <v>7</v>
      </c>
      <c r="G42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7</v>
      </c>
      <c r="H42" s="32">
        <f>COUNTIF(CCourse[Course],CCourse[[#This Row],[Course]])-COUNTIF(CProf[[Session_1]:[Session_4]],CCourse[[#This Row],[Course]]&amp;"*")</f>
        <v>-3</v>
      </c>
      <c r="I42" s="32">
        <v>10</v>
      </c>
      <c r="J42" s="32" t="str">
        <f>IFERROR(INDEX(CProf[Full/Part-time],MATCH(CCourse[[#This Row],[Professor]],CProf[Name],0)),"")</f>
        <v>F</v>
      </c>
      <c r="K42" t="s">
        <v>72</v>
      </c>
      <c r="L42" s="32">
        <v>0.90603654569838554</v>
      </c>
    </row>
    <row r="43" spans="1:12" x14ac:dyDescent="0.25">
      <c r="A43" s="4" t="s">
        <v>122</v>
      </c>
      <c r="B43" t="s">
        <v>96</v>
      </c>
      <c r="C43">
        <v>100</v>
      </c>
      <c r="D43" t="s">
        <v>3</v>
      </c>
      <c r="E43" s="32" t="s">
        <v>292</v>
      </c>
      <c r="F43" s="32">
        <f>COUNTIF(CProf[[Pref_1]:[Pref_6]],CCourse[[#This Row],[Course]])</f>
        <v>3</v>
      </c>
      <c r="G43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43" s="32">
        <f>COUNTIF(CCourse[Course],CCourse[[#This Row],[Course]])-COUNTIF(CProf[[Session_1]:[Session_4]],CCourse[[#This Row],[Course]]&amp;"*")</f>
        <v>0</v>
      </c>
      <c r="I43" s="32">
        <v>10</v>
      </c>
      <c r="J43" s="32" t="str">
        <f>IFERROR(INDEX(CProf[Full/Part-time],MATCH(CCourse[[#This Row],[Professor]],CProf[Name],0)),"")</f>
        <v>F</v>
      </c>
      <c r="K43" t="s">
        <v>55</v>
      </c>
      <c r="L43" s="32">
        <v>0.21393918217990215</v>
      </c>
    </row>
    <row r="44" spans="1:12" x14ac:dyDescent="0.25">
      <c r="A44" s="4" t="s">
        <v>123</v>
      </c>
      <c r="B44" t="s">
        <v>97</v>
      </c>
      <c r="C44">
        <v>100</v>
      </c>
      <c r="D44" t="s">
        <v>3</v>
      </c>
      <c r="E44" s="32" t="s">
        <v>293</v>
      </c>
      <c r="F44" s="32">
        <f>COUNTIF(CProf[[Pref_1]:[Pref_6]],CCourse[[#This Row],[Course]])</f>
        <v>3</v>
      </c>
      <c r="G44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44" s="32">
        <f>COUNTIF(CCourse[Course],CCourse[[#This Row],[Course]])-COUNTIF(CProf[[Session_1]:[Session_4]],CCourse[[#This Row],[Course]]&amp;"*")</f>
        <v>0</v>
      </c>
      <c r="I44" s="32">
        <v>10</v>
      </c>
      <c r="J44" s="32" t="str">
        <f>IFERROR(INDEX(CProf[Full/Part-time],MATCH(CCourse[[#This Row],[Professor]],CProf[Name],0)),"")</f>
        <v>F</v>
      </c>
      <c r="K44" t="s">
        <v>60</v>
      </c>
      <c r="L44" s="32">
        <v>0.96392907966927854</v>
      </c>
    </row>
    <row r="45" spans="1:12" x14ac:dyDescent="0.25">
      <c r="A45" s="4" t="s">
        <v>124</v>
      </c>
      <c r="B45" t="s">
        <v>98</v>
      </c>
      <c r="C45">
        <v>100</v>
      </c>
      <c r="D45" t="s">
        <v>3</v>
      </c>
      <c r="E45" s="32" t="s">
        <v>294</v>
      </c>
      <c r="F45" s="32">
        <f>COUNTIF(CProf[[Pref_1]:[Pref_6]],CCourse[[#This Row],[Course]])</f>
        <v>2</v>
      </c>
      <c r="G45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45" s="32">
        <f>COUNTIF(CCourse[Course],CCourse[[#This Row],[Course]])-COUNTIF(CProf[[Session_1]:[Session_4]],CCourse[[#This Row],[Course]]&amp;"*")</f>
        <v>0</v>
      </c>
      <c r="I45" s="32">
        <v>10</v>
      </c>
      <c r="J45" s="32" t="str">
        <f>IFERROR(INDEX(CProf[Full/Part-time],MATCH(CCourse[[#This Row],[Professor]],CProf[Name],0)),"")</f>
        <v>F</v>
      </c>
      <c r="K45" t="s">
        <v>82</v>
      </c>
      <c r="L45" s="32">
        <v>0.37593301900060327</v>
      </c>
    </row>
    <row r="46" spans="1:12" x14ac:dyDescent="0.25">
      <c r="A46" s="4" t="s">
        <v>125</v>
      </c>
      <c r="B46" t="s">
        <v>99</v>
      </c>
      <c r="C46">
        <v>100</v>
      </c>
      <c r="D46" t="s">
        <v>3</v>
      </c>
      <c r="E46" s="32" t="s">
        <v>295</v>
      </c>
      <c r="F46" s="32">
        <f>COUNTIF(CProf[[Pref_1]:[Pref_6]],CCourse[[#This Row],[Course]])</f>
        <v>4</v>
      </c>
      <c r="G46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46" s="32">
        <f>COUNTIF(CCourse[Course],CCourse[[#This Row],[Course]])-COUNTIF(CProf[[Session_1]:[Session_4]],CCourse[[#This Row],[Course]]&amp;"*")</f>
        <v>0</v>
      </c>
      <c r="I46" s="32">
        <v>10</v>
      </c>
      <c r="J46" s="32" t="str">
        <f>IFERROR(INDEX(CProf[Full/Part-time],MATCH(CCourse[[#This Row],[Professor]],CProf[Name],0)),"")</f>
        <v>P</v>
      </c>
      <c r="K46" t="s">
        <v>35</v>
      </c>
      <c r="L46" s="32">
        <v>0.88880130541809432</v>
      </c>
    </row>
    <row r="47" spans="1:12" x14ac:dyDescent="0.25">
      <c r="A47" s="4" t="s">
        <v>126</v>
      </c>
      <c r="B47" t="s">
        <v>100</v>
      </c>
      <c r="C47">
        <v>100</v>
      </c>
      <c r="D47" t="s">
        <v>3</v>
      </c>
      <c r="E47" s="32" t="s">
        <v>296</v>
      </c>
      <c r="F47" s="32">
        <f>COUNTIF(CProf[[Pref_1]:[Pref_6]],CCourse[[#This Row],[Course]])</f>
        <v>1</v>
      </c>
      <c r="G47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47" s="32">
        <f>COUNTIF(CCourse[Course],CCourse[[#This Row],[Course]])-COUNTIF(CProf[[Session_1]:[Session_4]],CCourse[[#This Row],[Course]]&amp;"*")</f>
        <v>0</v>
      </c>
      <c r="I47" s="32">
        <v>10</v>
      </c>
      <c r="J47" s="32" t="str">
        <f>IFERROR(INDEX(CProf[Full/Part-time],MATCH(CCourse[[#This Row],[Professor]],CProf[Name],0)),"")</f>
        <v>F</v>
      </c>
      <c r="K47" t="s">
        <v>77</v>
      </c>
      <c r="L47" s="32">
        <v>0.22161836393187406</v>
      </c>
    </row>
    <row r="48" spans="1:12" x14ac:dyDescent="0.25">
      <c r="A48" s="4" t="s">
        <v>127</v>
      </c>
      <c r="B48" t="s">
        <v>101</v>
      </c>
      <c r="C48">
        <v>100</v>
      </c>
      <c r="D48" t="s">
        <v>3</v>
      </c>
      <c r="E48" s="32" t="s">
        <v>297</v>
      </c>
      <c r="F48" s="32">
        <f>COUNTIF(CProf[[Pref_1]:[Pref_6]],CCourse[[#This Row],[Course]])</f>
        <v>3</v>
      </c>
      <c r="G48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48" s="32">
        <f>COUNTIF(CCourse[Course],CCourse[[#This Row],[Course]])-COUNTIF(CProf[[Session_1]:[Session_4]],CCourse[[#This Row],[Course]]&amp;"*")</f>
        <v>0</v>
      </c>
      <c r="I48" s="32">
        <v>10</v>
      </c>
      <c r="J48" s="32" t="str">
        <f>IFERROR(INDEX(CProf[Full/Part-time],MATCH(CCourse[[#This Row],[Professor]],CProf[Name],0)),"")</f>
        <v>F</v>
      </c>
      <c r="K48" t="s">
        <v>56</v>
      </c>
      <c r="L48" s="32">
        <v>0.79436606499154516</v>
      </c>
    </row>
    <row r="49" spans="1:12" x14ac:dyDescent="0.25">
      <c r="A49" s="4" t="s">
        <v>128</v>
      </c>
      <c r="B49" t="s">
        <v>102</v>
      </c>
      <c r="C49">
        <v>100</v>
      </c>
      <c r="D49" t="s">
        <v>3</v>
      </c>
      <c r="E49" s="32" t="s">
        <v>298</v>
      </c>
      <c r="F49" s="32">
        <f>COUNTIF(CProf[[Pref_1]:[Pref_6]],CCourse[[#This Row],[Course]])</f>
        <v>5</v>
      </c>
      <c r="G49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6</v>
      </c>
      <c r="H49" s="32">
        <f>COUNTIF(CCourse[Course],CCourse[[#This Row],[Course]])-COUNTIF(CProf[[Session_1]:[Session_4]],CCourse[[#This Row],[Course]]&amp;"*")</f>
        <v>0</v>
      </c>
      <c r="I49" s="32">
        <v>10</v>
      </c>
      <c r="J49" s="32" t="str">
        <f>IFERROR(INDEX(CProf[Full/Part-time],MATCH(CCourse[[#This Row],[Professor]],CProf[Name],0)),"")</f>
        <v>F</v>
      </c>
      <c r="K49" t="s">
        <v>75</v>
      </c>
      <c r="L49" s="32">
        <v>0.16487923067574728</v>
      </c>
    </row>
    <row r="50" spans="1:12" x14ac:dyDescent="0.25">
      <c r="A50" s="4" t="s">
        <v>129</v>
      </c>
      <c r="B50" t="s">
        <v>103</v>
      </c>
      <c r="C50">
        <v>100</v>
      </c>
      <c r="D50" t="s">
        <v>3</v>
      </c>
      <c r="E50" s="32" t="s">
        <v>299</v>
      </c>
      <c r="F50" s="32">
        <f>COUNTIF(CProf[[Pref_1]:[Pref_6]],CCourse[[#This Row],[Course]])</f>
        <v>3</v>
      </c>
      <c r="G50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50" s="32">
        <f>COUNTIF(CCourse[Course],CCourse[[#This Row],[Course]])-COUNTIF(CProf[[Session_1]:[Session_4]],CCourse[[#This Row],[Course]]&amp;"*")</f>
        <v>0</v>
      </c>
      <c r="I50" s="32">
        <v>10</v>
      </c>
      <c r="J50" s="32" t="str">
        <f>IFERROR(INDEX(CProf[Full/Part-time],MATCH(CCourse[[#This Row],[Professor]],CProf[Name],0)),"")</f>
        <v>F</v>
      </c>
      <c r="K50" t="s">
        <v>75</v>
      </c>
      <c r="L50" s="32">
        <v>0.22562348803953824</v>
      </c>
    </row>
    <row r="51" spans="1:12" x14ac:dyDescent="0.25">
      <c r="A51" s="4" t="s">
        <v>130</v>
      </c>
      <c r="B51" t="s">
        <v>104</v>
      </c>
      <c r="C51">
        <v>100</v>
      </c>
      <c r="D51" t="s">
        <v>3</v>
      </c>
      <c r="E51" s="32" t="s">
        <v>300</v>
      </c>
      <c r="F51" s="32">
        <f>COUNTIF(CProf[[Pref_1]:[Pref_6]],CCourse[[#This Row],[Course]])</f>
        <v>1</v>
      </c>
      <c r="G51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51" s="32">
        <f>COUNTIF(CCourse[Course],CCourse[[#This Row],[Course]])-COUNTIF(CProf[[Session_1]:[Session_4]],CCourse[[#This Row],[Course]]&amp;"*")</f>
        <v>0</v>
      </c>
      <c r="I51" s="32">
        <v>10</v>
      </c>
      <c r="J51" s="32" t="str">
        <f>IFERROR(INDEX(CProf[Full/Part-time],MATCH(CCourse[[#This Row],[Professor]],CProf[Name],0)),"")</f>
        <v>F</v>
      </c>
      <c r="K51" t="s">
        <v>30</v>
      </c>
      <c r="L51" s="32">
        <v>0.15728600413591287</v>
      </c>
    </row>
    <row r="52" spans="1:12" x14ac:dyDescent="0.25">
      <c r="A52" s="4" t="s">
        <v>131</v>
      </c>
      <c r="B52" t="s">
        <v>105</v>
      </c>
      <c r="C52">
        <v>100</v>
      </c>
      <c r="D52" t="s">
        <v>3</v>
      </c>
      <c r="E52" s="32" t="s">
        <v>301</v>
      </c>
      <c r="F52" s="32">
        <f>COUNTIF(CProf[[Pref_1]:[Pref_6]],CCourse[[#This Row],[Course]])</f>
        <v>4</v>
      </c>
      <c r="G52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52" s="32">
        <f>COUNTIF(CCourse[Course],CCourse[[#This Row],[Course]])-COUNTIF(CProf[[Session_1]:[Session_4]],CCourse[[#This Row],[Course]]&amp;"*")</f>
        <v>0</v>
      </c>
      <c r="I52" s="32">
        <v>10</v>
      </c>
      <c r="J52" s="32" t="str">
        <f>IFERROR(INDEX(CProf[Full/Part-time],MATCH(CCourse[[#This Row],[Professor]],CProf[Name],0)),"")</f>
        <v>F</v>
      </c>
      <c r="K52" t="s">
        <v>80</v>
      </c>
      <c r="L52" s="32">
        <v>0.68434234166658081</v>
      </c>
    </row>
    <row r="53" spans="1:12" x14ac:dyDescent="0.25">
      <c r="A53" s="4" t="s">
        <v>132</v>
      </c>
      <c r="B53" t="s">
        <v>106</v>
      </c>
      <c r="C53">
        <v>100</v>
      </c>
      <c r="D53" t="s">
        <v>3</v>
      </c>
      <c r="E53" s="32" t="s">
        <v>302</v>
      </c>
      <c r="F53" s="32">
        <f>COUNTIF(CProf[[Pref_1]:[Pref_6]],CCourse[[#This Row],[Course]])</f>
        <v>2</v>
      </c>
      <c r="G53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5</v>
      </c>
      <c r="H53" s="32">
        <f>COUNTIF(CCourse[Course],CCourse[[#This Row],[Course]])-COUNTIF(CProf[[Session_1]:[Session_4]],CCourse[[#This Row],[Course]]&amp;"*")</f>
        <v>0</v>
      </c>
      <c r="I53" s="32">
        <v>10</v>
      </c>
      <c r="J53" s="32" t="str">
        <f>IFERROR(INDEX(CProf[Full/Part-time],MATCH(CCourse[[#This Row],[Professor]],CProf[Name],0)),"")</f>
        <v>F</v>
      </c>
      <c r="K53" t="s">
        <v>88</v>
      </c>
      <c r="L53" s="32">
        <v>6.6617743508113225E-2</v>
      </c>
    </row>
    <row r="54" spans="1:12" x14ac:dyDescent="0.25">
      <c r="A54" s="4" t="s">
        <v>133</v>
      </c>
      <c r="B54" t="s">
        <v>107</v>
      </c>
      <c r="C54">
        <v>100</v>
      </c>
      <c r="D54" t="s">
        <v>3</v>
      </c>
      <c r="E54" s="32" t="s">
        <v>303</v>
      </c>
      <c r="F54" s="32">
        <f>COUNTIF(CProf[[Pref_1]:[Pref_6]],CCourse[[#This Row],[Course]])</f>
        <v>3</v>
      </c>
      <c r="G54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54" s="32">
        <f>COUNTIF(CCourse[Course],CCourse[[#This Row],[Course]])-COUNTIF(CProf[[Session_1]:[Session_4]],CCourse[[#This Row],[Course]]&amp;"*")</f>
        <v>0</v>
      </c>
      <c r="I54" s="32">
        <v>10</v>
      </c>
      <c r="J54" s="32" t="str">
        <f>IFERROR(INDEX(CProf[Full/Part-time],MATCH(CCourse[[#This Row],[Professor]],CProf[Name],0)),"")</f>
        <v>F</v>
      </c>
      <c r="K54" t="s">
        <v>73</v>
      </c>
      <c r="L54" s="32">
        <v>0.46491514131200185</v>
      </c>
    </row>
    <row r="55" spans="1:12" x14ac:dyDescent="0.25">
      <c r="A55" s="4" t="s">
        <v>134</v>
      </c>
      <c r="B55" t="s">
        <v>108</v>
      </c>
      <c r="C55">
        <v>100</v>
      </c>
      <c r="D55" t="s">
        <v>3</v>
      </c>
      <c r="E55" s="32" t="s">
        <v>304</v>
      </c>
      <c r="F55" s="32">
        <f>COUNTIF(CProf[[Pref_1]:[Pref_6]],CCourse[[#This Row],[Course]])</f>
        <v>4</v>
      </c>
      <c r="G55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55" s="32">
        <f>COUNTIF(CCourse[Course],CCourse[[#This Row],[Course]])-COUNTIF(CProf[[Session_1]:[Session_4]],CCourse[[#This Row],[Course]]&amp;"*")</f>
        <v>0</v>
      </c>
      <c r="I55" s="32">
        <v>10</v>
      </c>
      <c r="J55" s="32" t="str">
        <f>IFERROR(INDEX(CProf[Full/Part-time],MATCH(CCourse[[#This Row],[Professor]],CProf[Name],0)),"")</f>
        <v>F</v>
      </c>
      <c r="K55" t="s">
        <v>26</v>
      </c>
      <c r="L55" s="32">
        <v>0.9511528124758093</v>
      </c>
    </row>
    <row r="56" spans="1:12" x14ac:dyDescent="0.25">
      <c r="A56" s="4" t="s">
        <v>135</v>
      </c>
      <c r="B56" t="s">
        <v>109</v>
      </c>
      <c r="C56">
        <v>100</v>
      </c>
      <c r="D56" t="s">
        <v>3</v>
      </c>
      <c r="E56" s="32" t="s">
        <v>305</v>
      </c>
      <c r="F56" s="32">
        <f>COUNTIF(CProf[[Pref_1]:[Pref_6]],CCourse[[#This Row],[Course]])</f>
        <v>3</v>
      </c>
      <c r="G56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56" s="32">
        <f>COUNTIF(CCourse[Course],CCourse[[#This Row],[Course]])-COUNTIF(CProf[[Session_1]:[Session_4]],CCourse[[#This Row],[Course]]&amp;"*")</f>
        <v>0</v>
      </c>
      <c r="I56" s="32">
        <v>10</v>
      </c>
      <c r="J56" s="32" t="str">
        <f>IFERROR(INDEX(CProf[Full/Part-time],MATCH(CCourse[[#This Row],[Professor]],CProf[Name],0)),"")</f>
        <v>P</v>
      </c>
      <c r="K56" t="s">
        <v>63</v>
      </c>
      <c r="L56" s="32">
        <v>0.3188445351082968</v>
      </c>
    </row>
    <row r="57" spans="1:12" x14ac:dyDescent="0.25">
      <c r="A57" s="4" t="s">
        <v>136</v>
      </c>
      <c r="B57" t="s">
        <v>110</v>
      </c>
      <c r="C57">
        <v>100</v>
      </c>
      <c r="D57" t="s">
        <v>3</v>
      </c>
      <c r="E57" s="32" t="s">
        <v>306</v>
      </c>
      <c r="F57" s="32">
        <f>COUNTIF(CProf[[Pref_1]:[Pref_6]],CCourse[[#This Row],[Course]])</f>
        <v>3</v>
      </c>
      <c r="G57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57" s="32">
        <f>COUNTIF(CCourse[Course],CCourse[[#This Row],[Course]])-COUNTIF(CProf[[Session_1]:[Session_4]],CCourse[[#This Row],[Course]]&amp;"*")</f>
        <v>0</v>
      </c>
      <c r="I57" s="32">
        <v>10</v>
      </c>
      <c r="J57" s="32" t="str">
        <f>IFERROR(INDEX(CProf[Full/Part-time],MATCH(CCourse[[#This Row],[Professor]],CProf[Name],0)),"")</f>
        <v>P</v>
      </c>
      <c r="K57" t="s">
        <v>64</v>
      </c>
      <c r="L57" s="32">
        <v>0.69380453009177023</v>
      </c>
    </row>
    <row r="58" spans="1:12" x14ac:dyDescent="0.25">
      <c r="A58" s="4" t="s">
        <v>137</v>
      </c>
      <c r="B58" t="s">
        <v>111</v>
      </c>
      <c r="C58">
        <v>100</v>
      </c>
      <c r="D58" t="s">
        <v>3</v>
      </c>
      <c r="E58" s="32" t="s">
        <v>307</v>
      </c>
      <c r="F58" s="32">
        <f>COUNTIF(CProf[[Pref_1]:[Pref_6]],CCourse[[#This Row],[Course]])</f>
        <v>3</v>
      </c>
      <c r="G58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58" s="32">
        <f>COUNTIF(CCourse[Course],CCourse[[#This Row],[Course]])-COUNTIF(CProf[[Session_1]:[Session_4]],CCourse[[#This Row],[Course]]&amp;"*")</f>
        <v>0</v>
      </c>
      <c r="I58" s="32">
        <v>10</v>
      </c>
      <c r="J58" s="32" t="str">
        <f>IFERROR(INDEX(CProf[Full/Part-time],MATCH(CCourse[[#This Row],[Professor]],CProf[Name],0)),"")</f>
        <v>F</v>
      </c>
      <c r="K58" t="s">
        <v>79</v>
      </c>
      <c r="L58" s="32">
        <v>0.60547986327824233</v>
      </c>
    </row>
    <row r="59" spans="1:12" x14ac:dyDescent="0.25">
      <c r="A59" s="4" t="s">
        <v>138</v>
      </c>
      <c r="B59" t="s">
        <v>112</v>
      </c>
      <c r="C59">
        <v>100</v>
      </c>
      <c r="D59" t="s">
        <v>3</v>
      </c>
      <c r="E59" s="32" t="s">
        <v>308</v>
      </c>
      <c r="F59" s="32">
        <f>COUNTIF(CProf[[Pref_1]:[Pref_6]],CCourse[[#This Row],[Course]])</f>
        <v>2</v>
      </c>
      <c r="G59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59" s="32">
        <f>COUNTIF(CCourse[Course],CCourse[[#This Row],[Course]])-COUNTIF(CProf[[Session_1]:[Session_4]],CCourse[[#This Row],[Course]]&amp;"*")</f>
        <v>0</v>
      </c>
      <c r="I59" s="32">
        <v>10</v>
      </c>
      <c r="J59" s="32" t="str">
        <f>IFERROR(INDEX(CProf[Full/Part-time],MATCH(CCourse[[#This Row],[Professor]],CProf[Name],0)),"")</f>
        <v>F</v>
      </c>
      <c r="K59" t="s">
        <v>55</v>
      </c>
      <c r="L59" s="32">
        <v>5.3987242417122161E-2</v>
      </c>
    </row>
    <row r="60" spans="1:12" x14ac:dyDescent="0.25">
      <c r="A60" s="4" t="s">
        <v>139</v>
      </c>
      <c r="B60" t="s">
        <v>113</v>
      </c>
      <c r="C60">
        <v>100</v>
      </c>
      <c r="D60" t="s">
        <v>3</v>
      </c>
      <c r="E60" s="32" t="s">
        <v>309</v>
      </c>
      <c r="F60" s="32">
        <f>COUNTIF(CProf[[Pref_1]:[Pref_6]],CCourse[[#This Row],[Course]])</f>
        <v>2</v>
      </c>
      <c r="G60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60" s="32">
        <f>COUNTIF(CCourse[Course],CCourse[[#This Row],[Course]])-COUNTIF(CProf[[Session_1]:[Session_4]],CCourse[[#This Row],[Course]]&amp;"*")</f>
        <v>0</v>
      </c>
      <c r="I60" s="32">
        <v>10</v>
      </c>
      <c r="J60" s="32" t="str">
        <f>IFERROR(INDEX(CProf[Full/Part-time],MATCH(CCourse[[#This Row],[Professor]],CProf[Name],0)),"")</f>
        <v>F</v>
      </c>
      <c r="K60" t="s">
        <v>29</v>
      </c>
      <c r="L60" s="32">
        <v>0.88048311436217375</v>
      </c>
    </row>
    <row r="61" spans="1:12" x14ac:dyDescent="0.25">
      <c r="A61" s="4" t="s">
        <v>140</v>
      </c>
      <c r="B61" t="s">
        <v>114</v>
      </c>
      <c r="C61">
        <v>100</v>
      </c>
      <c r="D61" t="s">
        <v>3</v>
      </c>
      <c r="E61" s="32" t="s">
        <v>310</v>
      </c>
      <c r="F61" s="32">
        <f>COUNTIF(CProf[[Pref_1]:[Pref_6]],CCourse[[#This Row],[Course]])</f>
        <v>2</v>
      </c>
      <c r="G61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61" s="32">
        <f>COUNTIF(CCourse[Course],CCourse[[#This Row],[Course]])-COUNTIF(CProf[[Session_1]:[Session_4]],CCourse[[#This Row],[Course]]&amp;"*")</f>
        <v>0</v>
      </c>
      <c r="I61" s="32">
        <v>10</v>
      </c>
      <c r="J61" s="32" t="str">
        <f>IFERROR(INDEX(CProf[Full/Part-time],MATCH(CCourse[[#This Row],[Professor]],CProf[Name],0)),"")</f>
        <v>F</v>
      </c>
      <c r="K61" t="s">
        <v>55</v>
      </c>
      <c r="L61" s="32">
        <v>0.55595491585000822</v>
      </c>
    </row>
    <row r="62" spans="1:12" x14ac:dyDescent="0.25">
      <c r="A62" s="4" t="s">
        <v>141</v>
      </c>
      <c r="B62" t="s">
        <v>115</v>
      </c>
      <c r="C62">
        <v>100</v>
      </c>
      <c r="D62" t="s">
        <v>3</v>
      </c>
      <c r="E62" s="32" t="s">
        <v>311</v>
      </c>
      <c r="F62" s="32">
        <f>COUNTIF(CProf[[Pref_1]:[Pref_6]],CCourse[[#This Row],[Course]])</f>
        <v>3</v>
      </c>
      <c r="G62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62" s="32">
        <f>COUNTIF(CCourse[Course],CCourse[[#This Row],[Course]])-COUNTIF(CProf[[Session_1]:[Session_4]],CCourse[[#This Row],[Course]]&amp;"*")</f>
        <v>0</v>
      </c>
      <c r="I62" s="32">
        <v>10</v>
      </c>
      <c r="J62" s="32" t="str">
        <f>IFERROR(INDEX(CProf[Full/Part-time],MATCH(CCourse[[#This Row],[Professor]],CProf[Name],0)),"")</f>
        <v>P</v>
      </c>
      <c r="K62" t="s">
        <v>62</v>
      </c>
      <c r="L62" s="32">
        <v>0.2513976657398429</v>
      </c>
    </row>
    <row r="63" spans="1:12" x14ac:dyDescent="0.25">
      <c r="A63" s="4" t="s">
        <v>142</v>
      </c>
      <c r="B63" t="s">
        <v>116</v>
      </c>
      <c r="C63">
        <v>100</v>
      </c>
      <c r="D63" t="s">
        <v>3</v>
      </c>
      <c r="E63" s="32" t="s">
        <v>312</v>
      </c>
      <c r="F63" s="32">
        <f>COUNTIF(CProf[[Pref_1]:[Pref_6]],CCourse[[#This Row],[Course]])</f>
        <v>3</v>
      </c>
      <c r="G63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63" s="32">
        <f>COUNTIF(CCourse[Course],CCourse[[#This Row],[Course]])-COUNTIF(CProf[[Session_1]:[Session_4]],CCourse[[#This Row],[Course]]&amp;"*")</f>
        <v>0</v>
      </c>
      <c r="I63" s="32">
        <v>10</v>
      </c>
      <c r="J63" s="32" t="str">
        <f>IFERROR(INDEX(CProf[Full/Part-time],MATCH(CCourse[[#This Row],[Professor]],CProf[Name],0)),"")</f>
        <v>F</v>
      </c>
      <c r="K63" t="s">
        <v>78</v>
      </c>
      <c r="L63" s="32">
        <v>0.52122490650793374</v>
      </c>
    </row>
    <row r="64" spans="1:12" x14ac:dyDescent="0.25">
      <c r="A64" s="4" t="s">
        <v>143</v>
      </c>
      <c r="B64" t="s">
        <v>117</v>
      </c>
      <c r="C64">
        <v>100</v>
      </c>
      <c r="D64" t="s">
        <v>3</v>
      </c>
      <c r="E64" s="32" t="s">
        <v>313</v>
      </c>
      <c r="F64" s="32">
        <f>COUNTIF(CProf[[Pref_1]:[Pref_6]],CCourse[[#This Row],[Course]])</f>
        <v>1</v>
      </c>
      <c r="G64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64" s="32">
        <f>COUNTIF(CCourse[Course],CCourse[[#This Row],[Course]])-COUNTIF(CProf[[Session_1]:[Session_4]],CCourse[[#This Row],[Course]]&amp;"*")</f>
        <v>0</v>
      </c>
      <c r="I64" s="32">
        <v>10</v>
      </c>
      <c r="J64" s="32" t="str">
        <f>IFERROR(INDEX(CProf[Full/Part-time],MATCH(CCourse[[#This Row],[Professor]],CProf[Name],0)),"")</f>
        <v>F</v>
      </c>
      <c r="K64" t="s">
        <v>83</v>
      </c>
      <c r="L64" s="32">
        <v>0.86339250161890579</v>
      </c>
    </row>
    <row r="65" spans="1:12" x14ac:dyDescent="0.25">
      <c r="A65" s="4" t="s">
        <v>144</v>
      </c>
      <c r="B65" t="s">
        <v>118</v>
      </c>
      <c r="C65">
        <v>100</v>
      </c>
      <c r="D65" t="s">
        <v>3</v>
      </c>
      <c r="E65" s="32" t="s">
        <v>314</v>
      </c>
      <c r="F65" s="32">
        <f>COUNTIF(CProf[[Pref_1]:[Pref_6]],CCourse[[#This Row],[Course]])</f>
        <v>3</v>
      </c>
      <c r="G65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65" s="32">
        <f>COUNTIF(CCourse[Course],CCourse[[#This Row],[Course]])-COUNTIF(CProf[[Session_1]:[Session_4]],CCourse[[#This Row],[Course]]&amp;"*")</f>
        <v>0</v>
      </c>
      <c r="I65" s="32">
        <v>10</v>
      </c>
      <c r="J65" s="32" t="str">
        <f>IFERROR(INDEX(CProf[Full/Part-time],MATCH(CCourse[[#This Row],[Professor]],CProf[Name],0)),"")</f>
        <v>P</v>
      </c>
      <c r="K65" t="s">
        <v>62</v>
      </c>
      <c r="L65" s="32">
        <v>0.14557056227936849</v>
      </c>
    </row>
    <row r="66" spans="1:12" x14ac:dyDescent="0.25">
      <c r="A66" s="4" t="s">
        <v>145</v>
      </c>
      <c r="B66" t="s">
        <v>119</v>
      </c>
      <c r="C66">
        <v>100</v>
      </c>
      <c r="D66" t="s">
        <v>3</v>
      </c>
      <c r="E66" s="32" t="s">
        <v>315</v>
      </c>
      <c r="F66" s="32">
        <f>COUNTIF(CProf[[Pref_1]:[Pref_6]],CCourse[[#This Row],[Course]])</f>
        <v>4</v>
      </c>
      <c r="G66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66" s="32">
        <f>COUNTIF(CCourse[Course],CCourse[[#This Row],[Course]])-COUNTIF(CProf[[Session_1]:[Session_4]],CCourse[[#This Row],[Course]]&amp;"*")</f>
        <v>0</v>
      </c>
      <c r="I66" s="32">
        <v>10</v>
      </c>
      <c r="J66" s="32" t="str">
        <f>IFERROR(INDEX(CProf[Full/Part-time],MATCH(CCourse[[#This Row],[Professor]],CProf[Name],0)),"")</f>
        <v>F</v>
      </c>
      <c r="K66" t="s">
        <v>54</v>
      </c>
      <c r="L66" s="32">
        <v>0.16423533533508883</v>
      </c>
    </row>
    <row r="67" spans="1:12" x14ac:dyDescent="0.25">
      <c r="A67" s="4" t="s">
        <v>146</v>
      </c>
      <c r="B67" t="s">
        <v>120</v>
      </c>
      <c r="C67">
        <v>100</v>
      </c>
      <c r="D67" t="s">
        <v>3</v>
      </c>
      <c r="E67" s="32" t="s">
        <v>316</v>
      </c>
      <c r="F67" s="32">
        <f>COUNTIF(CProf[[Pref_1]:[Pref_6]],CCourse[[#This Row],[Course]])</f>
        <v>3</v>
      </c>
      <c r="G67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67" s="32">
        <f>COUNTIF(CCourse[Course],CCourse[[#This Row],[Course]])-COUNTIF(CProf[[Session_1]:[Session_4]],CCourse[[#This Row],[Course]]&amp;"*")</f>
        <v>0</v>
      </c>
      <c r="I67" s="32">
        <v>10</v>
      </c>
      <c r="J67" s="32" t="str">
        <f>IFERROR(INDEX(CProf[Full/Part-time],MATCH(CCourse[[#This Row],[Professor]],CProf[Name],0)),"")</f>
        <v>F</v>
      </c>
      <c r="K67" t="s">
        <v>84</v>
      </c>
      <c r="L67" s="32">
        <v>0.7264499544827383</v>
      </c>
    </row>
    <row r="68" spans="1:12" x14ac:dyDescent="0.25">
      <c r="A68" s="4" t="s">
        <v>147</v>
      </c>
      <c r="B68" t="s">
        <v>121</v>
      </c>
      <c r="C68">
        <v>100</v>
      </c>
      <c r="D68" t="s">
        <v>3</v>
      </c>
      <c r="E68" s="32" t="s">
        <v>317</v>
      </c>
      <c r="F68" s="32">
        <f>COUNTIF(CProf[[Pref_1]:[Pref_6]],CCourse[[#This Row],[Course]])</f>
        <v>2</v>
      </c>
      <c r="G68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68" s="32">
        <f>COUNTIF(CCourse[Course],CCourse[[#This Row],[Course]])-COUNTIF(CProf[[Session_1]:[Session_4]],CCourse[[#This Row],[Course]]&amp;"*")</f>
        <v>0</v>
      </c>
      <c r="I68" s="32">
        <v>10</v>
      </c>
      <c r="J68" s="32" t="str">
        <f>IFERROR(INDEX(CProf[Full/Part-time],MATCH(CCourse[[#This Row],[Professor]],CProf[Name],0)),"")</f>
        <v>F</v>
      </c>
      <c r="K68" t="s">
        <v>52</v>
      </c>
      <c r="L68" s="32">
        <v>0.66973139691297523</v>
      </c>
    </row>
    <row r="69" spans="1:12" x14ac:dyDescent="0.25">
      <c r="A69" s="4" t="s">
        <v>148</v>
      </c>
      <c r="B69" t="s">
        <v>122</v>
      </c>
      <c r="C69">
        <v>100</v>
      </c>
      <c r="D69" t="s">
        <v>3</v>
      </c>
      <c r="E69" s="32" t="s">
        <v>318</v>
      </c>
      <c r="F69" s="32">
        <f>COUNTIF(CProf[[Pref_1]:[Pref_6]],CCourse[[#This Row],[Course]])</f>
        <v>4</v>
      </c>
      <c r="G69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69" s="32">
        <f>COUNTIF(CCourse[Course],CCourse[[#This Row],[Course]])-COUNTIF(CProf[[Session_1]:[Session_4]],CCourse[[#This Row],[Course]]&amp;"*")</f>
        <v>0</v>
      </c>
      <c r="I69" s="32">
        <v>10</v>
      </c>
      <c r="J69" s="32" t="str">
        <f>IFERROR(INDEX(CProf[Full/Part-time],MATCH(CCourse[[#This Row],[Professor]],CProf[Name],0)),"")</f>
        <v>F</v>
      </c>
      <c r="K69" t="s">
        <v>60</v>
      </c>
      <c r="L69" s="32">
        <v>0.94800316776259297</v>
      </c>
    </row>
    <row r="70" spans="1:12" x14ac:dyDescent="0.25">
      <c r="A70" s="4" t="s">
        <v>149</v>
      </c>
      <c r="B70" t="s">
        <v>123</v>
      </c>
      <c r="C70">
        <v>100</v>
      </c>
      <c r="D70" t="s">
        <v>3</v>
      </c>
      <c r="E70" s="32" t="s">
        <v>319</v>
      </c>
      <c r="F70" s="32">
        <f>COUNTIF(CProf[[Pref_1]:[Pref_6]],CCourse[[#This Row],[Course]])</f>
        <v>2</v>
      </c>
      <c r="G70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70" s="32">
        <f>COUNTIF(CCourse[Course],CCourse[[#This Row],[Course]])-COUNTIF(CProf[[Session_1]:[Session_4]],CCourse[[#This Row],[Course]]&amp;"*")</f>
        <v>0</v>
      </c>
      <c r="I70" s="32">
        <v>10</v>
      </c>
      <c r="J70" s="32" t="str">
        <f>IFERROR(INDEX(CProf[Full/Part-time],MATCH(CCourse[[#This Row],[Professor]],CProf[Name],0)),"")</f>
        <v>F</v>
      </c>
      <c r="K70" t="s">
        <v>30</v>
      </c>
      <c r="L70" s="32">
        <v>0.35501953288189336</v>
      </c>
    </row>
    <row r="71" spans="1:12" x14ac:dyDescent="0.25">
      <c r="A71" s="4" t="s">
        <v>150</v>
      </c>
      <c r="B71" t="s">
        <v>124</v>
      </c>
      <c r="C71">
        <v>100</v>
      </c>
      <c r="D71" t="s">
        <v>3</v>
      </c>
      <c r="E71" s="32" t="s">
        <v>320</v>
      </c>
      <c r="F71" s="32">
        <f>COUNTIF(CProf[[Pref_1]:[Pref_6]],CCourse[[#This Row],[Course]])</f>
        <v>4</v>
      </c>
      <c r="G71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71" s="32">
        <f>COUNTIF(CCourse[Course],CCourse[[#This Row],[Course]])-COUNTIF(CProf[[Session_1]:[Session_4]],CCourse[[#This Row],[Course]]&amp;"*")</f>
        <v>0</v>
      </c>
      <c r="I71" s="32">
        <v>10</v>
      </c>
      <c r="J71" s="32" t="str">
        <f>IFERROR(INDEX(CProf[Full/Part-time],MATCH(CCourse[[#This Row],[Professor]],CProf[Name],0)),"")</f>
        <v>F</v>
      </c>
      <c r="K71" t="s">
        <v>87</v>
      </c>
      <c r="L71" s="32">
        <v>0.2960903783822838</v>
      </c>
    </row>
    <row r="72" spans="1:12" x14ac:dyDescent="0.25">
      <c r="A72" s="4" t="s">
        <v>151</v>
      </c>
      <c r="B72" t="s">
        <v>125</v>
      </c>
      <c r="C72">
        <v>100</v>
      </c>
      <c r="D72" t="s">
        <v>3</v>
      </c>
      <c r="E72" s="32" t="s">
        <v>321</v>
      </c>
      <c r="F72" s="32">
        <f>COUNTIF(CProf[[Pref_1]:[Pref_6]],CCourse[[#This Row],[Course]])</f>
        <v>3</v>
      </c>
      <c r="G72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72" s="32">
        <f>COUNTIF(CCourse[Course],CCourse[[#This Row],[Course]])-COUNTIF(CProf[[Session_1]:[Session_4]],CCourse[[#This Row],[Course]]&amp;"*")</f>
        <v>0</v>
      </c>
      <c r="I72" s="32">
        <v>10</v>
      </c>
      <c r="J72" s="32" t="str">
        <f>IFERROR(INDEX(CProf[Full/Part-time],MATCH(CCourse[[#This Row],[Professor]],CProf[Name],0)),"")</f>
        <v>F</v>
      </c>
      <c r="K72" t="s">
        <v>85</v>
      </c>
      <c r="L72" s="32">
        <v>0.63200895595120987</v>
      </c>
    </row>
    <row r="73" spans="1:12" x14ac:dyDescent="0.25">
      <c r="A73" s="4" t="s">
        <v>152</v>
      </c>
      <c r="B73" t="s">
        <v>126</v>
      </c>
      <c r="C73">
        <v>100</v>
      </c>
      <c r="D73" t="s">
        <v>3</v>
      </c>
      <c r="E73" s="32" t="s">
        <v>322</v>
      </c>
      <c r="F73" s="32">
        <f>COUNTIF(CProf[[Pref_1]:[Pref_6]],CCourse[[#This Row],[Course]])</f>
        <v>2</v>
      </c>
      <c r="G73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73" s="32">
        <f>COUNTIF(CCourse[Course],CCourse[[#This Row],[Course]])-COUNTIF(CProf[[Session_1]:[Session_4]],CCourse[[#This Row],[Course]]&amp;"*")</f>
        <v>0</v>
      </c>
      <c r="I73" s="32">
        <v>10</v>
      </c>
      <c r="J73" s="32" t="str">
        <f>IFERROR(INDEX(CProf[Full/Part-time],MATCH(CCourse[[#This Row],[Professor]],CProf[Name],0)),"")</f>
        <v>F</v>
      </c>
      <c r="K73" t="s">
        <v>26</v>
      </c>
      <c r="L73" s="32">
        <v>0.61966108558176836</v>
      </c>
    </row>
    <row r="74" spans="1:12" x14ac:dyDescent="0.25">
      <c r="A74" s="4" t="s">
        <v>153</v>
      </c>
      <c r="B74" t="s">
        <v>127</v>
      </c>
      <c r="C74">
        <v>100</v>
      </c>
      <c r="D74" t="s">
        <v>3</v>
      </c>
      <c r="E74" s="32" t="s">
        <v>323</v>
      </c>
      <c r="F74" s="32">
        <f>COUNTIF(CProf[[Pref_1]:[Pref_6]],CCourse[[#This Row],[Course]])</f>
        <v>2</v>
      </c>
      <c r="G74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74" s="32">
        <f>COUNTIF(CCourse[Course],CCourse[[#This Row],[Course]])-COUNTIF(CProf[[Session_1]:[Session_4]],CCourse[[#This Row],[Course]]&amp;"*")</f>
        <v>0</v>
      </c>
      <c r="I74" s="32">
        <v>10</v>
      </c>
      <c r="J74" s="32" t="str">
        <f>IFERROR(INDEX(CProf[Full/Part-time],MATCH(CCourse[[#This Row],[Professor]],CProf[Name],0)),"")</f>
        <v>P</v>
      </c>
      <c r="K74" t="s">
        <v>67</v>
      </c>
      <c r="L74" s="32">
        <v>0.91701404456208035</v>
      </c>
    </row>
    <row r="75" spans="1:12" x14ac:dyDescent="0.25">
      <c r="A75" s="4" t="s">
        <v>154</v>
      </c>
      <c r="B75" t="s">
        <v>128</v>
      </c>
      <c r="C75">
        <v>100</v>
      </c>
      <c r="D75" t="s">
        <v>3</v>
      </c>
      <c r="E75" s="32" t="s">
        <v>324</v>
      </c>
      <c r="F75" s="32">
        <f>COUNTIF(CProf[[Pref_1]:[Pref_6]],CCourse[[#This Row],[Course]])</f>
        <v>3</v>
      </c>
      <c r="G75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75" s="32">
        <f>COUNTIF(CCourse[Course],CCourse[[#This Row],[Course]])-COUNTIF(CProf[[Session_1]:[Session_4]],CCourse[[#This Row],[Course]]&amp;"*")</f>
        <v>0</v>
      </c>
      <c r="I75" s="32">
        <v>10</v>
      </c>
      <c r="J75" s="32" t="str">
        <f>IFERROR(INDEX(CProf[Full/Part-time],MATCH(CCourse[[#This Row],[Professor]],CProf[Name],0)),"")</f>
        <v>F</v>
      </c>
      <c r="K75" t="s">
        <v>81</v>
      </c>
      <c r="L75" s="32">
        <v>0.71999990998100494</v>
      </c>
    </row>
    <row r="76" spans="1:12" x14ac:dyDescent="0.25">
      <c r="A76" s="4" t="s">
        <v>155</v>
      </c>
      <c r="B76" t="s">
        <v>129</v>
      </c>
      <c r="C76">
        <v>100</v>
      </c>
      <c r="D76" t="s">
        <v>3</v>
      </c>
      <c r="E76" s="32" t="s">
        <v>325</v>
      </c>
      <c r="F76" s="32">
        <f>COUNTIF(CProf[[Pref_1]:[Pref_6]],CCourse[[#This Row],[Course]])</f>
        <v>5</v>
      </c>
      <c r="G76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76" s="32">
        <f>COUNTIF(CCourse[Course],CCourse[[#This Row],[Course]])-COUNTIF(CProf[[Session_1]:[Session_4]],CCourse[[#This Row],[Course]]&amp;"*")</f>
        <v>0</v>
      </c>
      <c r="I76" s="32">
        <v>10</v>
      </c>
      <c r="J76" s="32" t="str">
        <f>IFERROR(INDEX(CProf[Full/Part-time],MATCH(CCourse[[#This Row],[Professor]],CProf[Name],0)),"")</f>
        <v>P</v>
      </c>
      <c r="K76" t="s">
        <v>35</v>
      </c>
      <c r="L76" s="32">
        <v>0.42367921238179762</v>
      </c>
    </row>
    <row r="77" spans="1:12" x14ac:dyDescent="0.25">
      <c r="A77" s="4" t="s">
        <v>156</v>
      </c>
      <c r="B77" t="s">
        <v>130</v>
      </c>
      <c r="C77">
        <v>100</v>
      </c>
      <c r="D77" t="s">
        <v>3</v>
      </c>
      <c r="E77" s="32" t="s">
        <v>326</v>
      </c>
      <c r="F77" s="32">
        <f>COUNTIF(CProf[[Pref_1]:[Pref_6]],CCourse[[#This Row],[Course]])</f>
        <v>2</v>
      </c>
      <c r="G77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77" s="32">
        <f>COUNTIF(CCourse[Course],CCourse[[#This Row],[Course]])-COUNTIF(CProf[[Session_1]:[Session_4]],CCourse[[#This Row],[Course]]&amp;"*")</f>
        <v>0</v>
      </c>
      <c r="I77" s="32">
        <v>10</v>
      </c>
      <c r="J77" s="32" t="str">
        <f>IFERROR(INDEX(CProf[Full/Part-time],MATCH(CCourse[[#This Row],[Professor]],CProf[Name],0)),"")</f>
        <v>F</v>
      </c>
      <c r="K77" t="s">
        <v>73</v>
      </c>
      <c r="L77" s="32">
        <v>0.41943360539892915</v>
      </c>
    </row>
    <row r="78" spans="1:12" x14ac:dyDescent="0.25">
      <c r="A78" s="4" t="s">
        <v>157</v>
      </c>
      <c r="B78" t="s">
        <v>131</v>
      </c>
      <c r="C78">
        <v>100</v>
      </c>
      <c r="D78" t="s">
        <v>3</v>
      </c>
      <c r="E78" s="32" t="s">
        <v>327</v>
      </c>
      <c r="F78" s="32">
        <f>COUNTIF(CProf[[Pref_1]:[Pref_6]],CCourse[[#This Row],[Course]])</f>
        <v>2</v>
      </c>
      <c r="G78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78" s="32">
        <f>COUNTIF(CCourse[Course],CCourse[[#This Row],[Course]])-COUNTIF(CProf[[Session_1]:[Session_4]],CCourse[[#This Row],[Course]]&amp;"*")</f>
        <v>0</v>
      </c>
      <c r="I78" s="32">
        <v>10</v>
      </c>
      <c r="J78" s="32" t="str">
        <f>IFERROR(INDEX(CProf[Full/Part-time],MATCH(CCourse[[#This Row],[Professor]],CProf[Name],0)),"")</f>
        <v>F</v>
      </c>
      <c r="K78" t="s">
        <v>29</v>
      </c>
      <c r="L78" s="32">
        <v>0.3584687450536288</v>
      </c>
    </row>
    <row r="79" spans="1:12" x14ac:dyDescent="0.25">
      <c r="A79" s="4" t="s">
        <v>158</v>
      </c>
      <c r="B79" t="s">
        <v>132</v>
      </c>
      <c r="C79">
        <v>100</v>
      </c>
      <c r="D79" t="s">
        <v>3</v>
      </c>
      <c r="E79" s="32" t="s">
        <v>328</v>
      </c>
      <c r="F79" s="32">
        <f>COUNTIF(CProf[[Pref_1]:[Pref_6]],CCourse[[#This Row],[Course]])</f>
        <v>6</v>
      </c>
      <c r="G79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6</v>
      </c>
      <c r="H79" s="32">
        <f>COUNTIF(CCourse[Course],CCourse[[#This Row],[Course]])-COUNTIF(CProf[[Session_1]:[Session_4]],CCourse[[#This Row],[Course]]&amp;"*")</f>
        <v>0</v>
      </c>
      <c r="I79" s="32">
        <v>10</v>
      </c>
      <c r="J79" s="32" t="str">
        <f>IFERROR(INDEX(CProf[Full/Part-time],MATCH(CCourse[[#This Row],[Professor]],CProf[Name],0)),"")</f>
        <v>F</v>
      </c>
      <c r="K79" t="s">
        <v>70</v>
      </c>
      <c r="L79" s="32">
        <v>0.77343265361542257</v>
      </c>
    </row>
    <row r="80" spans="1:12" x14ac:dyDescent="0.25">
      <c r="A80" s="4" t="s">
        <v>159</v>
      </c>
      <c r="B80" t="s">
        <v>133</v>
      </c>
      <c r="C80">
        <v>100</v>
      </c>
      <c r="D80" t="s">
        <v>3</v>
      </c>
      <c r="E80" s="32" t="s">
        <v>329</v>
      </c>
      <c r="F80" s="32">
        <f>COUNTIF(CProf[[Pref_1]:[Pref_6]],CCourse[[#This Row],[Course]])</f>
        <v>3</v>
      </c>
      <c r="G80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80" s="32">
        <f>COUNTIF(CCourse[Course],CCourse[[#This Row],[Course]])-COUNTIF(CProf[[Session_1]:[Session_4]],CCourse[[#This Row],[Course]]&amp;"*")</f>
        <v>0</v>
      </c>
      <c r="I80" s="32">
        <v>10</v>
      </c>
      <c r="J80" s="32" t="str">
        <f>IFERROR(INDEX(CProf[Full/Part-time],MATCH(CCourse[[#This Row],[Professor]],CProf[Name],0)),"")</f>
        <v>F</v>
      </c>
      <c r="K80" t="s">
        <v>77</v>
      </c>
      <c r="L80" s="32">
        <v>0.69470175143038981</v>
      </c>
    </row>
    <row r="81" spans="1:12" x14ac:dyDescent="0.25">
      <c r="A81" s="4" t="s">
        <v>199</v>
      </c>
      <c r="B81" t="s">
        <v>134</v>
      </c>
      <c r="C81">
        <v>100</v>
      </c>
      <c r="D81" t="s">
        <v>3</v>
      </c>
      <c r="E81" s="32" t="s">
        <v>330</v>
      </c>
      <c r="F81" s="32">
        <f>COUNTIF(CProf[[Pref_1]:[Pref_6]],CCourse[[#This Row],[Course]])</f>
        <v>2</v>
      </c>
      <c r="G81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81" s="32">
        <f>COUNTIF(CCourse[Course],CCourse[[#This Row],[Course]])-COUNTIF(CProf[[Session_1]:[Session_4]],CCourse[[#This Row],[Course]]&amp;"*")</f>
        <v>0</v>
      </c>
      <c r="I81" s="32">
        <v>10</v>
      </c>
      <c r="J81" s="32" t="str">
        <f>IFERROR(INDEX(CProf[Full/Part-time],MATCH(CCourse[[#This Row],[Professor]],CProf[Name],0)),"")</f>
        <v>F</v>
      </c>
      <c r="K81" t="s">
        <v>56</v>
      </c>
      <c r="L81" s="32">
        <v>0.93792451829257306</v>
      </c>
    </row>
    <row r="82" spans="1:12" x14ac:dyDescent="0.25">
      <c r="A82" s="4" t="s">
        <v>200</v>
      </c>
      <c r="B82" t="s">
        <v>135</v>
      </c>
      <c r="C82">
        <v>100</v>
      </c>
      <c r="D82" t="s">
        <v>3</v>
      </c>
      <c r="E82" s="32" t="s">
        <v>331</v>
      </c>
      <c r="F82" s="32">
        <f>COUNTIF(CProf[[Pref_1]:[Pref_6]],CCourse[[#This Row],[Course]])</f>
        <v>7</v>
      </c>
      <c r="G82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82" s="32">
        <f>COUNTIF(CCourse[Course],CCourse[[#This Row],[Course]])-COUNTIF(CProf[[Session_1]:[Session_4]],CCourse[[#This Row],[Course]]&amp;"*")</f>
        <v>0</v>
      </c>
      <c r="I82" s="32">
        <v>10</v>
      </c>
      <c r="J82" s="32" t="str">
        <f>IFERROR(INDEX(CProf[Full/Part-time],MATCH(CCourse[[#This Row],[Professor]],CProf[Name],0)),"")</f>
        <v>F</v>
      </c>
      <c r="K82" t="s">
        <v>69</v>
      </c>
      <c r="L82" s="32">
        <v>0.30531034880949826</v>
      </c>
    </row>
    <row r="83" spans="1:12" x14ac:dyDescent="0.25">
      <c r="A83" s="4" t="s">
        <v>201</v>
      </c>
      <c r="B83" t="s">
        <v>136</v>
      </c>
      <c r="C83">
        <v>100</v>
      </c>
      <c r="D83" t="s">
        <v>3</v>
      </c>
      <c r="E83" s="32" t="s">
        <v>332</v>
      </c>
      <c r="F83" s="32">
        <f>COUNTIF(CProf[[Pref_1]:[Pref_6]],CCourse[[#This Row],[Course]])</f>
        <v>2</v>
      </c>
      <c r="G83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83" s="32">
        <f>COUNTIF(CCourse[Course],CCourse[[#This Row],[Course]])-COUNTIF(CProf[[Session_1]:[Session_4]],CCourse[[#This Row],[Course]]&amp;"*")</f>
        <v>0</v>
      </c>
      <c r="I83" s="32">
        <v>10</v>
      </c>
      <c r="J83" s="32" t="str">
        <f>IFERROR(INDEX(CProf[Full/Part-time],MATCH(CCourse[[#This Row],[Professor]],CProf[Name],0)),"")</f>
        <v>P</v>
      </c>
      <c r="K83" t="s">
        <v>64</v>
      </c>
      <c r="L83" s="32">
        <v>0.51310884674053769</v>
      </c>
    </row>
    <row r="84" spans="1:12" x14ac:dyDescent="0.25">
      <c r="A84" s="4" t="s">
        <v>259</v>
      </c>
      <c r="B84" t="s">
        <v>137</v>
      </c>
      <c r="C84">
        <v>100</v>
      </c>
      <c r="D84" t="s">
        <v>3</v>
      </c>
      <c r="E84" s="32" t="s">
        <v>333</v>
      </c>
      <c r="F84" s="32">
        <f>COUNTIF(CProf[[Pref_1]:[Pref_6]],CCourse[[#This Row],[Course]])</f>
        <v>2</v>
      </c>
      <c r="G84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84" s="32">
        <f>COUNTIF(CCourse[Course],CCourse[[#This Row],[Course]])-COUNTIF(CProf[[Session_1]:[Session_4]],CCourse[[#This Row],[Course]]&amp;"*")</f>
        <v>0</v>
      </c>
      <c r="I84" s="32">
        <v>10</v>
      </c>
      <c r="J84" s="32" t="str">
        <f>IFERROR(INDEX(CProf[Full/Part-time],MATCH(CCourse[[#This Row],[Professor]],CProf[Name],0)),"")</f>
        <v>F</v>
      </c>
      <c r="K84" t="s">
        <v>57</v>
      </c>
      <c r="L84" s="32">
        <v>0.98804344285163326</v>
      </c>
    </row>
    <row r="85" spans="1:12" x14ac:dyDescent="0.25">
      <c r="A85" s="4" t="s">
        <v>260</v>
      </c>
      <c r="B85" t="s">
        <v>138</v>
      </c>
      <c r="C85">
        <v>100</v>
      </c>
      <c r="D85" t="s">
        <v>3</v>
      </c>
      <c r="E85" s="32" t="s">
        <v>334</v>
      </c>
      <c r="F85" s="32">
        <f>COUNTIF(CProf[[Pref_1]:[Pref_6]],CCourse[[#This Row],[Course]])</f>
        <v>4</v>
      </c>
      <c r="G85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85" s="32">
        <f>COUNTIF(CCourse[Course],CCourse[[#This Row],[Course]])-COUNTIF(CProf[[Session_1]:[Session_4]],CCourse[[#This Row],[Course]]&amp;"*")</f>
        <v>0</v>
      </c>
      <c r="I85" s="32">
        <v>10</v>
      </c>
      <c r="J85" s="32" t="str">
        <f>IFERROR(INDEX(CProf[Full/Part-time],MATCH(CCourse[[#This Row],[Professor]],CProf[Name],0)),"")</f>
        <v>F</v>
      </c>
      <c r="K85" t="s">
        <v>60</v>
      </c>
      <c r="L85" s="32">
        <v>0.82245152608374161</v>
      </c>
    </row>
    <row r="86" spans="1:12" x14ac:dyDescent="0.25">
      <c r="B86" t="s">
        <v>139</v>
      </c>
      <c r="C86">
        <v>100</v>
      </c>
      <c r="D86" t="s">
        <v>3</v>
      </c>
      <c r="E86" s="32" t="s">
        <v>335</v>
      </c>
      <c r="F86" s="32">
        <f>COUNTIF(CProf[[Pref_1]:[Pref_6]],CCourse[[#This Row],[Course]])</f>
        <v>2</v>
      </c>
      <c r="G86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86" s="32">
        <f>COUNTIF(CCourse[Course],CCourse[[#This Row],[Course]])-COUNTIF(CProf[[Session_1]:[Session_4]],CCourse[[#This Row],[Course]]&amp;"*")</f>
        <v>0</v>
      </c>
      <c r="I86" s="32">
        <v>10</v>
      </c>
      <c r="J86" s="32" t="str">
        <f>IFERROR(INDEX(CProf[Full/Part-time],MATCH(CCourse[[#This Row],[Professor]],CProf[Name],0)),"")</f>
        <v>F</v>
      </c>
      <c r="K86" t="s">
        <v>91</v>
      </c>
      <c r="L86" s="32">
        <v>0.70790721800423173</v>
      </c>
    </row>
    <row r="87" spans="1:12" x14ac:dyDescent="0.25">
      <c r="B87" t="s">
        <v>140</v>
      </c>
      <c r="C87">
        <v>100</v>
      </c>
      <c r="D87" t="s">
        <v>3</v>
      </c>
      <c r="E87" s="32" t="s">
        <v>336</v>
      </c>
      <c r="F87" s="32">
        <f>COUNTIF(CProf[[Pref_1]:[Pref_6]],CCourse[[#This Row],[Course]])</f>
        <v>4</v>
      </c>
      <c r="G87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87" s="32">
        <f>COUNTIF(CCourse[Course],CCourse[[#This Row],[Course]])-COUNTIF(CProf[[Session_1]:[Session_4]],CCourse[[#This Row],[Course]]&amp;"*")</f>
        <v>0</v>
      </c>
      <c r="I87" s="32">
        <v>10</v>
      </c>
      <c r="J87" s="32" t="str">
        <f>IFERROR(INDEX(CProf[Full/Part-time],MATCH(CCourse[[#This Row],[Professor]],CProf[Name],0)),"")</f>
        <v>F</v>
      </c>
      <c r="K87" t="s">
        <v>81</v>
      </c>
      <c r="L87" s="32">
        <v>0.60238545279615263</v>
      </c>
    </row>
    <row r="88" spans="1:12" x14ac:dyDescent="0.25">
      <c r="B88" t="s">
        <v>141</v>
      </c>
      <c r="C88">
        <v>100</v>
      </c>
      <c r="D88" t="s">
        <v>3</v>
      </c>
      <c r="E88" s="32" t="s">
        <v>337</v>
      </c>
      <c r="F88" s="32">
        <f>COUNTIF(CProf[[Pref_1]:[Pref_6]],CCourse[[#This Row],[Course]])</f>
        <v>5</v>
      </c>
      <c r="G88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88" s="32">
        <f>COUNTIF(CCourse[Course],CCourse[[#This Row],[Course]])-COUNTIF(CProf[[Session_1]:[Session_4]],CCourse[[#This Row],[Course]]&amp;"*")</f>
        <v>0</v>
      </c>
      <c r="I88" s="32">
        <v>10</v>
      </c>
      <c r="J88" s="32" t="str">
        <f>IFERROR(INDEX(CProf[Full/Part-time],MATCH(CCourse[[#This Row],[Professor]],CProf[Name],0)),"")</f>
        <v>P</v>
      </c>
      <c r="K88" t="s">
        <v>61</v>
      </c>
      <c r="L88" s="32">
        <v>0.44567208322137153</v>
      </c>
    </row>
    <row r="89" spans="1:12" x14ac:dyDescent="0.25">
      <c r="B89" t="s">
        <v>142</v>
      </c>
      <c r="C89">
        <v>100</v>
      </c>
      <c r="D89" t="s">
        <v>3</v>
      </c>
      <c r="E89" s="32" t="s">
        <v>338</v>
      </c>
      <c r="F89" s="32">
        <f>COUNTIF(CProf[[Pref_1]:[Pref_6]],CCourse[[#This Row],[Course]])</f>
        <v>3</v>
      </c>
      <c r="G89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89" s="32">
        <f>COUNTIF(CCourse[Course],CCourse[[#This Row],[Course]])-COUNTIF(CProf[[Session_1]:[Session_4]],CCourse[[#This Row],[Course]]&amp;"*")</f>
        <v>0</v>
      </c>
      <c r="I89" s="32">
        <v>10</v>
      </c>
      <c r="J89" s="32" t="str">
        <f>IFERROR(INDEX(CProf[Full/Part-time],MATCH(CCourse[[#This Row],[Professor]],CProf[Name],0)),"")</f>
        <v>F</v>
      </c>
      <c r="K89" t="s">
        <v>86</v>
      </c>
      <c r="L89" s="32">
        <v>5.5983287172711726E-4</v>
      </c>
    </row>
    <row r="90" spans="1:12" x14ac:dyDescent="0.25">
      <c r="B90" t="s">
        <v>143</v>
      </c>
      <c r="C90">
        <v>100</v>
      </c>
      <c r="D90" t="s">
        <v>3</v>
      </c>
      <c r="E90" s="32" t="s">
        <v>339</v>
      </c>
      <c r="F90" s="32">
        <f>COUNTIF(CProf[[Pref_1]:[Pref_6]],CCourse[[#This Row],[Course]])</f>
        <v>2</v>
      </c>
      <c r="G90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90" s="32">
        <f>COUNTIF(CCourse[Course],CCourse[[#This Row],[Course]])-COUNTIF(CProf[[Session_1]:[Session_4]],CCourse[[#This Row],[Course]]&amp;"*")</f>
        <v>0</v>
      </c>
      <c r="I90" s="32">
        <v>10</v>
      </c>
      <c r="J90" s="32" t="str">
        <f>IFERROR(INDEX(CProf[Full/Part-time],MATCH(CCourse[[#This Row],[Professor]],CProf[Name],0)),"")</f>
        <v>P</v>
      </c>
      <c r="K90" t="s">
        <v>66</v>
      </c>
      <c r="L90" s="32">
        <v>0.97755632877000553</v>
      </c>
    </row>
    <row r="91" spans="1:12" x14ac:dyDescent="0.25">
      <c r="B91" t="s">
        <v>144</v>
      </c>
      <c r="C91">
        <v>100</v>
      </c>
      <c r="D91" t="s">
        <v>3</v>
      </c>
      <c r="E91" s="32" t="s">
        <v>340</v>
      </c>
      <c r="F91" s="32">
        <f>COUNTIF(CProf[[Pref_1]:[Pref_6]],CCourse[[#This Row],[Course]])</f>
        <v>3</v>
      </c>
      <c r="G91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5</v>
      </c>
      <c r="H91" s="32">
        <f>COUNTIF(CCourse[Course],CCourse[[#This Row],[Course]])-COUNTIF(CProf[[Session_1]:[Session_4]],CCourse[[#This Row],[Course]]&amp;"*")</f>
        <v>0</v>
      </c>
      <c r="I91" s="32">
        <v>10</v>
      </c>
      <c r="J91" s="32" t="str">
        <f>IFERROR(INDEX(CProf[Full/Part-time],MATCH(CCourse[[#This Row],[Professor]],CProf[Name],0)),"")</f>
        <v>P</v>
      </c>
      <c r="K91" t="s">
        <v>37</v>
      </c>
      <c r="L91" s="32">
        <v>0.59943332238560743</v>
      </c>
    </row>
    <row r="92" spans="1:12" x14ac:dyDescent="0.25">
      <c r="B92" t="s">
        <v>145</v>
      </c>
      <c r="C92">
        <v>100</v>
      </c>
      <c r="D92" t="s">
        <v>3</v>
      </c>
      <c r="E92" s="32" t="s">
        <v>341</v>
      </c>
      <c r="F92" s="32">
        <f>COUNTIF(CProf[[Pref_1]:[Pref_6]],CCourse[[#This Row],[Course]])</f>
        <v>4</v>
      </c>
      <c r="G92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92" s="32">
        <f>COUNTIF(CCourse[Course],CCourse[[#This Row],[Course]])-COUNTIF(CProf[[Session_1]:[Session_4]],CCourse[[#This Row],[Course]]&amp;"*")</f>
        <v>0</v>
      </c>
      <c r="I92" s="32">
        <v>10</v>
      </c>
      <c r="J92" s="32" t="str">
        <f>IFERROR(INDEX(CProf[Full/Part-time],MATCH(CCourse[[#This Row],[Professor]],CProf[Name],0)),"")</f>
        <v>F</v>
      </c>
      <c r="K92" t="s">
        <v>82</v>
      </c>
      <c r="L92" s="32">
        <v>0.19560049324751738</v>
      </c>
    </row>
    <row r="93" spans="1:12" x14ac:dyDescent="0.25">
      <c r="B93" t="s">
        <v>146</v>
      </c>
      <c r="C93">
        <v>100</v>
      </c>
      <c r="D93" t="s">
        <v>3</v>
      </c>
      <c r="E93" s="32" t="s">
        <v>342</v>
      </c>
      <c r="F93" s="32">
        <f>COUNTIF(CProf[[Pref_1]:[Pref_6]],CCourse[[#This Row],[Course]])</f>
        <v>2</v>
      </c>
      <c r="G93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93" s="32">
        <f>COUNTIF(CCourse[Course],CCourse[[#This Row],[Course]])-COUNTIF(CProf[[Session_1]:[Session_4]],CCourse[[#This Row],[Course]]&amp;"*")</f>
        <v>0</v>
      </c>
      <c r="I93" s="32">
        <v>10</v>
      </c>
      <c r="J93" s="32" t="str">
        <f>IFERROR(INDEX(CProf[Full/Part-time],MATCH(CCourse[[#This Row],[Professor]],CProf[Name],0)),"")</f>
        <v>F</v>
      </c>
      <c r="K93" t="s">
        <v>74</v>
      </c>
      <c r="L93" s="32">
        <v>0.91725739535403727</v>
      </c>
    </row>
    <row r="94" spans="1:12" x14ac:dyDescent="0.25">
      <c r="B94" t="s">
        <v>147</v>
      </c>
      <c r="C94">
        <v>100</v>
      </c>
      <c r="D94" t="s">
        <v>3</v>
      </c>
      <c r="E94" s="32" t="s">
        <v>343</v>
      </c>
      <c r="F94" s="32">
        <f>COUNTIF(CProf[[Pref_1]:[Pref_6]],CCourse[[#This Row],[Course]])</f>
        <v>4</v>
      </c>
      <c r="G94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94" s="32">
        <f>COUNTIF(CCourse[Course],CCourse[[#This Row],[Course]])-COUNTIF(CProf[[Session_1]:[Session_4]],CCourse[[#This Row],[Course]]&amp;"*")</f>
        <v>0</v>
      </c>
      <c r="I94" s="32">
        <v>10</v>
      </c>
      <c r="J94" s="32" t="str">
        <f>IFERROR(INDEX(CProf[Full/Part-time],MATCH(CCourse[[#This Row],[Professor]],CProf[Name],0)),"")</f>
        <v>F</v>
      </c>
      <c r="K94" t="s">
        <v>71</v>
      </c>
      <c r="L94" s="32">
        <v>0.79589745606443052</v>
      </c>
    </row>
    <row r="95" spans="1:12" x14ac:dyDescent="0.25">
      <c r="B95" t="s">
        <v>148</v>
      </c>
      <c r="C95">
        <v>100</v>
      </c>
      <c r="D95" t="s">
        <v>3</v>
      </c>
      <c r="E95" s="32" t="s">
        <v>344</v>
      </c>
      <c r="F95" s="32">
        <f>COUNTIF(CProf[[Pref_1]:[Pref_6]],CCourse[[#This Row],[Course]])</f>
        <v>3</v>
      </c>
      <c r="G95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95" s="32">
        <f>COUNTIF(CCourse[Course],CCourse[[#This Row],[Course]])-COUNTIF(CProf[[Session_1]:[Session_4]],CCourse[[#This Row],[Course]]&amp;"*")</f>
        <v>0</v>
      </c>
      <c r="I95" s="32">
        <v>10</v>
      </c>
      <c r="J95" s="32" t="str">
        <f>IFERROR(INDEX(CProf[Full/Part-time],MATCH(CCourse[[#This Row],[Professor]],CProf[Name],0)),"")</f>
        <v>F</v>
      </c>
      <c r="K95" t="s">
        <v>30</v>
      </c>
      <c r="L95" s="32">
        <v>0.62546098261711391</v>
      </c>
    </row>
    <row r="96" spans="1:12" x14ac:dyDescent="0.25">
      <c r="B96" t="s">
        <v>149</v>
      </c>
      <c r="C96">
        <v>100</v>
      </c>
      <c r="D96" t="s">
        <v>3</v>
      </c>
      <c r="E96" s="32" t="s">
        <v>345</v>
      </c>
      <c r="F96" s="32">
        <f>COUNTIF(CProf[[Pref_1]:[Pref_6]],CCourse[[#This Row],[Course]])</f>
        <v>4</v>
      </c>
      <c r="G96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96" s="32">
        <f>COUNTIF(CCourse[Course],CCourse[[#This Row],[Course]])-COUNTIF(CProf[[Session_1]:[Session_4]],CCourse[[#This Row],[Course]]&amp;"*")</f>
        <v>0</v>
      </c>
      <c r="I96" s="32">
        <v>10</v>
      </c>
      <c r="J96" s="32" t="str">
        <f>IFERROR(INDEX(CProf[Full/Part-time],MATCH(CCourse[[#This Row],[Professor]],CProf[Name],0)),"")</f>
        <v>F</v>
      </c>
      <c r="K96" t="s">
        <v>73</v>
      </c>
      <c r="L96" s="32">
        <v>0.53615064299662152</v>
      </c>
    </row>
    <row r="97" spans="2:12" x14ac:dyDescent="0.25">
      <c r="B97" t="s">
        <v>150</v>
      </c>
      <c r="C97">
        <v>100</v>
      </c>
      <c r="D97" t="s">
        <v>3</v>
      </c>
      <c r="E97" s="32" t="s">
        <v>346</v>
      </c>
      <c r="F97" s="32">
        <f>COUNTIF(CProf[[Pref_1]:[Pref_6]],CCourse[[#This Row],[Course]])</f>
        <v>2</v>
      </c>
      <c r="G97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97" s="32">
        <f>COUNTIF(CCourse[Course],CCourse[[#This Row],[Course]])-COUNTIF(CProf[[Session_1]:[Session_4]],CCourse[[#This Row],[Course]]&amp;"*")</f>
        <v>0</v>
      </c>
      <c r="I97" s="32">
        <v>10</v>
      </c>
      <c r="J97" s="32" t="str">
        <f>IFERROR(INDEX(CProf[Full/Part-time],MATCH(CCourse[[#This Row],[Professor]],CProf[Name],0)),"")</f>
        <v>P</v>
      </c>
      <c r="K97" t="s">
        <v>66</v>
      </c>
      <c r="L97" s="32">
        <v>3.9510412402169792E-2</v>
      </c>
    </row>
    <row r="98" spans="2:12" x14ac:dyDescent="0.25">
      <c r="B98" t="s">
        <v>151</v>
      </c>
      <c r="C98">
        <v>100</v>
      </c>
      <c r="D98" t="s">
        <v>3</v>
      </c>
      <c r="E98" s="32" t="s">
        <v>347</v>
      </c>
      <c r="F98" s="32">
        <f>COUNTIF(CProf[[Pref_1]:[Pref_6]],CCourse[[#This Row],[Course]])</f>
        <v>3</v>
      </c>
      <c r="G98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98" s="32">
        <f>COUNTIF(CCourse[Course],CCourse[[#This Row],[Course]])-COUNTIF(CProf[[Session_1]:[Session_4]],CCourse[[#This Row],[Course]]&amp;"*")</f>
        <v>0</v>
      </c>
      <c r="I98" s="32">
        <v>10</v>
      </c>
      <c r="J98" s="32" t="str">
        <f>IFERROR(INDEX(CProf[Full/Part-time],MATCH(CCourse[[#This Row],[Professor]],CProf[Name],0)),"")</f>
        <v>F</v>
      </c>
      <c r="K98" t="s">
        <v>92</v>
      </c>
      <c r="L98" s="32">
        <v>0.89205131276369931</v>
      </c>
    </row>
    <row r="99" spans="2:12" x14ac:dyDescent="0.25">
      <c r="B99" t="s">
        <v>152</v>
      </c>
      <c r="C99">
        <v>100</v>
      </c>
      <c r="D99" t="s">
        <v>3</v>
      </c>
      <c r="E99" s="32" t="s">
        <v>348</v>
      </c>
      <c r="F99" s="32">
        <f>COUNTIF(CProf[[Pref_1]:[Pref_6]],CCourse[[#This Row],[Course]])</f>
        <v>4</v>
      </c>
      <c r="G99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99" s="32">
        <f>COUNTIF(CCourse[Course],CCourse[[#This Row],[Course]])-COUNTIF(CProf[[Session_1]:[Session_4]],CCourse[[#This Row],[Course]]&amp;"*")</f>
        <v>0</v>
      </c>
      <c r="I99" s="32">
        <v>10</v>
      </c>
      <c r="J99" s="32" t="str">
        <f>IFERROR(INDEX(CProf[Full/Part-time],MATCH(CCourse[[#This Row],[Professor]],CProf[Name],0)),"")</f>
        <v>F</v>
      </c>
      <c r="K99" t="s">
        <v>78</v>
      </c>
      <c r="L99" s="32">
        <v>0.62722001631109747</v>
      </c>
    </row>
    <row r="100" spans="2:12" x14ac:dyDescent="0.25">
      <c r="B100" t="s">
        <v>153</v>
      </c>
      <c r="C100">
        <v>100</v>
      </c>
      <c r="D100" t="s">
        <v>3</v>
      </c>
      <c r="E100" s="32" t="s">
        <v>349</v>
      </c>
      <c r="F100" s="32">
        <f>COUNTIF(CProf[[Pref_1]:[Pref_6]],CCourse[[#This Row],[Course]])</f>
        <v>4</v>
      </c>
      <c r="G100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100" s="32">
        <f>COUNTIF(CCourse[Course],CCourse[[#This Row],[Course]])-COUNTIF(CProf[[Session_1]:[Session_4]],CCourse[[#This Row],[Course]]&amp;"*")</f>
        <v>0</v>
      </c>
      <c r="I100" s="32">
        <v>10</v>
      </c>
      <c r="J100" s="32" t="str">
        <f>IFERROR(INDEX(CProf[Full/Part-time],MATCH(CCourse[[#This Row],[Professor]],CProf[Name],0)),"")</f>
        <v>F</v>
      </c>
      <c r="K100" t="s">
        <v>70</v>
      </c>
      <c r="L100" s="32">
        <v>0.60396764474279241</v>
      </c>
    </row>
    <row r="101" spans="2:12" x14ac:dyDescent="0.25">
      <c r="B101" t="s">
        <v>154</v>
      </c>
      <c r="C101">
        <v>100</v>
      </c>
      <c r="D101" t="s">
        <v>3</v>
      </c>
      <c r="E101" s="32" t="s">
        <v>350</v>
      </c>
      <c r="F101" s="32">
        <f>COUNTIF(CProf[[Pref_1]:[Pref_6]],CCourse[[#This Row],[Course]])</f>
        <v>1</v>
      </c>
      <c r="G101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101" s="32">
        <f>COUNTIF(CCourse[Course],CCourse[[#This Row],[Course]])-COUNTIF(CProf[[Session_1]:[Session_4]],CCourse[[#This Row],[Course]]&amp;"*")</f>
        <v>0</v>
      </c>
      <c r="I101" s="32">
        <v>10</v>
      </c>
      <c r="J101" s="32" t="str">
        <f>IFERROR(INDEX(CProf[Full/Part-time],MATCH(CCourse[[#This Row],[Professor]],CProf[Name],0)),"")</f>
        <v>F</v>
      </c>
      <c r="K101" t="s">
        <v>81</v>
      </c>
      <c r="L101" s="32">
        <v>0.32126159554192191</v>
      </c>
    </row>
    <row r="102" spans="2:12" x14ac:dyDescent="0.25">
      <c r="B102" t="s">
        <v>155</v>
      </c>
      <c r="C102">
        <v>100</v>
      </c>
      <c r="D102" t="s">
        <v>3</v>
      </c>
      <c r="E102" s="32" t="s">
        <v>351</v>
      </c>
      <c r="F102" s="32">
        <f>COUNTIF(CProf[[Pref_1]:[Pref_6]],CCourse[[#This Row],[Course]])</f>
        <v>5</v>
      </c>
      <c r="G102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7</v>
      </c>
      <c r="H102" s="32">
        <f>COUNTIF(CCourse[Course],CCourse[[#This Row],[Course]])-COUNTIF(CProf[[Session_1]:[Session_4]],CCourse[[#This Row],[Course]]&amp;"*")</f>
        <v>0</v>
      </c>
      <c r="I102" s="32">
        <v>10</v>
      </c>
      <c r="J102" s="32" t="str">
        <f>IFERROR(INDEX(CProf[Full/Part-time],MATCH(CCourse[[#This Row],[Professor]],CProf[Name],0)),"")</f>
        <v>F</v>
      </c>
      <c r="K102" t="s">
        <v>88</v>
      </c>
      <c r="L102" s="32">
        <v>0.67549252511916791</v>
      </c>
    </row>
    <row r="103" spans="2:12" x14ac:dyDescent="0.25">
      <c r="B103" t="s">
        <v>156</v>
      </c>
      <c r="C103">
        <v>100</v>
      </c>
      <c r="D103" t="s">
        <v>3</v>
      </c>
      <c r="E103" s="32" t="s">
        <v>352</v>
      </c>
      <c r="F103" s="32">
        <f>COUNTIF(CProf[[Pref_1]:[Pref_6]],CCourse[[#This Row],[Course]])</f>
        <v>5</v>
      </c>
      <c r="G103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7</v>
      </c>
      <c r="H103" s="32">
        <f>COUNTIF(CCourse[Course],CCourse[[#This Row],[Course]])-COUNTIF(CProf[[Session_1]:[Session_4]],CCourse[[#This Row],[Course]]&amp;"*")</f>
        <v>-1</v>
      </c>
      <c r="I103" s="32">
        <v>10</v>
      </c>
      <c r="J103" s="32" t="str">
        <f>IFERROR(INDEX(CProf[Full/Part-time],MATCH(CCourse[[#This Row],[Professor]],CProf[Name],0)),"")</f>
        <v>F</v>
      </c>
      <c r="K103" t="s">
        <v>92</v>
      </c>
      <c r="L103" s="32">
        <v>4.120034555934915E-2</v>
      </c>
    </row>
    <row r="104" spans="2:12" x14ac:dyDescent="0.25">
      <c r="B104" t="s">
        <v>157</v>
      </c>
      <c r="C104">
        <v>100</v>
      </c>
      <c r="D104" t="s">
        <v>3</v>
      </c>
      <c r="E104" s="32" t="s">
        <v>353</v>
      </c>
      <c r="F104" s="32">
        <f>COUNTIF(CProf[[Pref_1]:[Pref_6]],CCourse[[#This Row],[Course]])</f>
        <v>4</v>
      </c>
      <c r="G104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04" s="32">
        <f>COUNTIF(CCourse[Course],CCourse[[#This Row],[Course]])-COUNTIF(CProf[[Session_1]:[Session_4]],CCourse[[#This Row],[Course]]&amp;"*")</f>
        <v>0</v>
      </c>
      <c r="I104" s="32">
        <v>10</v>
      </c>
      <c r="J104" s="32" t="str">
        <f>IFERROR(INDEX(CProf[Full/Part-time],MATCH(CCourse[[#This Row],[Professor]],CProf[Name],0)),"")</f>
        <v>F</v>
      </c>
      <c r="K104" t="s">
        <v>57</v>
      </c>
      <c r="L104" s="32">
        <v>0.75426603110924539</v>
      </c>
    </row>
    <row r="105" spans="2:12" x14ac:dyDescent="0.25">
      <c r="B105" t="s">
        <v>158</v>
      </c>
      <c r="C105">
        <v>100</v>
      </c>
      <c r="D105" t="s">
        <v>3</v>
      </c>
      <c r="E105" s="32" t="s">
        <v>354</v>
      </c>
      <c r="F105" s="32">
        <f>COUNTIF(CProf[[Pref_1]:[Pref_6]],CCourse[[#This Row],[Course]])</f>
        <v>3</v>
      </c>
      <c r="G105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105" s="32">
        <f>COUNTIF(CCourse[Course],CCourse[[#This Row],[Course]])-COUNTIF(CProf[[Session_1]:[Session_4]],CCourse[[#This Row],[Course]]&amp;"*")</f>
        <v>0</v>
      </c>
      <c r="I105" s="32">
        <v>10</v>
      </c>
      <c r="J105" s="32" t="str">
        <f>IFERROR(INDEX(CProf[Full/Part-time],MATCH(CCourse[[#This Row],[Professor]],CProf[Name],0)),"")</f>
        <v>P</v>
      </c>
      <c r="K105" t="s">
        <v>27</v>
      </c>
      <c r="L105" s="32">
        <v>0.5479868683815865</v>
      </c>
    </row>
    <row r="106" spans="2:12" x14ac:dyDescent="0.25">
      <c r="B106" t="s">
        <v>159</v>
      </c>
      <c r="C106">
        <v>100</v>
      </c>
      <c r="D106" t="s">
        <v>3</v>
      </c>
      <c r="E106" s="32" t="s">
        <v>355</v>
      </c>
      <c r="F106" s="32">
        <f>COUNTIF(CProf[[Pref_1]:[Pref_6]],CCourse[[#This Row],[Course]])</f>
        <v>3</v>
      </c>
      <c r="G106" s="32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106" s="32">
        <f>COUNTIF(CCourse[Course],CCourse[[#This Row],[Course]])-COUNTIF(CProf[[Session_1]:[Session_4]],CCourse[[#This Row],[Course]]&amp;"*")</f>
        <v>-1</v>
      </c>
      <c r="I106" s="32">
        <v>10</v>
      </c>
      <c r="J106" s="32" t="str">
        <f>IFERROR(INDEX(CProf[Full/Part-time],MATCH(CCourse[[#This Row],[Professor]],CProf[Name],0)),"")</f>
        <v>F</v>
      </c>
      <c r="K106" t="s">
        <v>84</v>
      </c>
      <c r="L106" s="32">
        <v>0.32235116559279275</v>
      </c>
    </row>
  </sheetData>
  <sortState ref="B2:L106">
    <sortCondition ref="E2"/>
  </sortState>
  <pageMargins left="0.7" right="0.7" top="0.75" bottom="0.75" header="0.3" footer="0.3"/>
  <pageSetup orientation="portrait" r:id="rId2"/>
  <legacyDrawing r:id="rId3"/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T12"/>
  <sheetViews>
    <sheetView workbookViewId="0">
      <pane xSplit="6" ySplit="1" topLeftCell="G2" activePane="bottomRight" state="frozen"/>
      <selection activeCell="H15" sqref="H15"/>
      <selection pane="topRight" activeCell="H15" sqref="H15"/>
      <selection pane="bottomLeft" activeCell="H15" sqref="H15"/>
      <selection pane="bottomRight" activeCell="C12" sqref="C12"/>
    </sheetView>
  </sheetViews>
  <sheetFormatPr defaultRowHeight="15" x14ac:dyDescent="0.25"/>
  <cols>
    <col min="1" max="1" width="7.140625" bestFit="1" customWidth="1"/>
    <col min="2" max="2" width="10" bestFit="1" customWidth="1"/>
    <col min="3" max="3" width="8.28515625" bestFit="1" customWidth="1"/>
    <col min="4" max="4" width="12.85546875" bestFit="1" customWidth="1"/>
    <col min="5" max="5" width="13.28515625" bestFit="1" customWidth="1"/>
    <col min="6" max="6" width="8.7109375" bestFit="1" customWidth="1"/>
    <col min="7" max="7" width="8.85546875" bestFit="1" customWidth="1"/>
  </cols>
  <sheetData>
    <row r="1" spans="1:98" s="31" customFormat="1" x14ac:dyDescent="0.25">
      <c r="A1" s="31" t="s">
        <v>41</v>
      </c>
      <c r="B1" s="31" t="s">
        <v>39</v>
      </c>
      <c r="C1" s="31" t="s">
        <v>360</v>
      </c>
      <c r="D1" s="31" t="s">
        <v>361</v>
      </c>
      <c r="E1" s="31" t="s">
        <v>362</v>
      </c>
      <c r="F1" s="31" t="s">
        <v>363</v>
      </c>
      <c r="G1" s="31" t="s">
        <v>364</v>
      </c>
      <c r="H1" s="31">
        <v>2</v>
      </c>
      <c r="I1" s="31">
        <v>3</v>
      </c>
      <c r="J1" s="31">
        <v>4</v>
      </c>
      <c r="K1" s="31">
        <v>5</v>
      </c>
      <c r="L1" s="31">
        <v>6</v>
      </c>
      <c r="M1" s="31">
        <v>7</v>
      </c>
      <c r="N1" s="31">
        <v>8</v>
      </c>
      <c r="O1" s="31">
        <v>9</v>
      </c>
      <c r="P1" s="31">
        <v>10</v>
      </c>
      <c r="Q1" s="31">
        <v>11</v>
      </c>
      <c r="R1" s="31">
        <v>12</v>
      </c>
      <c r="S1" s="31">
        <v>13</v>
      </c>
      <c r="T1" s="31">
        <v>14</v>
      </c>
      <c r="U1" s="31">
        <v>15</v>
      </c>
      <c r="V1" s="31">
        <v>16</v>
      </c>
      <c r="W1" s="31">
        <v>17</v>
      </c>
      <c r="X1" s="31">
        <v>18</v>
      </c>
      <c r="Y1" s="31">
        <v>19</v>
      </c>
      <c r="Z1" s="31">
        <v>20</v>
      </c>
      <c r="AA1" s="31">
        <v>21</v>
      </c>
      <c r="AB1" s="31">
        <v>22</v>
      </c>
      <c r="AC1" s="31">
        <v>23</v>
      </c>
      <c r="AD1" s="31">
        <v>24</v>
      </c>
      <c r="AE1" s="31">
        <v>25</v>
      </c>
      <c r="AF1" s="31">
        <v>26</v>
      </c>
      <c r="AG1" s="31">
        <v>27</v>
      </c>
      <c r="AH1" s="31">
        <v>28</v>
      </c>
      <c r="AI1" s="31">
        <v>29</v>
      </c>
      <c r="AJ1" s="31">
        <v>30</v>
      </c>
      <c r="AK1" s="31">
        <v>31</v>
      </c>
      <c r="AL1" s="31">
        <v>32</v>
      </c>
      <c r="AM1" s="31">
        <v>33</v>
      </c>
      <c r="AN1" s="31">
        <v>34</v>
      </c>
      <c r="AO1" s="31">
        <v>35</v>
      </c>
      <c r="AP1" s="31">
        <v>36</v>
      </c>
      <c r="AQ1" s="31">
        <v>37</v>
      </c>
      <c r="AR1" s="31">
        <v>38</v>
      </c>
      <c r="AS1" s="31">
        <v>39</v>
      </c>
      <c r="AT1" s="31">
        <v>40</v>
      </c>
      <c r="AU1" s="31">
        <v>41</v>
      </c>
      <c r="AV1" s="31">
        <v>42</v>
      </c>
      <c r="AW1" s="31">
        <v>43</v>
      </c>
      <c r="AX1" s="31">
        <v>44</v>
      </c>
      <c r="AY1" s="31">
        <v>45</v>
      </c>
      <c r="AZ1" s="31">
        <v>46</v>
      </c>
      <c r="BA1" s="31" t="s">
        <v>365</v>
      </c>
      <c r="BB1" s="31">
        <v>2</v>
      </c>
      <c r="BC1" s="31">
        <v>3</v>
      </c>
      <c r="BD1" s="31">
        <v>4</v>
      </c>
      <c r="BE1" s="31">
        <v>5</v>
      </c>
      <c r="BF1" s="31">
        <v>6</v>
      </c>
      <c r="BG1" s="31">
        <v>7</v>
      </c>
      <c r="BH1" s="31">
        <v>8</v>
      </c>
      <c r="BI1" s="31">
        <v>9</v>
      </c>
      <c r="BJ1" s="31">
        <v>10</v>
      </c>
      <c r="BK1" s="31">
        <v>11</v>
      </c>
      <c r="BL1" s="31">
        <v>12</v>
      </c>
      <c r="BM1" s="31">
        <v>13</v>
      </c>
      <c r="BN1" s="31">
        <v>14</v>
      </c>
      <c r="BO1" s="31">
        <v>15</v>
      </c>
      <c r="BP1" s="31">
        <v>16</v>
      </c>
      <c r="BQ1" s="31">
        <v>17</v>
      </c>
      <c r="BR1" s="31">
        <v>18</v>
      </c>
      <c r="BS1" s="31">
        <v>19</v>
      </c>
      <c r="BT1" s="31">
        <v>20</v>
      </c>
      <c r="BU1" s="31">
        <v>21</v>
      </c>
      <c r="BV1" s="31">
        <v>22</v>
      </c>
      <c r="BW1" s="31">
        <v>23</v>
      </c>
      <c r="BX1" s="31">
        <v>24</v>
      </c>
      <c r="BY1" s="31">
        <v>25</v>
      </c>
      <c r="BZ1" s="31">
        <v>26</v>
      </c>
      <c r="CA1" s="31">
        <v>27</v>
      </c>
      <c r="CB1" s="31">
        <v>28</v>
      </c>
      <c r="CC1" s="31">
        <v>29</v>
      </c>
      <c r="CD1" s="31">
        <v>30</v>
      </c>
      <c r="CE1" s="31">
        <v>31</v>
      </c>
      <c r="CF1" s="31">
        <v>32</v>
      </c>
      <c r="CG1" s="31">
        <v>33</v>
      </c>
      <c r="CH1" s="31">
        <v>34</v>
      </c>
      <c r="CI1" s="31">
        <v>35</v>
      </c>
      <c r="CJ1" s="31">
        <v>36</v>
      </c>
      <c r="CK1" s="31">
        <v>37</v>
      </c>
      <c r="CL1" s="31">
        <v>38</v>
      </c>
      <c r="CM1" s="31">
        <v>39</v>
      </c>
      <c r="CN1" s="31">
        <v>40</v>
      </c>
      <c r="CO1" s="31">
        <v>41</v>
      </c>
      <c r="CP1" s="31">
        <v>42</v>
      </c>
      <c r="CQ1" s="31">
        <v>43</v>
      </c>
      <c r="CR1" s="31">
        <v>44</v>
      </c>
      <c r="CS1" s="31">
        <v>45</v>
      </c>
      <c r="CT1" s="31">
        <v>46</v>
      </c>
    </row>
    <row r="2" spans="1:98" x14ac:dyDescent="0.25">
      <c r="A2" t="s">
        <v>95</v>
      </c>
      <c r="B2" t="s">
        <v>359</v>
      </c>
      <c r="C2" t="s">
        <v>56</v>
      </c>
      <c r="D2">
        <f>COUNTA(G2:AZ2)</f>
        <v>3</v>
      </c>
      <c r="E2">
        <f ca="1">SUM(BA2:CT2)</f>
        <v>2</v>
      </c>
      <c r="F2">
        <f ca="1">COUNTIFS(CCourse!$B:$B,OFFSET($A$1,1,0,1,1),CCourse!$I:$I,3)</f>
        <v>0</v>
      </c>
      <c r="G2" t="s">
        <v>56</v>
      </c>
      <c r="H2" t="s">
        <v>57</v>
      </c>
      <c r="I2" t="s">
        <v>72</v>
      </c>
      <c r="BA2">
        <f ca="1">INDEX(CProf!$C:$C,MATCH(OFFSET($F$1,1,1,1,1),CProf!$A:$A,0))</f>
        <v>0</v>
      </c>
      <c r="BB2">
        <f ca="1">INDEX(CProf!$C:$C,MATCH(OFFSET($F$1,1,2,1,1),CProf!$A:$A,0))</f>
        <v>0</v>
      </c>
      <c r="BC2">
        <f ca="1">INDEX(CProf!$C:$C,MATCH(OFFSET($F$1,1,3,1,1),CProf!$A:$A,0))</f>
        <v>2</v>
      </c>
    </row>
    <row r="3" spans="1:98" x14ac:dyDescent="0.25">
      <c r="A3" t="s">
        <v>95</v>
      </c>
      <c r="B3" t="s">
        <v>291</v>
      </c>
      <c r="C3" t="s">
        <v>72</v>
      </c>
      <c r="D3">
        <f>COUNTA(G3:AZ3)</f>
        <v>3</v>
      </c>
      <c r="E3">
        <f ca="1">SUM(BA3:CT3)</f>
        <v>2</v>
      </c>
      <c r="F3">
        <f ca="1">COUNTIFS(CCourse!$B:$B,OFFSET($A$1,2,0,1,1),CCourse!$I:$I,3)</f>
        <v>0</v>
      </c>
      <c r="G3" t="s">
        <v>56</v>
      </c>
      <c r="H3" t="s">
        <v>57</v>
      </c>
      <c r="I3" t="s">
        <v>72</v>
      </c>
      <c r="BA3">
        <f ca="1">INDEX(CProf!$C:$C,MATCH(OFFSET($F$1,2,1,1,1),CProf!$A:$A,0))</f>
        <v>0</v>
      </c>
      <c r="BB3">
        <f ca="1">INDEX(CProf!$C:$C,MATCH(OFFSET($F$1,2,2,1,1),CProf!$A:$A,0))</f>
        <v>0</v>
      </c>
      <c r="BC3">
        <f ca="1">INDEX(CProf!$C:$C,MATCH(OFFSET($F$1,2,3,1,1),CProf!$A:$A,0))</f>
        <v>2</v>
      </c>
    </row>
    <row r="4" spans="1:98" x14ac:dyDescent="0.25">
      <c r="A4" t="s">
        <v>95</v>
      </c>
      <c r="B4" t="s">
        <v>368</v>
      </c>
      <c r="C4" t="s">
        <v>72</v>
      </c>
      <c r="D4">
        <f>COUNTA(G4:AZ4)</f>
        <v>3</v>
      </c>
      <c r="E4">
        <f ca="1">SUM(BA4:CT4)</f>
        <v>2</v>
      </c>
      <c r="F4">
        <f ca="1">COUNTIFS(CCourse!$B:$B,OFFSET($A$1,3,0,1,1),CCourse!$I:$I,3)</f>
        <v>0</v>
      </c>
      <c r="G4" t="s">
        <v>56</v>
      </c>
      <c r="H4" t="s">
        <v>57</v>
      </c>
      <c r="I4" t="s">
        <v>72</v>
      </c>
      <c r="BA4">
        <f ca="1">INDEX(CProf!$C:$C,MATCH(OFFSET($F$1,3,1,1,1),CProf!$A:$A,0))</f>
        <v>0</v>
      </c>
      <c r="BB4">
        <f ca="1">INDEX(CProf!$C:$C,MATCH(OFFSET($F$1,3,2,1,1),CProf!$A:$A,0))</f>
        <v>0</v>
      </c>
      <c r="BC4">
        <f ca="1">INDEX(CProf!$C:$C,MATCH(OFFSET($F$1,3,3,1,1),CProf!$A:$A,0))</f>
        <v>2</v>
      </c>
    </row>
    <row r="5" spans="1:98" x14ac:dyDescent="0.25">
      <c r="A5" t="s">
        <v>156</v>
      </c>
      <c r="B5" t="s">
        <v>352</v>
      </c>
      <c r="C5" t="s">
        <v>92</v>
      </c>
      <c r="D5">
        <f>COUNTA(G5:AZ5)</f>
        <v>2</v>
      </c>
      <c r="E5">
        <f ca="1">SUM(BA5:CT5)</f>
        <v>0</v>
      </c>
      <c r="F5">
        <f ca="1">COUNTIFS(CCourse!$B:$B,OFFSET($A$1,4,0,1,1),CCourse!$I:$I,3)</f>
        <v>0</v>
      </c>
      <c r="G5" t="s">
        <v>55</v>
      </c>
      <c r="H5" t="s">
        <v>92</v>
      </c>
      <c r="BA5">
        <f ca="1">INDEX(CProf!$C:$C,MATCH(OFFSET($F$1,4,1,1,1),CProf!$A:$A,0))</f>
        <v>0</v>
      </c>
      <c r="BB5">
        <f ca="1">INDEX(CProf!$C:$C,MATCH(OFFSET($F$1,4,2,1,1),CProf!$A:$A,0))</f>
        <v>0</v>
      </c>
    </row>
    <row r="6" spans="1:98" x14ac:dyDescent="0.25">
      <c r="A6" t="s">
        <v>159</v>
      </c>
      <c r="B6" t="s">
        <v>355</v>
      </c>
      <c r="C6" t="s">
        <v>84</v>
      </c>
      <c r="D6">
        <f>COUNTA(G6:AZ6)</f>
        <v>2</v>
      </c>
      <c r="E6">
        <f ca="1">SUM(BA6:CT6)</f>
        <v>1</v>
      </c>
      <c r="F6">
        <f ca="1">COUNTIFS(CCourse!$B:$B,OFFSET($A$1,5,0,1,1),CCourse!$I:$I,3)</f>
        <v>0</v>
      </c>
      <c r="G6" t="s">
        <v>80</v>
      </c>
      <c r="H6" t="s">
        <v>84</v>
      </c>
      <c r="BA6">
        <f ca="1">INDEX(CProf!$C:$C,MATCH(OFFSET($F$1,5,1,1,1),CProf!$A:$A,0))</f>
        <v>1</v>
      </c>
      <c r="BB6">
        <f ca="1">INDEX(CProf!$C:$C,MATCH(OFFSET($F$1,5,2,1,1),CProf!$A:$A,0))</f>
        <v>0</v>
      </c>
    </row>
    <row r="7" spans="1:98" x14ac:dyDescent="0.25">
      <c r="A7" t="s">
        <v>144</v>
      </c>
      <c r="B7" t="s">
        <v>340</v>
      </c>
      <c r="C7" t="s">
        <v>37</v>
      </c>
      <c r="D7">
        <f>COUNTA(G7:AZ7)</f>
        <v>3</v>
      </c>
      <c r="E7">
        <f ca="1">SUM(BA7:CT7)</f>
        <v>5</v>
      </c>
      <c r="F7">
        <f ca="1">COUNTIFS(CCourse!$B:$B,OFFSET($A$1,6,0,1,1),CCourse!$I:$I,3)</f>
        <v>0</v>
      </c>
      <c r="G7" t="s">
        <v>37</v>
      </c>
      <c r="H7" t="s">
        <v>65</v>
      </c>
      <c r="I7" t="s">
        <v>67</v>
      </c>
      <c r="BA7">
        <f ca="1">INDEX(CProf!$C:$C,MATCH(OFFSET($F$1,6,1,1,1),CProf!$A:$A,0))</f>
        <v>2</v>
      </c>
      <c r="BB7">
        <f ca="1">INDEX(CProf!$C:$C,MATCH(OFFSET($F$1,6,2,1,1),CProf!$A:$A,0))</f>
        <v>0</v>
      </c>
      <c r="BC7">
        <f ca="1">INDEX(CProf!$C:$C,MATCH(OFFSET($F$1,6,3,1,1),CProf!$A:$A,0))</f>
        <v>3</v>
      </c>
    </row>
    <row r="8" spans="1:98" x14ac:dyDescent="0.25">
      <c r="A8" t="s">
        <v>105</v>
      </c>
      <c r="B8" t="s">
        <v>301</v>
      </c>
      <c r="C8" t="s">
        <v>80</v>
      </c>
      <c r="D8">
        <f>COUNTA(G8:AZ8)</f>
        <v>2</v>
      </c>
      <c r="E8">
        <f ca="1">SUM(BA8:CT8)</f>
        <v>2</v>
      </c>
      <c r="F8">
        <f ca="1">COUNTIFS(CCourse!$B:$B,OFFSET($A$1,7,0,1,1),CCourse!$I:$I,3)</f>
        <v>0</v>
      </c>
      <c r="G8" t="s">
        <v>24</v>
      </c>
      <c r="H8" t="s">
        <v>80</v>
      </c>
      <c r="BA8">
        <f ca="1">INDEX(CProf!$C:$C,MATCH(OFFSET($F$1,7,1,1,1),CProf!$A:$A,0))</f>
        <v>1</v>
      </c>
      <c r="BB8">
        <f ca="1">INDEX(CProf!$C:$C,MATCH(OFFSET($F$1,7,2,1,1),CProf!$A:$A,0))</f>
        <v>1</v>
      </c>
    </row>
    <row r="9" spans="1:98" x14ac:dyDescent="0.25">
      <c r="A9" t="s">
        <v>157</v>
      </c>
      <c r="B9" t="s">
        <v>353</v>
      </c>
      <c r="C9" t="s">
        <v>57</v>
      </c>
      <c r="D9">
        <f>COUNTA(G9:AZ9)</f>
        <v>2</v>
      </c>
      <c r="E9">
        <f ca="1">SUM(BA9:CT9)</f>
        <v>1</v>
      </c>
      <c r="F9">
        <f ca="1">COUNTIFS(CCourse!$B:$B,OFFSET($A$1,8,0,1,1),CCourse!$I:$I,3)</f>
        <v>0</v>
      </c>
      <c r="G9" t="s">
        <v>24</v>
      </c>
      <c r="H9" t="s">
        <v>57</v>
      </c>
      <c r="BA9">
        <f ca="1">INDEX(CProf!$C:$C,MATCH(OFFSET($F$1,8,1,1,1),CProf!$A:$A,0))</f>
        <v>1</v>
      </c>
      <c r="BB9">
        <f ca="1">INDEX(CProf!$C:$C,MATCH(OFFSET($F$1,8,2,1,1),CProf!$A:$A,0))</f>
        <v>0</v>
      </c>
    </row>
    <row r="10" spans="1:98" x14ac:dyDescent="0.25">
      <c r="A10" t="s">
        <v>14</v>
      </c>
      <c r="B10" t="s">
        <v>285</v>
      </c>
      <c r="C10" t="s">
        <v>60</v>
      </c>
      <c r="D10">
        <f>COUNTA(G10:AZ10)</f>
        <v>3</v>
      </c>
      <c r="E10">
        <f ca="1">SUM(BA10:CT10)</f>
        <v>3</v>
      </c>
      <c r="F10">
        <f ca="1">COUNTIFS(CCourse!$B:$B,OFFSET($A$1,9,0,1,1),CCourse!$I:$I,3)</f>
        <v>0</v>
      </c>
      <c r="G10" t="s">
        <v>60</v>
      </c>
      <c r="H10" t="s">
        <v>70</v>
      </c>
      <c r="I10" t="s">
        <v>89</v>
      </c>
      <c r="BA10">
        <f ca="1">INDEX(CProf!$C:$C,MATCH(OFFSET($F$1,9,1,1,1),CProf!$A:$A,0))</f>
        <v>0</v>
      </c>
      <c r="BB10">
        <f ca="1">INDEX(CProf!$C:$C,MATCH(OFFSET($F$1,9,2,1,1),CProf!$A:$A,0))</f>
        <v>1</v>
      </c>
      <c r="BC10">
        <f ca="1">INDEX(CProf!$C:$C,MATCH(OFFSET($F$1,9,3,1,1),CProf!$A:$A,0))</f>
        <v>2</v>
      </c>
    </row>
    <row r="11" spans="1:98" x14ac:dyDescent="0.25">
      <c r="A11" t="s">
        <v>113</v>
      </c>
      <c r="B11" t="s">
        <v>309</v>
      </c>
      <c r="C11" t="s">
        <v>29</v>
      </c>
      <c r="D11">
        <f>COUNTA(G11:AZ11)</f>
        <v>2</v>
      </c>
      <c r="E11">
        <f ca="1">SUM(BA11:CT11)</f>
        <v>3</v>
      </c>
      <c r="F11">
        <f ca="1">COUNTIFS(CCourse!$B:$B,OFFSET($A$1,10,0,1,1),CCourse!$I:$I,3)</f>
        <v>0</v>
      </c>
      <c r="G11" t="s">
        <v>29</v>
      </c>
      <c r="H11" t="s">
        <v>74</v>
      </c>
      <c r="BA11">
        <f ca="1">INDEX(CProf!$C:$C,MATCH(OFFSET($F$1,10,1,1,1),CProf!$A:$A,0))</f>
        <v>0</v>
      </c>
      <c r="BB11">
        <f ca="1">INDEX(CProf!$C:$C,MATCH(OFFSET($F$1,10,2,1,1),CProf!$A:$A,0))</f>
        <v>3</v>
      </c>
    </row>
    <row r="12" spans="1:98" x14ac:dyDescent="0.25">
      <c r="A12" t="s">
        <v>97</v>
      </c>
      <c r="B12" t="s">
        <v>293</v>
      </c>
      <c r="C12" t="s">
        <v>60</v>
      </c>
      <c r="D12">
        <f>COUNTA(G12:AZ12)</f>
        <v>2</v>
      </c>
      <c r="E12">
        <f ca="1">SUM(BA12:CT12)</f>
        <v>1</v>
      </c>
      <c r="F12">
        <f ca="1">COUNTIFS(CCourse!$B:$B,OFFSET($A$1,11,0,1,1),CCourse!$I:$I,3)</f>
        <v>0</v>
      </c>
      <c r="G12" t="s">
        <v>60</v>
      </c>
      <c r="H12" t="s">
        <v>78</v>
      </c>
      <c r="BA12">
        <f ca="1">INDEX(CProf!$C:$C,MATCH(OFFSET($F$1,11,1,1,1),CProf!$A:$A,0))</f>
        <v>0</v>
      </c>
      <c r="BB12">
        <f ca="1">INDEX(CProf!$C:$C,MATCH(OFFSET($F$1,11,2,1,1),CProf!$A:$A,0))</f>
        <v>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IProf</vt:lpstr>
      <vt:lpstr>HProf</vt:lpstr>
      <vt:lpstr>ICourse</vt:lpstr>
      <vt:lpstr>InfoPreReq</vt:lpstr>
      <vt:lpstr>OBlock</vt:lpstr>
      <vt:lpstr>OCourse</vt:lpstr>
      <vt:lpstr>OProf</vt:lpstr>
      <vt:lpstr>PrintOut</vt:lpstr>
      <vt:lpstr>CProf</vt:lpstr>
      <vt:lpstr>CCourse</vt:lpstr>
      <vt:lpstr>Candidates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2017-03-18T21:12:24Z</cp:lastPrinted>
  <dcterms:created xsi:type="dcterms:W3CDTF">2017-03-02T15:37:10Z</dcterms:created>
  <dcterms:modified xsi:type="dcterms:W3CDTF">2017-03-30T20:08:57Z</dcterms:modified>
</cp:coreProperties>
</file>