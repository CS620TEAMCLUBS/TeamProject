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23040" windowHeight="9045" tabRatio="685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C$22,Calculator!$D$22,Calculator!$E$22,Calculator!$F$22,Calculator!$G$23,Calculator!$H$23,Calculator!$I$23,Calculator!$J$23,Calculator!$K$24,Calculator!$L$24,Calculator!$M$24,Calculator!$N$24,Calculator!$O$25,Calculator!$P$25,Calculator!$Q$25,Calculator!$R$25,Calculator!$S$26,Calculator!$T$26,Calculator!$U$26,Calculator!$V$26,Calculator!$W$27,Calculator!$X$27,Calculator!$Y$27,Calculator!$Z$27,Calculator!$AA$28,Calculator!$AB$28,Calculator!$AC$28,Calculator!$AD$28,Calculator!$AE$29,Calculator!$AF$29,Calculator!$AG$29,Calculator!$AH$29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Calculator!$C$22</definedName>
    <definedName name="solver_lhs10" localSheetId="5" hidden="1">Calculator!$L$24</definedName>
    <definedName name="solver_lhs11" localSheetId="5" hidden="1">Calculator!$M$24</definedName>
    <definedName name="solver_lhs12" localSheetId="5" hidden="1">Calculator!$K$24</definedName>
    <definedName name="solver_lhs13" localSheetId="5" hidden="1">Calculator!$O$25</definedName>
    <definedName name="solver_lhs14" localSheetId="5" hidden="1">Calculator!$P$25</definedName>
    <definedName name="solver_lhs15" localSheetId="5" hidden="1">Calculator!$Q$25</definedName>
    <definedName name="solver_lhs16" localSheetId="5" hidden="1">Calculator!$O$25</definedName>
    <definedName name="solver_lhs17" localSheetId="5" hidden="1">Calculator!$S$26</definedName>
    <definedName name="solver_lhs18" localSheetId="5" hidden="1">Calculator!$T$26</definedName>
    <definedName name="solver_lhs19" localSheetId="5" hidden="1">Calculator!$U$26</definedName>
    <definedName name="solver_lhs2" localSheetId="5" hidden="1">Calculator!$D$22</definedName>
    <definedName name="solver_lhs20" localSheetId="5" hidden="1">Calculator!$S$26</definedName>
    <definedName name="solver_lhs21" localSheetId="5" hidden="1">Calculator!$W$27</definedName>
    <definedName name="solver_lhs22" localSheetId="5" hidden="1">Calculator!$X$27</definedName>
    <definedName name="solver_lhs23" localSheetId="5" hidden="1">Calculator!$Y$27</definedName>
    <definedName name="solver_lhs24" localSheetId="5" hidden="1">Calculator!$W$27</definedName>
    <definedName name="solver_lhs25" localSheetId="5" hidden="1">Calculator!$AA$28</definedName>
    <definedName name="solver_lhs26" localSheetId="5" hidden="1">Calculator!$AB$28</definedName>
    <definedName name="solver_lhs27" localSheetId="5" hidden="1">Calculator!$AC$28</definedName>
    <definedName name="solver_lhs28" localSheetId="5" hidden="1">Calculator!$AA$28</definedName>
    <definedName name="solver_lhs29" localSheetId="5" hidden="1">Calculator!$AE$29</definedName>
    <definedName name="solver_lhs3" localSheetId="5" hidden="1">Calculator!$E$22</definedName>
    <definedName name="solver_lhs30" localSheetId="5" hidden="1">Calculator!$AF$29</definedName>
    <definedName name="solver_lhs31" localSheetId="5" hidden="1">Calculator!$AG$29</definedName>
    <definedName name="solver_lhs32" localSheetId="5" hidden="1">Calculator!$AE$29</definedName>
    <definedName name="solver_lhs33" localSheetId="5" hidden="1">Calculator!$F$32</definedName>
    <definedName name="solver_lhs34" localSheetId="5" hidden="1">Calculator!$C$35:$AH$35</definedName>
    <definedName name="solver_lhs4" localSheetId="5" hidden="1">Calculator!$C$22</definedName>
    <definedName name="solver_lhs5" localSheetId="5" hidden="1">Calculator!$G$23</definedName>
    <definedName name="solver_lhs6" localSheetId="5" hidden="1">Calculator!$H$23</definedName>
    <definedName name="solver_lhs7" localSheetId="5" hidden="1">Calculator!$I$23</definedName>
    <definedName name="solver_lhs8" localSheetId="5" hidden="1">Calculator!$G$23</definedName>
    <definedName name="solver_lhs9" localSheetId="5" hidden="1">Calculator!$K$24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34</definedName>
    <definedName name="solver_num" localSheetId="1" hidden="1">0</definedName>
    <definedName name="solver_num" localSheetId="3" hidden="1">0</definedName>
    <definedName name="solver_opt" localSheetId="5" hidden="1">Calculator!$C$30</definedName>
    <definedName name="solver_opt" localSheetId="1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5</definedName>
    <definedName name="solver_rel15" localSheetId="5" hidden="1">5</definedName>
    <definedName name="solver_rel16" localSheetId="5" hidden="1">5</definedName>
    <definedName name="solver_rel17" localSheetId="5" hidden="1">5</definedName>
    <definedName name="solver_rel18" localSheetId="5" hidden="1">5</definedName>
    <definedName name="solver_rel19" localSheetId="5" hidden="1">5</definedName>
    <definedName name="solver_rel2" localSheetId="5" hidden="1">5</definedName>
    <definedName name="solver_rel20" localSheetId="5" hidden="1">5</definedName>
    <definedName name="solver_rel21" localSheetId="5" hidden="1">5</definedName>
    <definedName name="solver_rel22" localSheetId="5" hidden="1">5</definedName>
    <definedName name="solver_rel23" localSheetId="5" hidden="1">5</definedName>
    <definedName name="solver_rel24" localSheetId="5" hidden="1">5</definedName>
    <definedName name="solver_rel25" localSheetId="5" hidden="1">5</definedName>
    <definedName name="solver_rel26" localSheetId="5" hidden="1">5</definedName>
    <definedName name="solver_rel27" localSheetId="5" hidden="1">5</definedName>
    <definedName name="solver_rel28" localSheetId="5" hidden="1">5</definedName>
    <definedName name="solver_rel29" localSheetId="5" hidden="1">5</definedName>
    <definedName name="solver_rel3" localSheetId="5" hidden="1">5</definedName>
    <definedName name="solver_rel30" localSheetId="5" hidden="1">5</definedName>
    <definedName name="solver_rel31" localSheetId="5" hidden="1">5</definedName>
    <definedName name="solver_rel32" localSheetId="5" hidden="1">5</definedName>
    <definedName name="solver_rel33" localSheetId="5" hidden="1">3</definedName>
    <definedName name="solver_rel34" localSheetId="5" hidden="1">2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binary</definedName>
    <definedName name="solver_rhs15" localSheetId="5" hidden="1">binary</definedName>
    <definedName name="solver_rhs16" localSheetId="5" hidden="1">binary</definedName>
    <definedName name="solver_rhs17" localSheetId="5" hidden="1">binary</definedName>
    <definedName name="solver_rhs18" localSheetId="5" hidden="1">binary</definedName>
    <definedName name="solver_rhs19" localSheetId="5" hidden="1">binary</definedName>
    <definedName name="solver_rhs2" localSheetId="5" hidden="1">binary</definedName>
    <definedName name="solver_rhs20" localSheetId="5" hidden="1">binary</definedName>
    <definedName name="solver_rhs21" localSheetId="5" hidden="1">binary</definedName>
    <definedName name="solver_rhs22" localSheetId="5" hidden="1">binary</definedName>
    <definedName name="solver_rhs23" localSheetId="5" hidden="1">binary</definedName>
    <definedName name="solver_rhs24" localSheetId="5" hidden="1">binary</definedName>
    <definedName name="solver_rhs25" localSheetId="5" hidden="1">binary</definedName>
    <definedName name="solver_rhs26" localSheetId="5" hidden="1">binary</definedName>
    <definedName name="solver_rhs27" localSheetId="5" hidden="1">binary</definedName>
    <definedName name="solver_rhs28" localSheetId="5" hidden="1">binary</definedName>
    <definedName name="solver_rhs29" localSheetId="5" hidden="1">binary</definedName>
    <definedName name="solver_rhs3" localSheetId="5" hidden="1">binary</definedName>
    <definedName name="solver_rhs30" localSheetId="5" hidden="1">binary</definedName>
    <definedName name="solver_rhs31" localSheetId="5" hidden="1">binary</definedName>
    <definedName name="solver_rhs32" localSheetId="5" hidden="1">binary</definedName>
    <definedName name="solver_rhs33" localSheetId="5" hidden="1">Calculator!$H$32</definedName>
    <definedName name="solver_rhs34" localSheetId="5" hidden="1">Calculator!$C$37:$AH$37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40" i="10" l="1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AI22" i="10"/>
  <c r="AI23" i="10"/>
  <c r="AI24" i="10"/>
  <c r="AI25" i="10"/>
  <c r="AI26" i="10"/>
  <c r="AI27" i="10"/>
  <c r="AI28" i="10"/>
  <c r="AI29" i="10"/>
  <c r="F32" i="10"/>
  <c r="C30" i="10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A10" i="2"/>
  <c r="B10" i="2"/>
  <c r="C10" i="2"/>
  <c r="H10" i="2"/>
  <c r="A9" i="2"/>
  <c r="B9" i="2"/>
  <c r="C9" i="2"/>
  <c r="H9" i="2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<sst xmlns="http://schemas.openxmlformats.org/spreadsheetml/2006/main" count="676" uniqueCount="168">
  <si>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</si>
  <si>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</si>
  <si>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</si>
  <si>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</si>
  <si>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</si>
  <si>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</si>
  <si>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</si>
  <si>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</si>
  <si>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</si>
  <si>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</si>
  <si>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</si>
  <si>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</si>
  <si>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</si>
  <si>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</si>
  <si>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</si>
  <si>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</si>
  <si>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</si>
  <si>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</si>
  <si>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</si>
  <si>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</si>
  <si>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</si>
  <si>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</si>
  <si>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</si>
  <si>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</si>
  <si>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</si>
  <si>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</si>
  <si>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</si>
  <si>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</si>
  <si>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</si>
  <si>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</si>
  <si>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</si>
  <si>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</si>
  <si>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</si>
  <si>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</si>
  <si>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</si>
  <si>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</si>
  <si>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</si>
  <si>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</si>
  <si>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</si>
  <si>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</si>
  <si>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</si>
  <si>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</si>
  <si>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</si>
  <si>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</si>
  <si>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</si>
  <si>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</si>
  <si>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</si>
  <si>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</si>
  <si>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</si>
  <si>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</si>
  <si>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</si>
  <si>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</si>
  <si>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</si>
  <si>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</si>
  <si>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</si>
  <si>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</si>
  <si>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</si>
  <si>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</si>
  <si>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</si>
  <si>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</si>
  <si>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</si>
  <si>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</si>
  <si>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</si>
  <si>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</si>
  <si>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</si>
  <si>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</si>
  <si>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</si>
  <si>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</si>
  <si>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</si>
  <si>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</si>
  <si>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</si>
  <si>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</si>
  <si>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</si>
  <si>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</si>
  <si>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</si>
  <si>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</si>
  <si>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</si>
  <si>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</si>
  <si>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</si>
  <si>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</si>
  <si>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</si>
  <si>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</si>
  <si>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</si>
  <si>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</si>
  <si>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</si>
  <si>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</si>
  <si>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</si>
  <si>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</si>
  <si>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</si>
  <si>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</si>
  <si>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</si>
  <si>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</si>
  <si>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</si>
  <si>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</si>
  <si>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</si>
  <si>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</si>
  <si>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</si>
  <si>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</si>
  <si>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</si>
  <si>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</si>
  <si>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</si>
  <si>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</si>
  <si>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</si>
  <si>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</si>
  <si>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</t>
  </si>
  <si>
    <t>FIN400 300</t>
  </si>
  <si>
    <t>FIN500</t>
  </si>
  <si>
    <t>G, H</t>
  </si>
  <si>
    <t>FIN500 100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</si>
  <si>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</si>
  <si>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</si>
  <si>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</si>
  <si>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</si>
  <si>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</si>
  <si>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</si>
  <si>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</si>
  <si>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</si>
  <si>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</si>
  <si>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</si>
  <si>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</si>
  <si>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</si>
  <si>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FIN100 400</t>
  </si>
  <si>
    <t>FIN200 300</t>
  </si>
  <si>
    <t>FIN200 400</t>
  </si>
  <si>
    <t>FIN300 200</t>
  </si>
  <si>
    <t>FIN300 300</t>
  </si>
  <si>
    <t>FIN300 400</t>
  </si>
  <si>
    <t>P</t>
  </si>
  <si>
    <t>FIN400 100</t>
  </si>
  <si>
    <t>FIN400 200</t>
  </si>
  <si>
    <t>FIN400 400</t>
  </si>
  <si>
    <t>I, J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</si>
  <si>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</si>
  <si>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</si>
  <si>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</si>
  <si>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</si>
  <si>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</si>
  <si>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</si>
  <si>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</si>
  <si>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</si>
  <si>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</si>
  <si>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</si>
  <si>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</si>
  <si>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</si>
  <si>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</si>
  <si>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</si>
  <si>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</si>
  <si>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</si>
  <si>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</si>
  <si>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</si>
  <si>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22_x000D_
CS200 100 - K, L_x000D_
CS300 100 - K, L</t>
  </si>
  <si>
    <t>9_x000D_
FIN300 300 - E, F</t>
  </si>
  <si>
    <t>1_x000D_
FIN200 100 - C, D</t>
  </si>
  <si>
    <t>5_x000D_
FIN100 100 - A, B_x000D_
FIN500 100 - I, J</t>
  </si>
  <si>
    <t>6_x000D_
FIN300 100 - E, F_x000D_
FIN400 100 - G, H</t>
  </si>
  <si>
    <t>8_x000D_
FIN100 400 - A, B</t>
  </si>
  <si>
    <t>10_x000D_
FIN500 300 - I, J</t>
  </si>
  <si>
    <t>11_x000D_
FIN100 200 - A, B_x000D_
FIN400 200 - G, H_x000D_
FIN500 400 - I, J</t>
  </si>
  <si>
    <t>15_x000D_
FIN300 200 - E, F_x000D_
FIN500 200 - I, J</t>
  </si>
  <si>
    <t>16_x000D_
FIN200 300 - C, D_x000D_
FIN400 300 - G, H</t>
  </si>
  <si>
    <t>17_x000D_
FIN400 400 - G, H</t>
  </si>
  <si>
    <t>18_x000D_
FIN200 200 - C, D</t>
  </si>
  <si>
    <t>19_x000D_
FIN200 400 - C, D_x000D_
FIN300 400 - E, F</t>
  </si>
  <si>
    <t>21_x000D_
CS100 100 - K, L_x000D_
CS800 100 - M, N</t>
  </si>
  <si>
    <t>23_x000D_
CS400 100 - K, L_x000D_
CS901 100 - O, P</t>
  </si>
  <si>
    <t>24_x000D_
CS500 100 - M, N_x000D_
CS902 100 - O, P</t>
  </si>
  <si>
    <t>25_x000D_
CS700 100 - M, N_x000D_
CS903 100 - O, P</t>
  </si>
  <si>
    <t>26_x000D_
CS600 100 - M, N_x000D_
CS900 100 - O,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</si>
</sst>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8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229225" y="190500"/>
              <a:ext cx="1371600" cy="70485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S33" totalsRowShown="0" headerRowDxfId="27" dataDxfId="26">
  <autoFilter ref="A1:S33"/>
  <tableColumns count="19">
    <tableColumn id="1" name="GRAD COURSE" dataDxfId="25">
      <calculatedColumnFormula>IF(F2="G", TRUE,FALSE)</calculatedColumnFormula>
    </tableColumn>
    <tableColumn id="2" name="PRE-REQ FLAG" dataDxfId="24">
      <calculatedColumnFormula>IF(ISBLANK(G2),FALSE,TRUE)</calculatedColumnFormula>
    </tableColumn>
    <tableColumn id="3" name="Course Identifier" dataDxfId="23">
      <calculatedColumnFormula>CONCATENATE(D2," ",E2)</calculatedColumnFormula>
    </tableColumn>
    <tableColumn id="4" name="Course ID" dataDxfId="22"/>
    <tableColumn id="5" name="Session ID" dataDxfId="21"/>
    <tableColumn id="6" name="Level" dataDxfId="20"/>
    <tableColumn id="7" name="Pre-req 1" dataDxfId="19"/>
    <tableColumn id="8" name="SESSION_FLAG" dataDxfId="18">
      <calculatedColumnFormula>IF(COUNTIF(Course[Course ID],Course[[#This Row],[Course ID]])&gt;1,"S","")</calculatedColumnFormula>
    </tableColumn>
    <tableColumn id="9" name="Column1" dataDxfId="17"/>
    <tableColumn id="10" name="Column2" dataDxfId="16"/>
    <tableColumn id="11" name="Column3" dataDxfId="15"/>
    <tableColumn id="12" name="Column4" dataDxfId="14"/>
    <tableColumn id="13" name="Column5" dataDxfId="13"/>
    <tableColumn id="14" name="Column6" dataDxfId="12"/>
    <tableColumn id="15" name="Column7" dataDxfId="11"/>
    <tableColumn id="16" name="Column8" dataDxfId="10"/>
    <tableColumn id="17" name="ASSIGNED_FLAG"/>
    <tableColumn id="18" name="BLOCK_ASSIGNED"/>
    <tableColumn id="19" name="PROFESSOR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9" totalsRowShown="0" dataDxfId="8">
  <autoFilter ref="A1:F9"/>
  <tableColumns count="6">
    <tableColumn id="1" name="Name" dataDxfId="7"/>
    <tableColumn id="2" name="Full/Part-time" dataDxfId="6"/>
    <tableColumn id="3" name="Preference_1" dataDxfId="5"/>
    <tableColumn id="4" name="Preference_2" dataDxfId="4"/>
    <tableColumn id="5" name="Preference_3" dataDxfId="3"/>
    <tableColumn id="6" name="Preference_4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tabSelected="1" workbookViewId="0"/>
  </sheetViews>
  <sheetFormatPr defaultRowHeight="15" x14ac:dyDescent="0.25"/>
  <sheetData>
    <row r="1" spans="1:1" x14ac:dyDescent="0.25">
      <c r="A1" s="20" t="s">
        <v>87</v>
      </c>
    </row>
    <row r="2" spans="1:1" x14ac:dyDescent="0.25">
      <c r="A2" s="21" t="s">
        <v>78</v>
      </c>
    </row>
    <row r="3" spans="1:1" x14ac:dyDescent="0.25">
      <c r="A3" s="21" t="s">
        <v>86</v>
      </c>
    </row>
    <row r="4" spans="1:1" x14ac:dyDescent="0.25">
      <c r="A4" s="21" t="s">
        <v>79</v>
      </c>
    </row>
    <row r="5" spans="1:1" x14ac:dyDescent="0.25">
      <c r="A5" s="21" t="s">
        <v>80</v>
      </c>
    </row>
    <row r="6" spans="1:1" x14ac:dyDescent="0.25">
      <c r="A6" s="21" t="s">
        <v>82</v>
      </c>
    </row>
    <row r="7" spans="1:1" x14ac:dyDescent="0.25">
      <c r="A7" s="22" t="s">
        <v>81</v>
      </c>
    </row>
    <row r="8" spans="1:1" x14ac:dyDescent="0.25">
      <c r="A8" s="23" t="s">
        <v>88</v>
      </c>
    </row>
    <row r="9" spans="1:1" x14ac:dyDescent="0.25">
      <c r="A9" s="21" t="s">
        <v>83</v>
      </c>
    </row>
    <row r="10" spans="1:1" x14ac:dyDescent="0.25">
      <c r="A10" s="22" t="s">
        <v>81</v>
      </c>
    </row>
    <row r="11" spans="1:1" x14ac:dyDescent="0.25">
      <c r="A11" s="23" t="s">
        <v>89</v>
      </c>
    </row>
    <row r="12" spans="1:1" x14ac:dyDescent="0.25">
      <c r="A12" s="23" t="s">
        <v>84</v>
      </c>
    </row>
    <row r="13" spans="1:1" x14ac:dyDescent="0.25">
      <c r="A13" s="23" t="s">
        <v>85</v>
      </c>
    </row>
    <row r="14" spans="1:1" x14ac:dyDescent="0.25">
      <c r="A14" s="21" t="s">
        <v>100</v>
      </c>
    </row>
    <row r="15" spans="1:1" x14ac:dyDescent="0.25">
      <c r="A15" s="21" t="s">
        <v>101</v>
      </c>
    </row>
    <row r="16" spans="1:1" x14ac:dyDescent="0.25">
      <c r="A16" s="21" t="s">
        <v>102</v>
      </c>
    </row>
    <row r="17" spans="1:1" x14ac:dyDescent="0.25">
      <c r="A17" s="21" t="s">
        <v>103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117"/>
  <sheetViews>
    <sheetView zoomScaleNormal="100" zoomScalePageLayoutView="115" workbookViewId="0">
      <pane ySplit="1" topLeftCell="A2" activePane="bottomLeft" state="frozen"/>
      <selection activeCell="F22" sqref="F22"/>
      <selection pane="bottomLeft" activeCell="D1" sqref="D1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7109375" style="2" hidden="1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6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7" t="s">
        <v>32</v>
      </c>
      <c r="B1" s="7" t="s">
        <v>31</v>
      </c>
      <c r="C1" s="7" t="s">
        <v>36</v>
      </c>
      <c r="D1" s="8" t="s">
        <v>6</v>
      </c>
      <c r="E1" s="7" t="s">
        <v>7</v>
      </c>
      <c r="F1" s="7" t="s">
        <v>8</v>
      </c>
      <c r="G1" s="7" t="s">
        <v>9</v>
      </c>
      <c r="H1" s="7" t="s">
        <v>35</v>
      </c>
      <c r="I1" s="7" t="s">
        <v>57</v>
      </c>
      <c r="J1" s="7" t="s">
        <v>58</v>
      </c>
      <c r="K1" s="7" t="s">
        <v>59</v>
      </c>
      <c r="L1" s="7" t="s">
        <v>60</v>
      </c>
      <c r="M1" s="7" t="s">
        <v>61</v>
      </c>
      <c r="N1" s="7" t="s">
        <v>62</v>
      </c>
      <c r="O1" s="7" t="s">
        <v>63</v>
      </c>
      <c r="P1" s="7" t="s">
        <v>64</v>
      </c>
      <c r="Q1" t="s">
        <v>73</v>
      </c>
      <c r="R1" t="s">
        <v>74</v>
      </c>
      <c r="S1" s="11" t="s">
        <v>37</v>
      </c>
      <c r="Z1"/>
      <c r="AA1"/>
      <c r="AB1"/>
    </row>
    <row r="2" spans="1:28" x14ac:dyDescent="0.25">
      <c r="A2" s="10" t="b">
        <f t="shared" ref="A2:A8" si="0">IF(F2="G", TRUE,FALSE)</f>
        <v>0</v>
      </c>
      <c r="B2" s="10" t="b">
        <f t="shared" ref="B2:B8" si="1">IF(ISBLANK(G2),FALSE,TRUE)</f>
        <v>0</v>
      </c>
      <c r="C2" s="9" t="str">
        <f>CONCATENATE(D2," ",E2)</f>
        <v>FIN100 100</v>
      </c>
      <c r="D2" s="14" t="s">
        <v>33</v>
      </c>
      <c r="E2" s="14">
        <v>100</v>
      </c>
      <c r="F2" s="15" t="s">
        <v>15</v>
      </c>
      <c r="G2" s="15"/>
      <c r="H2" s="10" t="str">
        <f>IF(COUNTIF(Course[Course ID],Course[[#This Row],[Course ID]])&gt;1,"S","")</f>
        <v>S</v>
      </c>
      <c r="I2" s="9"/>
      <c r="J2" s="9"/>
      <c r="K2" s="9"/>
      <c r="L2" s="9"/>
      <c r="M2" s="9"/>
      <c r="N2" s="9"/>
      <c r="O2" s="9"/>
      <c r="P2" s="9"/>
      <c r="Q2" t="b">
        <v>1</v>
      </c>
      <c r="R2">
        <v>5</v>
      </c>
      <c r="S2" s="9" t="s">
        <v>10</v>
      </c>
      <c r="Z2" s="19"/>
      <c r="AA2"/>
      <c r="AB2"/>
    </row>
    <row r="3" spans="1:28" x14ac:dyDescent="0.25">
      <c r="A3" s="10" t="b">
        <f t="shared" si="0"/>
        <v>0</v>
      </c>
      <c r="B3" s="10" t="b">
        <f t="shared" si="1"/>
        <v>0</v>
      </c>
      <c r="C3" s="9" t="str">
        <f t="shared" ref="C3:C7" si="2">CONCATENATE(D3," ",E3)</f>
        <v>FIN100 200</v>
      </c>
      <c r="D3" s="14" t="s">
        <v>33</v>
      </c>
      <c r="E3" s="14">
        <v>200</v>
      </c>
      <c r="F3" s="15" t="s">
        <v>15</v>
      </c>
      <c r="G3" s="15"/>
      <c r="H3" s="10" t="str">
        <f>IF(COUNTIF(Course[Course ID],Course[[#This Row],[Course ID]])&gt;1,"S","")</f>
        <v>S</v>
      </c>
      <c r="I3" s="9"/>
      <c r="J3" s="9"/>
      <c r="K3" s="9"/>
      <c r="L3" s="9"/>
      <c r="M3" s="9"/>
      <c r="N3" s="9"/>
      <c r="O3" s="9"/>
      <c r="P3" s="9"/>
      <c r="Q3" t="b">
        <v>1</v>
      </c>
      <c r="R3">
        <v>11</v>
      </c>
      <c r="S3" s="9" t="s">
        <v>10</v>
      </c>
      <c r="Z3" s="19"/>
      <c r="AA3"/>
      <c r="AB3"/>
    </row>
    <row r="4" spans="1:28" x14ac:dyDescent="0.25">
      <c r="A4" s="10" t="b">
        <f t="shared" si="0"/>
        <v>0</v>
      </c>
      <c r="B4" s="10" t="b">
        <f t="shared" si="1"/>
        <v>0</v>
      </c>
      <c r="C4" s="9" t="str">
        <f t="shared" si="2"/>
        <v>FIN100 300</v>
      </c>
      <c r="D4" s="14" t="s">
        <v>33</v>
      </c>
      <c r="E4" s="14">
        <v>300</v>
      </c>
      <c r="F4" s="15" t="s">
        <v>15</v>
      </c>
      <c r="G4" s="15"/>
      <c r="H4" s="10" t="str">
        <f>IF(COUNTIF(Course[Course ID],Course[[#This Row],[Course ID]])&gt;1,"S","")</f>
        <v>S</v>
      </c>
      <c r="I4" s="9"/>
      <c r="J4" s="9"/>
      <c r="K4" s="9"/>
      <c r="L4" s="9"/>
      <c r="M4" s="9"/>
      <c r="N4" s="9"/>
      <c r="O4" s="9"/>
      <c r="P4" s="9"/>
      <c r="Q4" t="b">
        <v>1</v>
      </c>
      <c r="R4">
        <v>20</v>
      </c>
      <c r="S4" s="9" t="s">
        <v>10</v>
      </c>
      <c r="Z4" s="19"/>
      <c r="AA4"/>
      <c r="AB4"/>
    </row>
    <row r="5" spans="1:28" x14ac:dyDescent="0.25">
      <c r="A5" s="10" t="b">
        <f t="shared" si="0"/>
        <v>0</v>
      </c>
      <c r="B5" s="10" t="b">
        <f t="shared" si="1"/>
        <v>0</v>
      </c>
      <c r="C5" s="9" t="str">
        <f t="shared" si="2"/>
        <v>FIN100 400</v>
      </c>
      <c r="D5" s="14" t="s">
        <v>33</v>
      </c>
      <c r="E5" s="14">
        <v>400</v>
      </c>
      <c r="F5" s="15" t="s">
        <v>15</v>
      </c>
      <c r="G5" s="15"/>
      <c r="H5" s="10" t="str">
        <f>IF(COUNTIF(Course[Course ID],Course[[#This Row],[Course ID]])&gt;1,"S","")</f>
        <v>S</v>
      </c>
      <c r="I5" s="9"/>
      <c r="J5" s="9"/>
      <c r="K5" s="9"/>
      <c r="L5" s="9"/>
      <c r="M5" s="9"/>
      <c r="N5" s="9"/>
      <c r="O5" s="9"/>
      <c r="P5" s="9"/>
      <c r="Q5" t="b">
        <v>1</v>
      </c>
      <c r="R5">
        <v>8</v>
      </c>
      <c r="S5" s="9" t="s">
        <v>10</v>
      </c>
      <c r="Z5"/>
      <c r="AA5"/>
      <c r="AB5"/>
    </row>
    <row r="6" spans="1:28" x14ac:dyDescent="0.25">
      <c r="A6" s="10" t="b">
        <f t="shared" si="0"/>
        <v>0</v>
      </c>
      <c r="B6" s="10" t="b">
        <f t="shared" si="1"/>
        <v>0</v>
      </c>
      <c r="C6" s="9" t="str">
        <f t="shared" si="2"/>
        <v>FIN200 100</v>
      </c>
      <c r="D6" s="14" t="s">
        <v>34</v>
      </c>
      <c r="E6" s="14">
        <v>100</v>
      </c>
      <c r="F6" s="15" t="s">
        <v>15</v>
      </c>
      <c r="G6" s="15"/>
      <c r="H6" s="10" t="str">
        <f>IF(COUNTIF(Course[Course ID],Course[[#This Row],[Course ID]])&gt;1,"S","")</f>
        <v>S</v>
      </c>
      <c r="I6" s="9"/>
      <c r="J6" s="9"/>
      <c r="K6" s="9"/>
      <c r="L6" s="9"/>
      <c r="M6" s="9"/>
      <c r="N6" s="9"/>
      <c r="O6" s="9"/>
      <c r="P6" s="9"/>
      <c r="Q6" t="b">
        <v>1</v>
      </c>
      <c r="R6">
        <v>1</v>
      </c>
      <c r="S6" s="9" t="s">
        <v>11</v>
      </c>
      <c r="Z6"/>
      <c r="AA6"/>
      <c r="AB6"/>
    </row>
    <row r="7" spans="1:28" x14ac:dyDescent="0.25">
      <c r="A7" s="10" t="b">
        <f t="shared" si="0"/>
        <v>0</v>
      </c>
      <c r="B7" s="10" t="b">
        <f t="shared" si="1"/>
        <v>0</v>
      </c>
      <c r="C7" s="9" t="str">
        <f t="shared" si="2"/>
        <v>FIN200 200</v>
      </c>
      <c r="D7" s="14" t="s">
        <v>34</v>
      </c>
      <c r="E7" s="14">
        <v>200</v>
      </c>
      <c r="F7" s="15" t="s">
        <v>15</v>
      </c>
      <c r="G7" s="15"/>
      <c r="H7" s="10" t="str">
        <f>IF(COUNTIF(Course[Course ID],Course[[#This Row],[Course ID]])&gt;1,"S","")</f>
        <v>S</v>
      </c>
      <c r="I7" s="9"/>
      <c r="J7" s="9"/>
      <c r="K7" s="9"/>
      <c r="L7" s="9"/>
      <c r="M7" s="9"/>
      <c r="N7" s="9"/>
      <c r="O7" s="9"/>
      <c r="P7" s="9"/>
      <c r="Q7" t="b">
        <v>1</v>
      </c>
      <c r="R7">
        <v>18</v>
      </c>
      <c r="S7" s="9" t="s">
        <v>11</v>
      </c>
      <c r="Z7"/>
      <c r="AA7"/>
      <c r="AB7"/>
    </row>
    <row r="8" spans="1:28" s="3" customFormat="1" x14ac:dyDescent="0.25">
      <c r="A8" s="12" t="b">
        <f t="shared" si="0"/>
        <v>0</v>
      </c>
      <c r="B8" s="12" t="b">
        <f t="shared" si="1"/>
        <v>0</v>
      </c>
      <c r="C8" s="13" t="str">
        <f>CONCATENATE(D8," ",E8)</f>
        <v>FIN200 300</v>
      </c>
      <c r="D8" s="16" t="s">
        <v>34</v>
      </c>
      <c r="E8" s="16">
        <v>300</v>
      </c>
      <c r="F8" s="17" t="s">
        <v>15</v>
      </c>
      <c r="G8" s="17"/>
      <c r="H8" s="12" t="str">
        <f>IF(COUNTIF(Course[Course ID],Course[[#This Row],[Course ID]])&gt;1,"S","")</f>
        <v>S</v>
      </c>
      <c r="I8" s="13"/>
      <c r="J8" s="13"/>
      <c r="K8" s="13"/>
      <c r="L8" s="13"/>
      <c r="M8" s="13"/>
      <c r="N8" s="13"/>
      <c r="O8" s="13"/>
      <c r="P8" s="13"/>
      <c r="Q8" t="b">
        <v>1</v>
      </c>
      <c r="R8">
        <v>16</v>
      </c>
      <c r="S8" s="13" t="s">
        <v>11</v>
      </c>
      <c r="Z8"/>
      <c r="AA8"/>
      <c r="AB8"/>
    </row>
    <row r="9" spans="1:28" s="3" customFormat="1" x14ac:dyDescent="0.25">
      <c r="A9" s="41" t="b">
        <f>IF(F9="G", TRUE,FALSE)</f>
        <v>0</v>
      </c>
      <c r="B9" s="41" t="b">
        <f>IF(ISBLANK(G9),FALSE,TRUE)</f>
        <v>0</v>
      </c>
      <c r="C9" s="13" t="str">
        <f>CONCATENATE(D9," ",E9)</f>
        <v>FIN200 400</v>
      </c>
      <c r="D9" s="16" t="s">
        <v>34</v>
      </c>
      <c r="E9" s="16">
        <v>400</v>
      </c>
      <c r="F9" s="17" t="s">
        <v>15</v>
      </c>
      <c r="G9" s="17"/>
      <c r="H9" s="41" t="str">
        <f>IF(COUNTIF(Course[Course ID],Course[[#This Row],[Course ID]])&gt;1,"S","")</f>
        <v>S</v>
      </c>
      <c r="I9" s="13"/>
      <c r="J9" s="13"/>
      <c r="K9" s="13"/>
      <c r="L9" s="13"/>
      <c r="M9" s="13"/>
      <c r="N9" s="13"/>
      <c r="O9" s="13"/>
      <c r="P9" s="13"/>
      <c r="Q9" t="b">
        <v>1</v>
      </c>
      <c r="R9">
        <v>19</v>
      </c>
      <c r="S9" s="13" t="s">
        <v>11</v>
      </c>
      <c r="Z9"/>
      <c r="AA9"/>
      <c r="AB9"/>
    </row>
    <row r="10" spans="1:28" x14ac:dyDescent="0.25">
      <c r="A10" s="42" t="b">
        <f>IF(F10="G", TRUE,FALSE)</f>
        <v>0</v>
      </c>
      <c r="B10" s="42" t="b">
        <f>IF(ISBLANK(G10),FALSE,TRUE)</f>
        <v>1</v>
      </c>
      <c r="C10" s="9" t="str">
        <f>CONCATENATE(D10," ",E10)</f>
        <v>FIN300 100</v>
      </c>
      <c r="D10" s="14" t="s">
        <v>66</v>
      </c>
      <c r="E10" s="14">
        <v>100</v>
      </c>
      <c r="F10" s="15" t="s">
        <v>15</v>
      </c>
      <c r="G10" s="15" t="s">
        <v>33</v>
      </c>
      <c r="H10" s="42" t="str">
        <f>IF(COUNTIF(Course[Course ID],Course[[#This Row],[Course ID]])&gt;1,"S","")</f>
        <v>S</v>
      </c>
      <c r="I10" s="9"/>
      <c r="J10" s="9"/>
      <c r="K10" s="9"/>
      <c r="L10" s="9"/>
      <c r="M10" s="9"/>
      <c r="N10" s="9"/>
      <c r="O10" s="9"/>
      <c r="P10" s="9"/>
      <c r="Q10" t="b">
        <v>1</v>
      </c>
      <c r="R10">
        <v>6</v>
      </c>
      <c r="S10" s="9" t="s">
        <v>12</v>
      </c>
      <c r="Z10"/>
      <c r="AA10"/>
      <c r="AB10"/>
    </row>
    <row r="11" spans="1:28" s="3" customFormat="1" x14ac:dyDescent="0.25">
      <c r="A11" s="41" t="b">
        <f t="shared" ref="A11:A33" si="3">IF(F11="G", TRUE,FALSE)</f>
        <v>0</v>
      </c>
      <c r="B11" s="41" t="b">
        <f t="shared" ref="B11:B33" si="4">IF(ISBLANK(G11),FALSE,TRUE)</f>
        <v>1</v>
      </c>
      <c r="C11" s="13" t="str">
        <f t="shared" ref="C11:C33" si="5">CONCATENATE(D11," ",E11)</f>
        <v>FIN300 200</v>
      </c>
      <c r="D11" s="16" t="s">
        <v>66</v>
      </c>
      <c r="E11" s="16">
        <v>200</v>
      </c>
      <c r="F11" s="17" t="s">
        <v>15</v>
      </c>
      <c r="G11" s="17" t="s">
        <v>33</v>
      </c>
      <c r="H11" s="41" t="str">
        <f>IF(COUNTIF(Course[Course ID],Course[[#This Row],[Course ID]])&gt;1,"S","")</f>
        <v>S</v>
      </c>
      <c r="I11" s="13"/>
      <c r="J11" s="13"/>
      <c r="K11" s="13"/>
      <c r="L11" s="13"/>
      <c r="M11" s="13"/>
      <c r="N11" s="13"/>
      <c r="O11" s="13"/>
      <c r="P11" s="13"/>
      <c r="Q11" t="b">
        <v>1</v>
      </c>
      <c r="R11">
        <v>15</v>
      </c>
      <c r="S11" s="13" t="s">
        <v>12</v>
      </c>
      <c r="Z11"/>
      <c r="AA11"/>
      <c r="AB11"/>
    </row>
    <row r="12" spans="1:28" s="3" customFormat="1" x14ac:dyDescent="0.25">
      <c r="A12" s="41" t="b">
        <f t="shared" si="3"/>
        <v>0</v>
      </c>
      <c r="B12" s="41" t="b">
        <f t="shared" si="4"/>
        <v>1</v>
      </c>
      <c r="C12" s="13" t="str">
        <f t="shared" si="5"/>
        <v>FIN300 300</v>
      </c>
      <c r="D12" s="16" t="s">
        <v>66</v>
      </c>
      <c r="E12" s="16">
        <v>300</v>
      </c>
      <c r="F12" s="17" t="s">
        <v>15</v>
      </c>
      <c r="G12" s="17" t="s">
        <v>33</v>
      </c>
      <c r="H12" s="41" t="str">
        <f>IF(COUNTIF(Course[Course ID],Course[[#This Row],[Course ID]])&gt;1,"S","")</f>
        <v>S</v>
      </c>
      <c r="I12" s="13"/>
      <c r="J12" s="13"/>
      <c r="K12" s="13"/>
      <c r="L12" s="13"/>
      <c r="M12" s="13"/>
      <c r="N12" s="13"/>
      <c r="O12" s="13"/>
      <c r="P12" s="13"/>
      <c r="Q12" t="b">
        <v>1</v>
      </c>
      <c r="R12">
        <v>9</v>
      </c>
      <c r="S12" s="13" t="s">
        <v>12</v>
      </c>
      <c r="Z12"/>
      <c r="AA12"/>
      <c r="AB12"/>
    </row>
    <row r="13" spans="1:28" x14ac:dyDescent="0.25">
      <c r="A13" s="42" t="b">
        <f t="shared" si="3"/>
        <v>0</v>
      </c>
      <c r="B13" s="42" t="b">
        <f t="shared" si="4"/>
        <v>1</v>
      </c>
      <c r="C13" s="9" t="str">
        <f t="shared" si="5"/>
        <v>FIN300 400</v>
      </c>
      <c r="D13" s="14" t="s">
        <v>66</v>
      </c>
      <c r="E13" s="14">
        <v>400</v>
      </c>
      <c r="F13" s="15" t="s">
        <v>15</v>
      </c>
      <c r="G13" s="15" t="s">
        <v>33</v>
      </c>
      <c r="H13" s="42" t="str">
        <f>IF(COUNTIF(Course[Course ID],Course[[#This Row],[Course ID]])&gt;1,"S","")</f>
        <v>S</v>
      </c>
      <c r="I13" s="9"/>
      <c r="J13" s="9"/>
      <c r="K13" s="9"/>
      <c r="L13" s="9"/>
      <c r="M13" s="9"/>
      <c r="N13" s="9"/>
      <c r="O13" s="9"/>
      <c r="P13" s="9"/>
      <c r="Q13" t="b">
        <v>1</v>
      </c>
      <c r="R13">
        <v>19</v>
      </c>
      <c r="S13" s="9" t="s">
        <v>12</v>
      </c>
      <c r="Z13"/>
      <c r="AA13"/>
      <c r="AB13"/>
    </row>
    <row r="14" spans="1:28" x14ac:dyDescent="0.25">
      <c r="A14" s="42" t="b">
        <f t="shared" si="3"/>
        <v>0</v>
      </c>
      <c r="B14" s="42" t="b">
        <f t="shared" si="4"/>
        <v>0</v>
      </c>
      <c r="C14" s="9" t="str">
        <f t="shared" si="5"/>
        <v>FIN400 100</v>
      </c>
      <c r="D14" s="14" t="s">
        <v>104</v>
      </c>
      <c r="E14" s="14">
        <v>100</v>
      </c>
      <c r="F14" s="15" t="s">
        <v>15</v>
      </c>
      <c r="G14" s="15"/>
      <c r="H14" s="42" t="str">
        <f>IF(COUNTIF(Course[Course ID],Course[[#This Row],[Course ID]])&gt;1,"S","")</f>
        <v>S</v>
      </c>
      <c r="I14" s="9"/>
      <c r="J14" s="9"/>
      <c r="K14" s="9"/>
      <c r="L14" s="9"/>
      <c r="M14" s="9"/>
      <c r="N14" s="9"/>
      <c r="O14" s="9"/>
      <c r="P14" s="9"/>
      <c r="Q14" t="b">
        <v>1</v>
      </c>
      <c r="R14">
        <v>6</v>
      </c>
      <c r="S14" s="9" t="s">
        <v>107</v>
      </c>
      <c r="Z14"/>
      <c r="AA14"/>
      <c r="AB14"/>
    </row>
    <row r="15" spans="1:28" s="3" customFormat="1" x14ac:dyDescent="0.25">
      <c r="A15" s="41" t="b">
        <f t="shared" si="3"/>
        <v>0</v>
      </c>
      <c r="B15" s="41" t="b">
        <f t="shared" si="4"/>
        <v>0</v>
      </c>
      <c r="C15" s="13" t="str">
        <f t="shared" si="5"/>
        <v>FIN400 200</v>
      </c>
      <c r="D15" s="16" t="s">
        <v>104</v>
      </c>
      <c r="E15" s="16">
        <v>200</v>
      </c>
      <c r="F15" s="17" t="s">
        <v>15</v>
      </c>
      <c r="G15" s="17"/>
      <c r="H15" s="41" t="str">
        <f>IF(COUNTIF(Course[Course ID],Course[[#This Row],[Course ID]])&gt;1,"S","")</f>
        <v>S</v>
      </c>
      <c r="I15" s="13"/>
      <c r="J15" s="13"/>
      <c r="K15" s="13"/>
      <c r="L15" s="13"/>
      <c r="M15" s="13"/>
      <c r="N15" s="13"/>
      <c r="O15" s="13"/>
      <c r="P15" s="13"/>
      <c r="Q15" t="b">
        <v>1</v>
      </c>
      <c r="R15">
        <v>11</v>
      </c>
      <c r="S15" s="13" t="s">
        <v>107</v>
      </c>
      <c r="Z15"/>
      <c r="AA15"/>
      <c r="AB15"/>
    </row>
    <row r="16" spans="1:28" s="3" customFormat="1" x14ac:dyDescent="0.25">
      <c r="A16" s="41" t="b">
        <f t="shared" si="3"/>
        <v>0</v>
      </c>
      <c r="B16" s="41" t="b">
        <f t="shared" si="4"/>
        <v>0</v>
      </c>
      <c r="C16" s="13" t="str">
        <f t="shared" si="5"/>
        <v>FIN400 300</v>
      </c>
      <c r="D16" s="16" t="s">
        <v>104</v>
      </c>
      <c r="E16" s="16">
        <v>300</v>
      </c>
      <c r="F16" s="17" t="s">
        <v>15</v>
      </c>
      <c r="G16" s="17"/>
      <c r="H16" s="41" t="str">
        <f>IF(COUNTIF(Course[Course ID],Course[[#This Row],[Course ID]])&gt;1,"S","")</f>
        <v>S</v>
      </c>
      <c r="I16" s="13"/>
      <c r="J16" s="13"/>
      <c r="K16" s="13"/>
      <c r="L16" s="13"/>
      <c r="M16" s="13"/>
      <c r="N16" s="13"/>
      <c r="O16" s="13"/>
      <c r="P16" s="13"/>
      <c r="Q16" t="b">
        <v>1</v>
      </c>
      <c r="R16">
        <v>16</v>
      </c>
      <c r="S16" s="13" t="s">
        <v>107</v>
      </c>
      <c r="Z16"/>
      <c r="AA16"/>
      <c r="AB16"/>
    </row>
    <row r="17" spans="1:28" x14ac:dyDescent="0.25">
      <c r="A17" s="42" t="b">
        <f t="shared" si="3"/>
        <v>0</v>
      </c>
      <c r="B17" s="42" t="b">
        <f t="shared" si="4"/>
        <v>0</v>
      </c>
      <c r="C17" s="9" t="str">
        <f t="shared" si="5"/>
        <v>FIN400 400</v>
      </c>
      <c r="D17" s="14" t="s">
        <v>104</v>
      </c>
      <c r="E17" s="14">
        <v>400</v>
      </c>
      <c r="F17" s="15" t="s">
        <v>15</v>
      </c>
      <c r="G17" s="15"/>
      <c r="H17" s="42" t="str">
        <f>IF(COUNTIF(Course[Course ID],Course[[#This Row],[Course ID]])&gt;1,"S","")</f>
        <v>S</v>
      </c>
      <c r="I17" s="9"/>
      <c r="J17" s="9"/>
      <c r="K17" s="9"/>
      <c r="L17" s="9"/>
      <c r="M17" s="9"/>
      <c r="N17" s="9"/>
      <c r="O17" s="9"/>
      <c r="P17" s="9"/>
      <c r="Q17" t="b">
        <v>1</v>
      </c>
      <c r="R17">
        <v>17</v>
      </c>
      <c r="S17" s="9" t="s">
        <v>107</v>
      </c>
      <c r="Z17"/>
      <c r="AA17"/>
      <c r="AB17"/>
    </row>
    <row r="18" spans="1:28" x14ac:dyDescent="0.25">
      <c r="A18" s="42" t="b">
        <f t="shared" si="3"/>
        <v>0</v>
      </c>
      <c r="B18" s="42" t="b">
        <f t="shared" si="4"/>
        <v>1</v>
      </c>
      <c r="C18" s="9" t="str">
        <f t="shared" si="5"/>
        <v>FIN500 100</v>
      </c>
      <c r="D18" s="14" t="s">
        <v>106</v>
      </c>
      <c r="E18" s="14">
        <v>100</v>
      </c>
      <c r="F18" s="15" t="s">
        <v>15</v>
      </c>
      <c r="G18" s="15" t="s">
        <v>66</v>
      </c>
      <c r="H18" s="42" t="str">
        <f>IF(COUNTIF(Course[Course ID],Course[[#This Row],[Course ID]])&gt;1,"S","")</f>
        <v>S</v>
      </c>
      <c r="I18" s="9"/>
      <c r="J18" s="9"/>
      <c r="K18" s="9"/>
      <c r="L18" s="9"/>
      <c r="M18" s="9"/>
      <c r="N18" s="9"/>
      <c r="O18" s="9"/>
      <c r="P18" s="9"/>
      <c r="Q18" t="b">
        <v>1</v>
      </c>
      <c r="R18">
        <v>5</v>
      </c>
      <c r="S18" s="9" t="s">
        <v>131</v>
      </c>
      <c r="Z18"/>
      <c r="AA18"/>
      <c r="AB18"/>
    </row>
    <row r="19" spans="1:28" x14ac:dyDescent="0.25">
      <c r="A19" s="42" t="b">
        <f t="shared" si="3"/>
        <v>0</v>
      </c>
      <c r="B19" s="42" t="b">
        <f t="shared" si="4"/>
        <v>1</v>
      </c>
      <c r="C19" s="9" t="str">
        <f t="shared" si="5"/>
        <v>FIN500 200</v>
      </c>
      <c r="D19" s="14" t="s">
        <v>106</v>
      </c>
      <c r="E19" s="14">
        <v>200</v>
      </c>
      <c r="F19" s="15" t="s">
        <v>15</v>
      </c>
      <c r="G19" s="15" t="s">
        <v>66</v>
      </c>
      <c r="H19" s="42" t="str">
        <f>IF(COUNTIF(Course[Course ID],Course[[#This Row],[Course ID]])&gt;1,"S","")</f>
        <v>S</v>
      </c>
      <c r="I19" s="9"/>
      <c r="J19" s="9"/>
      <c r="K19" s="9"/>
      <c r="L19" s="9"/>
      <c r="M19" s="9"/>
      <c r="N19" s="9"/>
      <c r="O19" s="9"/>
      <c r="P19" s="9"/>
      <c r="Q19" t="b">
        <v>1</v>
      </c>
      <c r="R19">
        <v>15</v>
      </c>
      <c r="S19" s="9" t="s">
        <v>131</v>
      </c>
    </row>
    <row r="20" spans="1:28" x14ac:dyDescent="0.25">
      <c r="A20" s="42" t="b">
        <f t="shared" si="3"/>
        <v>0</v>
      </c>
      <c r="B20" s="42" t="b">
        <f t="shared" si="4"/>
        <v>1</v>
      </c>
      <c r="C20" s="9" t="str">
        <f t="shared" si="5"/>
        <v>FIN500 300</v>
      </c>
      <c r="D20" s="14" t="s">
        <v>106</v>
      </c>
      <c r="E20" s="14">
        <v>300</v>
      </c>
      <c r="F20" s="15" t="s">
        <v>15</v>
      </c>
      <c r="G20" s="15" t="s">
        <v>66</v>
      </c>
      <c r="H20" s="42" t="str">
        <f>IF(COUNTIF(Course[Course ID],Course[[#This Row],[Course ID]])&gt;1,"S","")</f>
        <v>S</v>
      </c>
      <c r="I20" s="9"/>
      <c r="J20" s="9"/>
      <c r="K20" s="9"/>
      <c r="L20" s="9"/>
      <c r="M20" s="9"/>
      <c r="N20" s="9"/>
      <c r="O20" s="9"/>
      <c r="P20" s="9"/>
      <c r="Q20" t="b">
        <v>1</v>
      </c>
      <c r="R20">
        <v>10</v>
      </c>
      <c r="S20" s="9" t="s">
        <v>131</v>
      </c>
    </row>
    <row r="21" spans="1:28" x14ac:dyDescent="0.25">
      <c r="A21" s="42" t="b">
        <f t="shared" si="3"/>
        <v>0</v>
      </c>
      <c r="B21" s="42" t="b">
        <f t="shared" si="4"/>
        <v>1</v>
      </c>
      <c r="C21" s="9" t="str">
        <f t="shared" si="5"/>
        <v>FIN500 400</v>
      </c>
      <c r="D21" s="14" t="s">
        <v>106</v>
      </c>
      <c r="E21" s="14">
        <v>400</v>
      </c>
      <c r="F21" s="15" t="s">
        <v>15</v>
      </c>
      <c r="G21" s="15" t="s">
        <v>66</v>
      </c>
      <c r="H21" s="42" t="str">
        <f>IF(COUNTIF(Course[Course ID],Course[[#This Row],[Course ID]])&gt;1,"S","")</f>
        <v>S</v>
      </c>
      <c r="I21" s="9"/>
      <c r="J21" s="9"/>
      <c r="K21" s="9"/>
      <c r="L21" s="9"/>
      <c r="M21" s="9"/>
      <c r="N21" s="9"/>
      <c r="O21" s="9"/>
      <c r="P21" s="9"/>
      <c r="Q21" t="b">
        <v>1</v>
      </c>
      <c r="R21">
        <v>11</v>
      </c>
      <c r="S21" s="9" t="s">
        <v>131</v>
      </c>
    </row>
    <row r="22" spans="1:28" x14ac:dyDescent="0.25">
      <c r="A22" s="42" t="b">
        <f t="shared" si="3"/>
        <v>1</v>
      </c>
      <c r="B22" s="42" t="b">
        <f t="shared" si="4"/>
        <v>0</v>
      </c>
      <c r="C22" s="9" t="str">
        <f t="shared" si="5"/>
        <v>CS100 100</v>
      </c>
      <c r="D22" s="14" t="s">
        <v>109</v>
      </c>
      <c r="E22" s="14">
        <v>100</v>
      </c>
      <c r="F22" s="15" t="s">
        <v>16</v>
      </c>
      <c r="G22" s="15"/>
      <c r="H22" s="42" t="str">
        <f>IF(COUNTIF(Course[Course ID],Course[[#This Row],[Course ID]])&gt;1,"S","")</f>
        <v/>
      </c>
      <c r="I22" s="9"/>
      <c r="J22" s="9"/>
      <c r="K22" s="9"/>
      <c r="L22" s="9"/>
      <c r="M22" s="9"/>
      <c r="N22" s="9"/>
      <c r="O22" s="9"/>
      <c r="P22" s="9"/>
      <c r="Q22" t="b">
        <v>1</v>
      </c>
      <c r="R22">
        <v>21</v>
      </c>
      <c r="S22" s="9" t="s">
        <v>135</v>
      </c>
    </row>
    <row r="23" spans="1:28" x14ac:dyDescent="0.25">
      <c r="A23" s="42" t="b">
        <f t="shared" si="3"/>
        <v>1</v>
      </c>
      <c r="B23" s="42" t="b">
        <f t="shared" si="4"/>
        <v>0</v>
      </c>
      <c r="C23" s="9" t="str">
        <f t="shared" si="5"/>
        <v>CS200 100</v>
      </c>
      <c r="D23" s="14" t="s">
        <v>110</v>
      </c>
      <c r="E23" s="14">
        <v>100</v>
      </c>
      <c r="F23" s="15" t="s">
        <v>16</v>
      </c>
      <c r="G23" s="15"/>
      <c r="H23" s="42" t="str">
        <f>IF(COUNTIF(Course[Course ID],Course[[#This Row],[Course ID]])&gt;1,"S","")</f>
        <v/>
      </c>
      <c r="I23" s="9"/>
      <c r="J23" s="9"/>
      <c r="K23" s="9"/>
      <c r="L23" s="9"/>
      <c r="M23" s="9"/>
      <c r="N23" s="9"/>
      <c r="O23" s="9"/>
      <c r="P23" s="9"/>
      <c r="Q23" t="b">
        <v>1</v>
      </c>
      <c r="R23">
        <v>22</v>
      </c>
      <c r="S23" s="9" t="s">
        <v>135</v>
      </c>
    </row>
    <row r="24" spans="1:28" x14ac:dyDescent="0.25">
      <c r="A24" s="42" t="b">
        <f t="shared" si="3"/>
        <v>1</v>
      </c>
      <c r="B24" s="42" t="b">
        <f t="shared" si="4"/>
        <v>0</v>
      </c>
      <c r="C24" s="9" t="str">
        <f t="shared" si="5"/>
        <v>CS300 100</v>
      </c>
      <c r="D24" s="14" t="s">
        <v>111</v>
      </c>
      <c r="E24" s="14">
        <v>100</v>
      </c>
      <c r="F24" s="15" t="s">
        <v>16</v>
      </c>
      <c r="G24" s="15"/>
      <c r="H24" s="42" t="str">
        <f>IF(COUNTIF(Course[Course ID],Course[[#This Row],[Course ID]])&gt;1,"S","")</f>
        <v/>
      </c>
      <c r="I24" s="9"/>
      <c r="J24" s="9"/>
      <c r="K24" s="9"/>
      <c r="L24" s="9"/>
      <c r="M24" s="9"/>
      <c r="N24" s="9"/>
      <c r="O24" s="9"/>
      <c r="P24" s="9"/>
      <c r="Q24" t="b">
        <v>1</v>
      </c>
      <c r="R24">
        <v>22</v>
      </c>
      <c r="S24" s="9" t="s">
        <v>135</v>
      </c>
    </row>
    <row r="25" spans="1:28" x14ac:dyDescent="0.25">
      <c r="A25" s="42" t="b">
        <f t="shared" si="3"/>
        <v>1</v>
      </c>
      <c r="B25" s="42" t="b">
        <f t="shared" si="4"/>
        <v>0</v>
      </c>
      <c r="C25" s="9" t="str">
        <f t="shared" si="5"/>
        <v>CS400 100</v>
      </c>
      <c r="D25" s="14" t="s">
        <v>112</v>
      </c>
      <c r="E25" s="14">
        <v>100</v>
      </c>
      <c r="F25" s="15" t="s">
        <v>16</v>
      </c>
      <c r="G25" s="15"/>
      <c r="H25" s="42" t="str">
        <f>IF(COUNTIF(Course[Course ID],Course[[#This Row],[Course ID]])&gt;1,"S","")</f>
        <v/>
      </c>
      <c r="I25" s="9"/>
      <c r="J25" s="9"/>
      <c r="K25" s="9"/>
      <c r="L25" s="9"/>
      <c r="M25" s="9"/>
      <c r="N25" s="9"/>
      <c r="O25" s="9"/>
      <c r="P25" s="9"/>
      <c r="Q25" t="b">
        <v>1</v>
      </c>
      <c r="R25">
        <v>23</v>
      </c>
      <c r="S25" s="9" t="s">
        <v>135</v>
      </c>
    </row>
    <row r="26" spans="1:28" x14ac:dyDescent="0.25">
      <c r="A26" s="42" t="b">
        <f t="shared" si="3"/>
        <v>1</v>
      </c>
      <c r="B26" s="42" t="b">
        <f t="shared" si="4"/>
        <v>0</v>
      </c>
      <c r="C26" s="9" t="str">
        <f t="shared" si="5"/>
        <v>CS500 100</v>
      </c>
      <c r="D26" s="14" t="s">
        <v>113</v>
      </c>
      <c r="E26" s="14">
        <v>100</v>
      </c>
      <c r="F26" s="15" t="s">
        <v>16</v>
      </c>
      <c r="G26" s="15"/>
      <c r="H26" s="42" t="str">
        <f>IF(COUNTIF(Course[Course ID],Course[[#This Row],[Course ID]])&gt;1,"S","")</f>
        <v/>
      </c>
      <c r="I26" s="9"/>
      <c r="J26" s="9"/>
      <c r="K26" s="9"/>
      <c r="L26" s="9"/>
      <c r="M26" s="9"/>
      <c r="N26" s="9"/>
      <c r="O26" s="9"/>
      <c r="P26" s="9"/>
      <c r="Q26" t="b">
        <v>1</v>
      </c>
      <c r="R26">
        <v>24</v>
      </c>
      <c r="S26" s="9" t="s">
        <v>140</v>
      </c>
    </row>
    <row r="27" spans="1:28" x14ac:dyDescent="0.25">
      <c r="A27" s="42" t="b">
        <f t="shared" si="3"/>
        <v>1</v>
      </c>
      <c r="B27" s="42" t="b">
        <f t="shared" si="4"/>
        <v>0</v>
      </c>
      <c r="C27" s="9" t="str">
        <f t="shared" si="5"/>
        <v>CS600 100</v>
      </c>
      <c r="D27" s="14" t="s">
        <v>114</v>
      </c>
      <c r="E27" s="14">
        <v>100</v>
      </c>
      <c r="F27" s="15" t="s">
        <v>16</v>
      </c>
      <c r="G27" s="15"/>
      <c r="H27" s="42" t="str">
        <f>IF(COUNTIF(Course[Course ID],Course[[#This Row],[Course ID]])&gt;1,"S","")</f>
        <v/>
      </c>
      <c r="I27" s="9"/>
      <c r="J27" s="9"/>
      <c r="K27" s="9"/>
      <c r="L27" s="9"/>
      <c r="M27" s="9"/>
      <c r="N27" s="9"/>
      <c r="O27" s="9"/>
      <c r="P27" s="9"/>
      <c r="Q27" t="b">
        <v>1</v>
      </c>
      <c r="R27">
        <v>26</v>
      </c>
      <c r="S27" s="9" t="s">
        <v>140</v>
      </c>
    </row>
    <row r="28" spans="1:28" x14ac:dyDescent="0.25">
      <c r="A28" s="42" t="b">
        <f t="shared" si="3"/>
        <v>1</v>
      </c>
      <c r="B28" s="42" t="b">
        <f t="shared" si="4"/>
        <v>1</v>
      </c>
      <c r="C28" s="9" t="str">
        <f t="shared" si="5"/>
        <v>CS700 100</v>
      </c>
      <c r="D28" s="14" t="s">
        <v>115</v>
      </c>
      <c r="E28" s="14">
        <v>100</v>
      </c>
      <c r="F28" s="15" t="s">
        <v>16</v>
      </c>
      <c r="G28" s="15" t="s">
        <v>114</v>
      </c>
      <c r="H28" s="42" t="str">
        <f>IF(COUNTIF(Course[Course ID],Course[[#This Row],[Course ID]])&gt;1,"S","")</f>
        <v/>
      </c>
      <c r="I28" s="9"/>
      <c r="J28" s="9"/>
      <c r="K28" s="9"/>
      <c r="L28" s="9"/>
      <c r="M28" s="9"/>
      <c r="N28" s="9"/>
      <c r="O28" s="9"/>
      <c r="P28" s="9"/>
      <c r="Q28" t="b">
        <v>1</v>
      </c>
      <c r="R28">
        <v>25</v>
      </c>
      <c r="S28" s="9" t="s">
        <v>140</v>
      </c>
    </row>
    <row r="29" spans="1:28" x14ac:dyDescent="0.25">
      <c r="A29" s="42" t="b">
        <f t="shared" si="3"/>
        <v>1</v>
      </c>
      <c r="B29" s="42" t="b">
        <f t="shared" si="4"/>
        <v>1</v>
      </c>
      <c r="C29" s="9" t="str">
        <f t="shared" si="5"/>
        <v>CS800 100</v>
      </c>
      <c r="D29" s="14" t="s">
        <v>116</v>
      </c>
      <c r="E29" s="14">
        <v>100</v>
      </c>
      <c r="F29" s="15" t="s">
        <v>16</v>
      </c>
      <c r="G29" s="15" t="s">
        <v>114</v>
      </c>
      <c r="H29" s="42" t="str">
        <f>IF(COUNTIF(Course[Course ID],Course[[#This Row],[Course ID]])&gt;1,"S","")</f>
        <v/>
      </c>
      <c r="I29" s="9"/>
      <c r="J29" s="9"/>
      <c r="K29" s="9"/>
      <c r="L29" s="9"/>
      <c r="M29" s="9"/>
      <c r="N29" s="9"/>
      <c r="O29" s="9"/>
      <c r="P29" s="9"/>
      <c r="Q29" t="b">
        <v>1</v>
      </c>
      <c r="R29">
        <v>21</v>
      </c>
      <c r="S29" s="9" t="s">
        <v>140</v>
      </c>
    </row>
    <row r="30" spans="1:28" x14ac:dyDescent="0.25">
      <c r="A30" s="42" t="b">
        <f t="shared" si="3"/>
        <v>1</v>
      </c>
      <c r="B30" s="42" t="b">
        <f t="shared" si="4"/>
        <v>1</v>
      </c>
      <c r="C30" s="9" t="str">
        <f t="shared" si="5"/>
        <v>CS900 100</v>
      </c>
      <c r="D30" s="14" t="s">
        <v>117</v>
      </c>
      <c r="E30" s="14">
        <v>100</v>
      </c>
      <c r="F30" s="15" t="s">
        <v>16</v>
      </c>
      <c r="G30" s="15" t="s">
        <v>114</v>
      </c>
      <c r="H30" s="42" t="str">
        <f>IF(COUNTIF(Course[Course ID],Course[[#This Row],[Course ID]])&gt;1,"S","")</f>
        <v/>
      </c>
      <c r="I30" s="9"/>
      <c r="J30" s="9"/>
      <c r="K30" s="9"/>
      <c r="L30" s="9"/>
      <c r="M30" s="9"/>
      <c r="N30" s="9"/>
      <c r="O30" s="9"/>
      <c r="P30" s="9"/>
      <c r="Q30" t="b">
        <v>1</v>
      </c>
      <c r="R30">
        <v>26</v>
      </c>
      <c r="S30" s="9" t="s">
        <v>145</v>
      </c>
    </row>
    <row r="31" spans="1:28" x14ac:dyDescent="0.25">
      <c r="A31" s="42" t="b">
        <f t="shared" si="3"/>
        <v>1</v>
      </c>
      <c r="B31" s="42" t="b">
        <f t="shared" si="4"/>
        <v>1</v>
      </c>
      <c r="C31" s="9" t="str">
        <f t="shared" si="5"/>
        <v>CS901 100</v>
      </c>
      <c r="D31" s="14" t="s">
        <v>118</v>
      </c>
      <c r="E31" s="14">
        <v>100</v>
      </c>
      <c r="F31" s="15" t="s">
        <v>16</v>
      </c>
      <c r="G31" s="15" t="s">
        <v>114</v>
      </c>
      <c r="H31" s="42" t="str">
        <f>IF(COUNTIF(Course[Course ID],Course[[#This Row],[Course ID]])&gt;1,"S","")</f>
        <v/>
      </c>
      <c r="I31" s="9"/>
      <c r="J31" s="9"/>
      <c r="K31" s="9"/>
      <c r="L31" s="9"/>
      <c r="M31" s="9"/>
      <c r="N31" s="9"/>
      <c r="O31" s="9"/>
      <c r="P31" s="9"/>
      <c r="Q31" t="b">
        <v>1</v>
      </c>
      <c r="R31">
        <v>23</v>
      </c>
      <c r="S31" s="9" t="s">
        <v>145</v>
      </c>
    </row>
    <row r="32" spans="1:28" x14ac:dyDescent="0.25">
      <c r="A32" s="42" t="b">
        <f t="shared" si="3"/>
        <v>1</v>
      </c>
      <c r="B32" s="42" t="b">
        <f t="shared" si="4"/>
        <v>0</v>
      </c>
      <c r="C32" s="9" t="str">
        <f t="shared" si="5"/>
        <v>CS902 100</v>
      </c>
      <c r="D32" s="14" t="s">
        <v>119</v>
      </c>
      <c r="E32" s="14">
        <v>100</v>
      </c>
      <c r="F32" s="15" t="s">
        <v>16</v>
      </c>
      <c r="G32" s="15"/>
      <c r="H32" s="42" t="str">
        <f>IF(COUNTIF(Course[Course ID],Course[[#This Row],[Course ID]])&gt;1,"S","")</f>
        <v/>
      </c>
      <c r="I32" s="9"/>
      <c r="J32" s="9"/>
      <c r="K32" s="9"/>
      <c r="L32" s="9"/>
      <c r="M32" s="9"/>
      <c r="N32" s="9"/>
      <c r="O32" s="9"/>
      <c r="P32" s="9"/>
      <c r="Q32" t="b">
        <v>1</v>
      </c>
      <c r="R32">
        <v>24</v>
      </c>
      <c r="S32" s="9" t="s">
        <v>145</v>
      </c>
    </row>
    <row r="33" spans="1:19" x14ac:dyDescent="0.25">
      <c r="A33" s="42" t="b">
        <f t="shared" si="3"/>
        <v>1</v>
      </c>
      <c r="B33" s="42" t="b">
        <f t="shared" si="4"/>
        <v>0</v>
      </c>
      <c r="C33" s="9" t="str">
        <f t="shared" si="5"/>
        <v>CS903 100</v>
      </c>
      <c r="D33" s="14" t="s">
        <v>120</v>
      </c>
      <c r="E33" s="14">
        <v>100</v>
      </c>
      <c r="F33" s="15" t="s">
        <v>16</v>
      </c>
      <c r="G33" s="15"/>
      <c r="H33" s="42" t="str">
        <f>IF(COUNTIF(Course[Course ID],Course[[#This Row],[Course ID]])&gt;1,"S","")</f>
        <v/>
      </c>
      <c r="I33" s="9"/>
      <c r="J33" s="9"/>
      <c r="K33" s="9"/>
      <c r="L33" s="9"/>
      <c r="M33" s="9"/>
      <c r="N33" s="9"/>
      <c r="O33" s="9"/>
      <c r="P33" s="9"/>
      <c r="Q33" t="b">
        <v>1</v>
      </c>
      <c r="R33">
        <v>25</v>
      </c>
      <c r="S33" s="9" t="s">
        <v>145</v>
      </c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5"/>
    </row>
    <row r="103" spans="4:5" x14ac:dyDescent="0.25">
      <c r="E103" s="5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47625</xdr:rowOff>
                  </from>
                  <to>
                    <xdr:col>22</xdr:col>
                    <xdr:colOff>209550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95250</xdr:rowOff>
                  </from>
                  <to>
                    <xdr:col>22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9"/>
  <sheetViews>
    <sheetView workbookViewId="0">
      <pane ySplit="1" topLeftCell="A2" activePane="bottomLeft" state="frozen"/>
      <selection activeCell="T20" sqref="T20"/>
      <selection pane="bottomLeft" activeCell="E7" sqref="E7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8" t="s">
        <v>10</v>
      </c>
      <c r="B2" s="18" t="s">
        <v>13</v>
      </c>
      <c r="C2" s="18" t="s">
        <v>38</v>
      </c>
      <c r="D2" s="18" t="s">
        <v>39</v>
      </c>
      <c r="E2" s="18" t="s">
        <v>40</v>
      </c>
      <c r="F2" s="18" t="s">
        <v>121</v>
      </c>
    </row>
    <row r="3" spans="1:6" x14ac:dyDescent="0.25">
      <c r="A3" s="18" t="s">
        <v>11</v>
      </c>
      <c r="B3" s="18" t="s">
        <v>13</v>
      </c>
      <c r="C3" s="18" t="s">
        <v>42</v>
      </c>
      <c r="D3" s="18" t="s">
        <v>41</v>
      </c>
      <c r="E3" s="18" t="s">
        <v>122</v>
      </c>
      <c r="F3" s="18" t="s">
        <v>123</v>
      </c>
    </row>
    <row r="4" spans="1:6" x14ac:dyDescent="0.25">
      <c r="A4" s="18" t="s">
        <v>12</v>
      </c>
      <c r="B4" s="18" t="s">
        <v>13</v>
      </c>
      <c r="C4" s="18" t="s">
        <v>65</v>
      </c>
      <c r="D4" s="18" t="s">
        <v>124</v>
      </c>
      <c r="E4" s="18" t="s">
        <v>125</v>
      </c>
      <c r="F4" s="18" t="s">
        <v>126</v>
      </c>
    </row>
    <row r="5" spans="1:6" x14ac:dyDescent="0.25">
      <c r="A5" s="18" t="s">
        <v>107</v>
      </c>
      <c r="B5" s="18" t="s">
        <v>127</v>
      </c>
      <c r="C5" s="18" t="s">
        <v>128</v>
      </c>
      <c r="D5" s="18" t="s">
        <v>129</v>
      </c>
      <c r="E5" s="18" t="s">
        <v>105</v>
      </c>
      <c r="F5" s="18" t="s">
        <v>130</v>
      </c>
    </row>
    <row r="6" spans="1:6" x14ac:dyDescent="0.25">
      <c r="A6" s="18" t="s">
        <v>131</v>
      </c>
      <c r="B6" s="18" t="s">
        <v>13</v>
      </c>
      <c r="C6" s="18" t="s">
        <v>108</v>
      </c>
      <c r="D6" s="18" t="s">
        <v>132</v>
      </c>
      <c r="E6" s="18" t="s">
        <v>133</v>
      </c>
      <c r="F6" s="18" t="s">
        <v>134</v>
      </c>
    </row>
    <row r="7" spans="1:6" x14ac:dyDescent="0.25">
      <c r="A7" s="18" t="s">
        <v>135</v>
      </c>
      <c r="B7" s="18" t="s">
        <v>13</v>
      </c>
      <c r="C7" s="18" t="s">
        <v>136</v>
      </c>
      <c r="D7" s="18" t="s">
        <v>137</v>
      </c>
      <c r="E7" s="18" t="s">
        <v>138</v>
      </c>
      <c r="F7" s="18" t="s">
        <v>139</v>
      </c>
    </row>
    <row r="8" spans="1:6" x14ac:dyDescent="0.25">
      <c r="A8" s="18" t="s">
        <v>140</v>
      </c>
      <c r="B8" s="18" t="s">
        <v>127</v>
      </c>
      <c r="C8" s="18" t="s">
        <v>141</v>
      </c>
      <c r="D8" s="18" t="s">
        <v>142</v>
      </c>
      <c r="E8" s="18" t="s">
        <v>143</v>
      </c>
      <c r="F8" s="18" t="s">
        <v>144</v>
      </c>
    </row>
    <row r="9" spans="1:6" x14ac:dyDescent="0.25">
      <c r="A9" s="18" t="s">
        <v>145</v>
      </c>
      <c r="B9" s="18" t="s">
        <v>13</v>
      </c>
      <c r="C9" s="18" t="s">
        <v>146</v>
      </c>
      <c r="D9" s="18" t="s">
        <v>147</v>
      </c>
      <c r="E9" s="18" t="s">
        <v>148</v>
      </c>
      <c r="F9" s="18" t="s">
        <v>149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zoomScaleNormal="100" workbookViewId="0">
      <selection sqref="A1:G1"/>
    </sheetView>
  </sheetViews>
  <sheetFormatPr defaultColWidth="8.7109375"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18" ht="15.75" thickBot="1" x14ac:dyDescent="0.3">
      <c r="A1" s="45" t="s">
        <v>67</v>
      </c>
      <c r="B1" s="45"/>
      <c r="C1" s="45"/>
      <c r="D1" s="45"/>
      <c r="E1" s="45"/>
      <c r="F1" s="45"/>
      <c r="G1" s="45"/>
      <c r="Q1" t="s">
        <v>73</v>
      </c>
      <c r="R1" t="s">
        <v>74</v>
      </c>
    </row>
    <row r="2" spans="1:18" x14ac:dyDescent="0.25">
      <c r="A2" s="46"/>
      <c r="B2" s="47"/>
      <c r="C2" s="38" t="s">
        <v>68</v>
      </c>
      <c r="D2" s="38" t="s">
        <v>69</v>
      </c>
      <c r="E2" s="38" t="s">
        <v>70</v>
      </c>
      <c r="F2" s="38" t="s">
        <v>71</v>
      </c>
      <c r="G2" s="39" t="s">
        <v>72</v>
      </c>
    </row>
    <row r="3" spans="1:18" ht="30" x14ac:dyDescent="0.25">
      <c r="A3" s="30" t="s">
        <v>90</v>
      </c>
      <c r="B3" s="24" t="s">
        <v>19</v>
      </c>
      <c r="C3" s="26" t="s">
        <v>152</v>
      </c>
      <c r="D3" s="26">
        <v>2</v>
      </c>
      <c r="E3" s="26" t="s">
        <v>152</v>
      </c>
      <c r="F3" s="27">
        <v>3</v>
      </c>
      <c r="G3" s="31">
        <v>2</v>
      </c>
    </row>
    <row r="4" spans="1:18" ht="45" x14ac:dyDescent="0.25">
      <c r="A4" s="30" t="s">
        <v>91</v>
      </c>
      <c r="B4" s="24" t="s">
        <v>20</v>
      </c>
      <c r="C4" s="29">
        <v>4</v>
      </c>
      <c r="D4" s="29" t="s">
        <v>153</v>
      </c>
      <c r="E4" s="29">
        <v>4</v>
      </c>
      <c r="F4" s="27">
        <v>3</v>
      </c>
      <c r="G4" s="33" t="s">
        <v>153</v>
      </c>
    </row>
    <row r="5" spans="1:18" ht="45" x14ac:dyDescent="0.25">
      <c r="A5" s="30" t="s">
        <v>92</v>
      </c>
      <c r="B5" s="24" t="s">
        <v>21</v>
      </c>
      <c r="C5" s="29" t="s">
        <v>154</v>
      </c>
      <c r="D5" s="29">
        <v>7</v>
      </c>
      <c r="E5" s="43" t="s">
        <v>156</v>
      </c>
      <c r="F5" s="29" t="s">
        <v>154</v>
      </c>
      <c r="G5" s="33">
        <v>7</v>
      </c>
    </row>
    <row r="6" spans="1:18" ht="30" x14ac:dyDescent="0.25">
      <c r="A6" s="30" t="s">
        <v>93</v>
      </c>
      <c r="B6" s="24" t="s">
        <v>22</v>
      </c>
      <c r="C6" s="29" t="s">
        <v>155</v>
      </c>
      <c r="D6" s="29" t="s">
        <v>151</v>
      </c>
      <c r="E6" s="43" t="s">
        <v>156</v>
      </c>
      <c r="F6" s="29" t="s">
        <v>155</v>
      </c>
      <c r="G6" s="33" t="s">
        <v>151</v>
      </c>
    </row>
    <row r="7" spans="1:18" ht="60" x14ac:dyDescent="0.25">
      <c r="A7" s="30" t="s">
        <v>94</v>
      </c>
      <c r="B7" s="24" t="s">
        <v>23</v>
      </c>
      <c r="C7" s="29" t="s">
        <v>157</v>
      </c>
      <c r="D7" s="28" t="s">
        <v>77</v>
      </c>
      <c r="E7" s="28" t="s">
        <v>77</v>
      </c>
      <c r="F7" s="29" t="s">
        <v>157</v>
      </c>
      <c r="G7" s="40" t="s">
        <v>159</v>
      </c>
    </row>
    <row r="8" spans="1:18" ht="45" x14ac:dyDescent="0.25">
      <c r="A8" s="32" t="s">
        <v>95</v>
      </c>
      <c r="B8" s="25" t="s">
        <v>13</v>
      </c>
      <c r="C8" s="29">
        <v>12</v>
      </c>
      <c r="D8" s="29">
        <v>13</v>
      </c>
      <c r="E8" s="29">
        <v>12</v>
      </c>
      <c r="F8" s="29">
        <v>13</v>
      </c>
      <c r="G8" s="40" t="s">
        <v>159</v>
      </c>
    </row>
    <row r="9" spans="1:18" ht="45" x14ac:dyDescent="0.25">
      <c r="A9" s="30" t="s">
        <v>96</v>
      </c>
      <c r="B9" s="24" t="s">
        <v>16</v>
      </c>
      <c r="C9" s="29">
        <v>14</v>
      </c>
      <c r="D9" s="29" t="s">
        <v>158</v>
      </c>
      <c r="E9" s="29">
        <v>14</v>
      </c>
      <c r="F9" s="29" t="s">
        <v>158</v>
      </c>
      <c r="G9" s="33"/>
    </row>
    <row r="10" spans="1:18" ht="45" x14ac:dyDescent="0.25">
      <c r="A10" s="30" t="s">
        <v>97</v>
      </c>
      <c r="B10" s="24" t="s">
        <v>75</v>
      </c>
      <c r="C10" s="29" t="s">
        <v>160</v>
      </c>
      <c r="D10" s="29" t="s">
        <v>161</v>
      </c>
      <c r="E10" s="29" t="s">
        <v>162</v>
      </c>
      <c r="F10" s="29" t="s">
        <v>156</v>
      </c>
      <c r="G10" s="33"/>
    </row>
    <row r="11" spans="1:18" ht="45" x14ac:dyDescent="0.25">
      <c r="A11" s="30" t="s">
        <v>98</v>
      </c>
      <c r="B11" s="24" t="s">
        <v>76</v>
      </c>
      <c r="C11" s="26" t="s">
        <v>163</v>
      </c>
      <c r="D11" s="26" t="s">
        <v>150</v>
      </c>
      <c r="E11" s="26" t="s">
        <v>164</v>
      </c>
      <c r="F11" s="26" t="s">
        <v>165</v>
      </c>
      <c r="G11" s="33"/>
    </row>
    <row r="12" spans="1:18" ht="45.75" thickBot="1" x14ac:dyDescent="0.3">
      <c r="A12" s="34" t="s">
        <v>99</v>
      </c>
      <c r="B12" s="35" t="s">
        <v>76</v>
      </c>
      <c r="C12" s="44" t="s">
        <v>166</v>
      </c>
      <c r="D12" s="44" t="s">
        <v>167</v>
      </c>
      <c r="E12" s="44">
        <v>27</v>
      </c>
      <c r="F12" s="36">
        <v>28</v>
      </c>
      <c r="G12" s="37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74"/>
  <sheetViews>
    <sheetView topLeftCell="A16" workbookViewId="0">
      <selection activeCell="A42" sqref="A42:B74"/>
    </sheetView>
  </sheetViews>
  <sheetFormatPr defaultRowHeight="15" x14ac:dyDescent="0.25"/>
  <sheetData>
    <row r="1" spans="1:34" x14ac:dyDescent="0.25">
      <c r="A1" t="s">
        <v>43</v>
      </c>
      <c r="B1" t="s">
        <v>1</v>
      </c>
      <c r="C1" t="s">
        <v>38</v>
      </c>
      <c r="D1" t="s">
        <v>39</v>
      </c>
      <c r="E1" t="s">
        <v>40</v>
      </c>
      <c r="F1" t="s">
        <v>121</v>
      </c>
      <c r="G1" t="s">
        <v>42</v>
      </c>
      <c r="H1" t="s">
        <v>41</v>
      </c>
      <c r="I1" t="s">
        <v>122</v>
      </c>
      <c r="J1" t="s">
        <v>123</v>
      </c>
      <c r="K1" t="s">
        <v>65</v>
      </c>
      <c r="L1" t="s">
        <v>124</v>
      </c>
      <c r="M1" t="s">
        <v>125</v>
      </c>
      <c r="N1" t="s">
        <v>126</v>
      </c>
      <c r="O1" t="s">
        <v>128</v>
      </c>
      <c r="P1" t="s">
        <v>129</v>
      </c>
      <c r="Q1" t="s">
        <v>105</v>
      </c>
      <c r="R1" t="s">
        <v>130</v>
      </c>
      <c r="S1" t="s">
        <v>108</v>
      </c>
      <c r="T1" t="s">
        <v>132</v>
      </c>
      <c r="U1" t="s">
        <v>133</v>
      </c>
      <c r="V1" t="s">
        <v>134</v>
      </c>
      <c r="W1" t="s">
        <v>136</v>
      </c>
      <c r="X1" t="s">
        <v>137</v>
      </c>
      <c r="Y1" t="s">
        <v>138</v>
      </c>
      <c r="Z1" t="s">
        <v>139</v>
      </c>
      <c r="AA1" t="s">
        <v>141</v>
      </c>
      <c r="AB1" t="s">
        <v>142</v>
      </c>
      <c r="AC1" t="s">
        <v>143</v>
      </c>
      <c r="AD1" t="s">
        <v>144</v>
      </c>
      <c r="AE1" t="s">
        <v>146</v>
      </c>
      <c r="AF1" t="s">
        <v>147</v>
      </c>
      <c r="AG1" t="s">
        <v>148</v>
      </c>
      <c r="AH1" t="s">
        <v>149</v>
      </c>
    </row>
    <row r="2" spans="1:34" x14ac:dyDescent="0.25">
      <c r="A2" t="s">
        <v>10</v>
      </c>
      <c r="B2" t="s">
        <v>13</v>
      </c>
      <c r="C2">
        <v>4</v>
      </c>
      <c r="D2">
        <v>3</v>
      </c>
      <c r="E2">
        <v>2</v>
      </c>
      <c r="F2">
        <v>1</v>
      </c>
    </row>
    <row r="3" spans="1:34" x14ac:dyDescent="0.25">
      <c r="A3" t="s">
        <v>11</v>
      </c>
      <c r="B3" t="s">
        <v>13</v>
      </c>
      <c r="G3">
        <v>4</v>
      </c>
      <c r="H3">
        <v>3</v>
      </c>
      <c r="I3">
        <v>2</v>
      </c>
      <c r="J3">
        <v>1</v>
      </c>
    </row>
    <row r="4" spans="1:34" x14ac:dyDescent="0.25">
      <c r="A4" t="s">
        <v>12</v>
      </c>
      <c r="B4" t="s">
        <v>13</v>
      </c>
      <c r="K4">
        <v>4</v>
      </c>
      <c r="L4">
        <v>3</v>
      </c>
      <c r="M4">
        <v>2</v>
      </c>
      <c r="N4">
        <v>1</v>
      </c>
    </row>
    <row r="5" spans="1:34" x14ac:dyDescent="0.25">
      <c r="A5" t="s">
        <v>107</v>
      </c>
      <c r="B5" t="s">
        <v>127</v>
      </c>
      <c r="O5">
        <v>4</v>
      </c>
      <c r="P5">
        <v>3</v>
      </c>
      <c r="Q5">
        <v>2</v>
      </c>
      <c r="R5">
        <v>1</v>
      </c>
    </row>
    <row r="6" spans="1:34" x14ac:dyDescent="0.25">
      <c r="A6" t="s">
        <v>131</v>
      </c>
      <c r="B6" t="s">
        <v>13</v>
      </c>
      <c r="S6">
        <v>4</v>
      </c>
      <c r="T6">
        <v>3</v>
      </c>
      <c r="U6">
        <v>2</v>
      </c>
      <c r="V6">
        <v>1</v>
      </c>
    </row>
    <row r="7" spans="1:34" x14ac:dyDescent="0.25">
      <c r="A7" t="s">
        <v>135</v>
      </c>
      <c r="B7" t="s">
        <v>13</v>
      </c>
      <c r="W7">
        <v>4</v>
      </c>
      <c r="X7">
        <v>3</v>
      </c>
      <c r="Y7">
        <v>2</v>
      </c>
      <c r="Z7">
        <v>1</v>
      </c>
    </row>
    <row r="8" spans="1:34" x14ac:dyDescent="0.25">
      <c r="A8" t="s">
        <v>140</v>
      </c>
      <c r="B8" t="s">
        <v>127</v>
      </c>
      <c r="AA8">
        <v>4</v>
      </c>
      <c r="AB8">
        <v>3</v>
      </c>
      <c r="AC8">
        <v>2</v>
      </c>
      <c r="AD8">
        <v>1</v>
      </c>
    </row>
    <row r="9" spans="1:34" x14ac:dyDescent="0.25">
      <c r="A9" t="s">
        <v>145</v>
      </c>
      <c r="B9" t="s">
        <v>13</v>
      </c>
      <c r="AE9">
        <v>4</v>
      </c>
      <c r="AF9">
        <v>3</v>
      </c>
      <c r="AG9">
        <v>2</v>
      </c>
      <c r="AH9">
        <v>1</v>
      </c>
    </row>
    <row r="11" spans="1:34" x14ac:dyDescent="0.25">
      <c r="A11" t="s">
        <v>44</v>
      </c>
      <c r="B11" t="s">
        <v>1</v>
      </c>
      <c r="C11" t="s">
        <v>38</v>
      </c>
      <c r="D11" t="s">
        <v>39</v>
      </c>
      <c r="E11" t="s">
        <v>40</v>
      </c>
      <c r="F11" t="s">
        <v>121</v>
      </c>
      <c r="G11" t="s">
        <v>42</v>
      </c>
      <c r="H11" t="s">
        <v>41</v>
      </c>
      <c r="I11" t="s">
        <v>122</v>
      </c>
      <c r="J11" t="s">
        <v>123</v>
      </c>
      <c r="K11" t="s">
        <v>65</v>
      </c>
      <c r="L11" t="s">
        <v>124</v>
      </c>
      <c r="M11" t="s">
        <v>125</v>
      </c>
      <c r="N11" t="s">
        <v>126</v>
      </c>
      <c r="O11" t="s">
        <v>128</v>
      </c>
      <c r="P11" t="s">
        <v>129</v>
      </c>
      <c r="Q11" t="s">
        <v>105</v>
      </c>
      <c r="R11" t="s">
        <v>130</v>
      </c>
      <c r="S11" t="s">
        <v>108</v>
      </c>
      <c r="T11" t="s">
        <v>132</v>
      </c>
      <c r="U11" t="s">
        <v>133</v>
      </c>
      <c r="V11" t="s">
        <v>134</v>
      </c>
      <c r="W11" t="s">
        <v>136</v>
      </c>
      <c r="X11" t="s">
        <v>137</v>
      </c>
      <c r="Y11" t="s">
        <v>138</v>
      </c>
      <c r="Z11" t="s">
        <v>139</v>
      </c>
      <c r="AA11" t="s">
        <v>141</v>
      </c>
      <c r="AB11" t="s">
        <v>142</v>
      </c>
      <c r="AC11" t="s">
        <v>143</v>
      </c>
      <c r="AD11" t="s">
        <v>144</v>
      </c>
      <c r="AE11" t="s">
        <v>146</v>
      </c>
      <c r="AF11" t="s">
        <v>147</v>
      </c>
      <c r="AG11" t="s">
        <v>148</v>
      </c>
      <c r="AH11" t="s">
        <v>149</v>
      </c>
    </row>
    <row r="12" spans="1:34" x14ac:dyDescent="0.25">
      <c r="A12" t="s">
        <v>10</v>
      </c>
      <c r="B12" t="s">
        <v>13</v>
      </c>
      <c r="C12">
        <v>0.40000000596046448</v>
      </c>
      <c r="D12">
        <v>0.30000001192092896</v>
      </c>
      <c r="E12">
        <v>0.20000000298023224</v>
      </c>
      <c r="F12">
        <v>0.10000000149011612</v>
      </c>
    </row>
    <row r="13" spans="1:34" x14ac:dyDescent="0.25">
      <c r="A13" t="s">
        <v>11</v>
      </c>
      <c r="B13" t="s">
        <v>13</v>
      </c>
      <c r="G13">
        <v>0.40000000596046448</v>
      </c>
      <c r="H13">
        <v>0.30000001192092896</v>
      </c>
      <c r="I13">
        <v>0.20000000298023224</v>
      </c>
      <c r="J13">
        <v>0.10000000149011612</v>
      </c>
    </row>
    <row r="14" spans="1:34" x14ac:dyDescent="0.25">
      <c r="A14" t="s">
        <v>12</v>
      </c>
      <c r="B14" t="s">
        <v>13</v>
      </c>
      <c r="K14">
        <v>0.40000000596046448</v>
      </c>
      <c r="L14">
        <v>0.30000001192092896</v>
      </c>
      <c r="M14">
        <v>0.20000000298023224</v>
      </c>
      <c r="N14">
        <v>0.10000000149011612</v>
      </c>
    </row>
    <row r="15" spans="1:34" x14ac:dyDescent="0.25">
      <c r="A15" t="s">
        <v>107</v>
      </c>
      <c r="B15" t="s">
        <v>127</v>
      </c>
      <c r="O15">
        <v>0.40000000596046448</v>
      </c>
      <c r="P15">
        <v>0.30000001192092896</v>
      </c>
      <c r="Q15">
        <v>0.20000000298023224</v>
      </c>
      <c r="R15">
        <v>0.10000000149011612</v>
      </c>
    </row>
    <row r="16" spans="1:34" x14ac:dyDescent="0.25">
      <c r="A16" t="s">
        <v>131</v>
      </c>
      <c r="B16" t="s">
        <v>13</v>
      </c>
      <c r="S16">
        <v>0.40000000596046448</v>
      </c>
      <c r="T16">
        <v>0.30000001192092896</v>
      </c>
      <c r="U16">
        <v>0.20000000298023224</v>
      </c>
      <c r="V16">
        <v>0.10000000149011612</v>
      </c>
    </row>
    <row r="17" spans="1:35" x14ac:dyDescent="0.25">
      <c r="A17" t="s">
        <v>135</v>
      </c>
      <c r="B17" t="s">
        <v>13</v>
      </c>
      <c r="W17">
        <v>0.40000000596046448</v>
      </c>
      <c r="X17">
        <v>0.30000001192092896</v>
      </c>
      <c r="Y17">
        <v>0.20000000298023224</v>
      </c>
      <c r="Z17">
        <v>0.10000000149011612</v>
      </c>
    </row>
    <row r="18" spans="1:35" x14ac:dyDescent="0.25">
      <c r="A18" t="s">
        <v>140</v>
      </c>
      <c r="B18" t="s">
        <v>127</v>
      </c>
      <c r="AA18">
        <v>0.40000000596046448</v>
      </c>
      <c r="AB18">
        <v>0.30000001192092896</v>
      </c>
      <c r="AC18">
        <v>0.20000000298023224</v>
      </c>
      <c r="AD18">
        <v>0.10000000149011612</v>
      </c>
    </row>
    <row r="19" spans="1:35" x14ac:dyDescent="0.25">
      <c r="A19" t="s">
        <v>145</v>
      </c>
      <c r="B19" t="s">
        <v>13</v>
      </c>
      <c r="AE19">
        <v>0.40000000596046448</v>
      </c>
      <c r="AF19">
        <v>0.30000001192092896</v>
      </c>
      <c r="AG19">
        <v>0.20000000298023224</v>
      </c>
      <c r="AH19">
        <v>0.10000000149011612</v>
      </c>
    </row>
    <row r="21" spans="1:35" x14ac:dyDescent="0.25">
      <c r="A21" t="s">
        <v>45</v>
      </c>
      <c r="B21" t="s">
        <v>1</v>
      </c>
      <c r="C21" t="s">
        <v>38</v>
      </c>
      <c r="D21" t="s">
        <v>39</v>
      </c>
      <c r="E21" t="s">
        <v>40</v>
      </c>
      <c r="F21" t="s">
        <v>121</v>
      </c>
      <c r="G21" t="s">
        <v>42</v>
      </c>
      <c r="H21" t="s">
        <v>41</v>
      </c>
      <c r="I21" t="s">
        <v>122</v>
      </c>
      <c r="J21" t="s">
        <v>123</v>
      </c>
      <c r="K21" t="s">
        <v>65</v>
      </c>
      <c r="L21" t="s">
        <v>124</v>
      </c>
      <c r="M21" t="s">
        <v>125</v>
      </c>
      <c r="N21" t="s">
        <v>126</v>
      </c>
      <c r="O21" t="s">
        <v>128</v>
      </c>
      <c r="P21" t="s">
        <v>129</v>
      </c>
      <c r="Q21" t="s">
        <v>105</v>
      </c>
      <c r="R21" t="s">
        <v>130</v>
      </c>
      <c r="S21" t="s">
        <v>108</v>
      </c>
      <c r="T21" t="s">
        <v>132</v>
      </c>
      <c r="U21" t="s">
        <v>133</v>
      </c>
      <c r="V21" t="s">
        <v>134</v>
      </c>
      <c r="W21" t="s">
        <v>136</v>
      </c>
      <c r="X21" t="s">
        <v>137</v>
      </c>
      <c r="Y21" t="s">
        <v>138</v>
      </c>
      <c r="Z21" t="s">
        <v>139</v>
      </c>
      <c r="AA21" t="s">
        <v>141</v>
      </c>
      <c r="AB21" t="s">
        <v>142</v>
      </c>
      <c r="AC21" t="s">
        <v>143</v>
      </c>
      <c r="AD21" t="s">
        <v>144</v>
      </c>
      <c r="AE21" t="s">
        <v>146</v>
      </c>
      <c r="AF21" t="s">
        <v>147</v>
      </c>
      <c r="AG21" t="s">
        <v>148</v>
      </c>
      <c r="AH21" t="s">
        <v>149</v>
      </c>
    </row>
    <row r="22" spans="1:35" x14ac:dyDescent="0.25">
      <c r="A22" t="s">
        <v>10</v>
      </c>
      <c r="B22">
        <v>1</v>
      </c>
      <c r="C22">
        <v>1</v>
      </c>
      <c r="D22">
        <v>1</v>
      </c>
      <c r="E22">
        <v>1</v>
      </c>
      <c r="F22">
        <v>1</v>
      </c>
      <c r="AI22">
        <f>SUM($C$22:$AH$22)</f>
        <v>4</v>
      </c>
    </row>
    <row r="23" spans="1:35" x14ac:dyDescent="0.25">
      <c r="A23" t="s">
        <v>11</v>
      </c>
      <c r="B23">
        <v>1</v>
      </c>
      <c r="G23">
        <v>1</v>
      </c>
      <c r="H23">
        <v>1</v>
      </c>
      <c r="I23">
        <v>1</v>
      </c>
      <c r="J23">
        <v>1</v>
      </c>
      <c r="AI23">
        <f>SUM($C$23:$AH$23)</f>
        <v>4</v>
      </c>
    </row>
    <row r="24" spans="1:35" x14ac:dyDescent="0.25">
      <c r="A24" t="s">
        <v>12</v>
      </c>
      <c r="B24">
        <v>1</v>
      </c>
      <c r="K24">
        <v>1</v>
      </c>
      <c r="L24">
        <v>1</v>
      </c>
      <c r="M24">
        <v>1</v>
      </c>
      <c r="N24">
        <v>1</v>
      </c>
      <c r="AI24">
        <f>SUM($C$24:$AH$24)</f>
        <v>4</v>
      </c>
    </row>
    <row r="25" spans="1:35" x14ac:dyDescent="0.25">
      <c r="A25" t="s">
        <v>107</v>
      </c>
      <c r="B25">
        <v>0</v>
      </c>
      <c r="O25">
        <v>1</v>
      </c>
      <c r="P25">
        <v>1</v>
      </c>
      <c r="Q25">
        <v>1</v>
      </c>
      <c r="R25">
        <v>1</v>
      </c>
      <c r="AI25">
        <f>SUM($C$25:$AH$25)</f>
        <v>4</v>
      </c>
    </row>
    <row r="26" spans="1:35" x14ac:dyDescent="0.25">
      <c r="A26" t="s">
        <v>131</v>
      </c>
      <c r="B26">
        <v>1</v>
      </c>
      <c r="S26">
        <v>1</v>
      </c>
      <c r="T26">
        <v>1</v>
      </c>
      <c r="U26">
        <v>1</v>
      </c>
      <c r="V26">
        <v>1</v>
      </c>
      <c r="AI26">
        <f>SUM($C$26:$AH$26)</f>
        <v>4</v>
      </c>
    </row>
    <row r="27" spans="1:35" x14ac:dyDescent="0.25">
      <c r="A27" t="s">
        <v>135</v>
      </c>
      <c r="B27">
        <v>1</v>
      </c>
      <c r="W27">
        <v>1</v>
      </c>
      <c r="X27">
        <v>1</v>
      </c>
      <c r="Y27">
        <v>1</v>
      </c>
      <c r="Z27">
        <v>1</v>
      </c>
      <c r="AI27">
        <f>SUM($C$27:$AH$27)</f>
        <v>4</v>
      </c>
    </row>
    <row r="28" spans="1:35" x14ac:dyDescent="0.25">
      <c r="A28" t="s">
        <v>140</v>
      </c>
      <c r="B28">
        <v>0</v>
      </c>
      <c r="AA28">
        <v>1</v>
      </c>
      <c r="AB28">
        <v>1</v>
      </c>
      <c r="AC28">
        <v>1</v>
      </c>
      <c r="AD28">
        <v>1</v>
      </c>
      <c r="AI28">
        <f>SUM($C$28:$AH$28)</f>
        <v>4</v>
      </c>
    </row>
    <row r="29" spans="1:35" x14ac:dyDescent="0.25">
      <c r="A29" t="s">
        <v>145</v>
      </c>
      <c r="B29">
        <v>1</v>
      </c>
      <c r="AE29">
        <v>1</v>
      </c>
      <c r="AF29">
        <v>1</v>
      </c>
      <c r="AG29">
        <v>1</v>
      </c>
      <c r="AH29">
        <v>1</v>
      </c>
      <c r="AI29">
        <f>SUM($C$29:$AH$29)</f>
        <v>4</v>
      </c>
    </row>
    <row r="30" spans="1:35" x14ac:dyDescent="0.25">
      <c r="A30" t="s">
        <v>46</v>
      </c>
      <c r="C30">
        <f>SUMPRODUCT($C$12:$AH$19,$C$22:$AH$29)</f>
        <v>8.0000001788139343</v>
      </c>
      <c r="D30" t="s">
        <v>47</v>
      </c>
    </row>
    <row r="32" spans="1:35" x14ac:dyDescent="0.25">
      <c r="A32" t="s">
        <v>48</v>
      </c>
      <c r="C32" t="s">
        <v>49</v>
      </c>
      <c r="F32">
        <f>IF(SUM($AI$22:$AI$29)=0,0,SUMPRODUCT($B$22:$B$29,$AI$22:$AI$29)/SUM($AI$22:$AI$29))</f>
        <v>0.75</v>
      </c>
      <c r="G32" t="s">
        <v>50</v>
      </c>
      <c r="H32">
        <v>0.75</v>
      </c>
    </row>
    <row r="33" spans="1:34" x14ac:dyDescent="0.25">
      <c r="C33" t="s">
        <v>51</v>
      </c>
    </row>
    <row r="34" spans="1:34" x14ac:dyDescent="0.25">
      <c r="C34" t="s">
        <v>52</v>
      </c>
    </row>
    <row r="35" spans="1:34" x14ac:dyDescent="0.25">
      <c r="C35">
        <f>SUM($C$22:$C$29)</f>
        <v>1</v>
      </c>
      <c r="D35">
        <f>SUM($D$22:$D$29)</f>
        <v>1</v>
      </c>
      <c r="E35">
        <f>SUM($E$22:$E$29)</f>
        <v>1</v>
      </c>
      <c r="F35">
        <f>SUM($F$22:$F$29)</f>
        <v>1</v>
      </c>
      <c r="G35">
        <f>SUM($G$22:$G$29)</f>
        <v>1</v>
      </c>
      <c r="H35">
        <f>SUM($H$22:$H$29)</f>
        <v>1</v>
      </c>
      <c r="I35">
        <f>SUM($I$22:$I$29)</f>
        <v>1</v>
      </c>
      <c r="J35">
        <f>SUM($J$22:$J$29)</f>
        <v>1</v>
      </c>
      <c r="K35">
        <f>SUM($K$22:$K$29)</f>
        <v>1</v>
      </c>
      <c r="L35">
        <f>SUM($L$22:$L$29)</f>
        <v>1</v>
      </c>
      <c r="M35">
        <f>SUM($M$22:$M$29)</f>
        <v>1</v>
      </c>
      <c r="N35">
        <f>SUM($N$22:$N$29)</f>
        <v>1</v>
      </c>
      <c r="O35">
        <f>SUM($O$22:$O$29)</f>
        <v>1</v>
      </c>
      <c r="P35">
        <f>SUM($P$22:$P$29)</f>
        <v>1</v>
      </c>
      <c r="Q35">
        <f>SUM($Q$22:$Q$29)</f>
        <v>1</v>
      </c>
      <c r="R35">
        <f>SUM($R$22:$R$29)</f>
        <v>1</v>
      </c>
      <c r="S35">
        <f>SUM($S$22:$S$29)</f>
        <v>1</v>
      </c>
      <c r="T35">
        <f>SUM($T$22:$T$29)</f>
        <v>1</v>
      </c>
      <c r="U35">
        <f>SUM($U$22:$U$29)</f>
        <v>1</v>
      </c>
      <c r="V35">
        <f>SUM($V$22:$V$29)</f>
        <v>1</v>
      </c>
      <c r="W35">
        <f>SUM($W$22:$W$29)</f>
        <v>1</v>
      </c>
      <c r="X35">
        <f>SUM($X$22:$X$29)</f>
        <v>1</v>
      </c>
      <c r="Y35">
        <f>SUM($Y$22:$Y$29)</f>
        <v>1</v>
      </c>
      <c r="Z35">
        <f>SUM($Z$22:$Z$29)</f>
        <v>1</v>
      </c>
      <c r="AA35">
        <f>SUM($AA$22:$AA$29)</f>
        <v>1</v>
      </c>
      <c r="AB35">
        <f>SUM($AB$22:$AB$29)</f>
        <v>1</v>
      </c>
      <c r="AC35">
        <f>SUM($AC$22:$AC$29)</f>
        <v>1</v>
      </c>
      <c r="AD35">
        <f>SUM($AD$22:$AD$29)</f>
        <v>1</v>
      </c>
      <c r="AE35">
        <f>SUM($AE$22:$AE$29)</f>
        <v>1</v>
      </c>
      <c r="AF35">
        <f>SUM($AF$22:$AF$29)</f>
        <v>1</v>
      </c>
      <c r="AG35">
        <f>SUM($AG$22:$AG$29)</f>
        <v>1</v>
      </c>
      <c r="AH35">
        <f>SUM($AH$22:$AH$29)</f>
        <v>1</v>
      </c>
    </row>
    <row r="36" spans="1:34" x14ac:dyDescent="0.25">
      <c r="C36" t="s">
        <v>53</v>
      </c>
      <c r="D36" t="s">
        <v>53</v>
      </c>
      <c r="E36" t="s">
        <v>53</v>
      </c>
      <c r="F36" t="s">
        <v>53</v>
      </c>
      <c r="G36" t="s">
        <v>53</v>
      </c>
      <c r="H36" t="s">
        <v>53</v>
      </c>
      <c r="I36" t="s">
        <v>53</v>
      </c>
      <c r="J36" t="s">
        <v>53</v>
      </c>
      <c r="K36" t="s">
        <v>53</v>
      </c>
      <c r="L36" t="s">
        <v>53</v>
      </c>
      <c r="M36" t="s">
        <v>53</v>
      </c>
      <c r="N36" t="s">
        <v>53</v>
      </c>
      <c r="O36" t="s">
        <v>53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t="s">
        <v>53</v>
      </c>
      <c r="Y36" t="s">
        <v>53</v>
      </c>
      <c r="Z36" t="s">
        <v>53</v>
      </c>
      <c r="AA36" t="s">
        <v>53</v>
      </c>
      <c r="AB36" t="s">
        <v>53</v>
      </c>
      <c r="AC36" t="s">
        <v>53</v>
      </c>
      <c r="AD36" t="s">
        <v>53</v>
      </c>
      <c r="AE36" t="s">
        <v>53</v>
      </c>
      <c r="AF36" t="s">
        <v>53</v>
      </c>
      <c r="AG36" t="s">
        <v>53</v>
      </c>
      <c r="AH36" t="s">
        <v>53</v>
      </c>
    </row>
    <row r="37" spans="1:34" x14ac:dyDescent="0.25"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</row>
    <row r="39" spans="1:34" x14ac:dyDescent="0.25">
      <c r="A39" t="s">
        <v>54</v>
      </c>
      <c r="B39" t="s">
        <v>55</v>
      </c>
      <c r="C39" t="s">
        <v>38</v>
      </c>
      <c r="D39" t="s">
        <v>39</v>
      </c>
      <c r="E39" t="s">
        <v>40</v>
      </c>
      <c r="F39" t="s">
        <v>121</v>
      </c>
      <c r="G39" t="s">
        <v>42</v>
      </c>
      <c r="H39" t="s">
        <v>41</v>
      </c>
      <c r="I39" t="s">
        <v>122</v>
      </c>
      <c r="J39" t="s">
        <v>123</v>
      </c>
      <c r="K39" t="s">
        <v>65</v>
      </c>
      <c r="L39" t="s">
        <v>124</v>
      </c>
      <c r="M39" t="s">
        <v>125</v>
      </c>
      <c r="N39" t="s">
        <v>126</v>
      </c>
      <c r="O39" t="s">
        <v>128</v>
      </c>
      <c r="P39" t="s">
        <v>129</v>
      </c>
      <c r="Q39" t="s">
        <v>105</v>
      </c>
      <c r="R39" t="s">
        <v>130</v>
      </c>
      <c r="S39" t="s">
        <v>108</v>
      </c>
      <c r="T39" t="s">
        <v>132</v>
      </c>
      <c r="U39" t="s">
        <v>133</v>
      </c>
      <c r="V39" t="s">
        <v>134</v>
      </c>
      <c r="W39" t="s">
        <v>136</v>
      </c>
      <c r="X39" t="s">
        <v>137</v>
      </c>
      <c r="Y39" t="s">
        <v>138</v>
      </c>
      <c r="Z39" t="s">
        <v>139</v>
      </c>
      <c r="AA39" t="s">
        <v>141</v>
      </c>
      <c r="AB39" t="s">
        <v>142</v>
      </c>
      <c r="AC39" t="s">
        <v>143</v>
      </c>
      <c r="AD39" t="s">
        <v>144</v>
      </c>
      <c r="AE39" t="s">
        <v>146</v>
      </c>
      <c r="AF39" t="s">
        <v>147</v>
      </c>
      <c r="AG39" t="s">
        <v>148</v>
      </c>
      <c r="AH39" t="s">
        <v>149</v>
      </c>
    </row>
    <row r="40" spans="1:34" x14ac:dyDescent="0.25">
      <c r="B40" t="s">
        <v>56</v>
      </c>
      <c r="C40" t="str">
        <f>IFERROR(INDEX($A$22:$A$29,MATCH(1,$C$22:$C$29,0)),"TBD")</f>
        <v>A, B</v>
      </c>
      <c r="D40" t="str">
        <f>IFERROR(INDEX($A$22:$A$29,MATCH(1,$D$22:$D$29,0)),"TBD")</f>
        <v>A, B</v>
      </c>
      <c r="E40" t="str">
        <f>IFERROR(INDEX($A$22:$A$29,MATCH(1,$E$22:$E$29,0)),"TBD")</f>
        <v>A, B</v>
      </c>
      <c r="F40" t="str">
        <f>IFERROR(INDEX($A$22:$A$29,MATCH(1,$F$22:$F$29,0)),"TBD")</f>
        <v>A, B</v>
      </c>
      <c r="G40" t="str">
        <f>IFERROR(INDEX($A$22:$A$29,MATCH(1,$G$22:$G$29,0)),"TBD")</f>
        <v>C, D</v>
      </c>
      <c r="H40" t="str">
        <f>IFERROR(INDEX($A$22:$A$29,MATCH(1,$H$22:$H$29,0)),"TBD")</f>
        <v>C, D</v>
      </c>
      <c r="I40" t="str">
        <f>IFERROR(INDEX($A$22:$A$29,MATCH(1,$I$22:$I$29,0)),"TBD")</f>
        <v>C, D</v>
      </c>
      <c r="J40" t="str">
        <f>IFERROR(INDEX($A$22:$A$29,MATCH(1,$J$22:$J$29,0)),"TBD")</f>
        <v>C, D</v>
      </c>
      <c r="K40" t="str">
        <f>IFERROR(INDEX($A$22:$A$29,MATCH(1,$K$22:$K$29,0)),"TBD")</f>
        <v>E, F</v>
      </c>
      <c r="L40" t="str">
        <f>IFERROR(INDEX($A$22:$A$29,MATCH(1,$L$22:$L$29,0)),"TBD")</f>
        <v>E, F</v>
      </c>
      <c r="M40" t="str">
        <f>IFERROR(INDEX($A$22:$A$29,MATCH(1,$M$22:$M$29,0)),"TBD")</f>
        <v>E, F</v>
      </c>
      <c r="N40" t="str">
        <f>IFERROR(INDEX($A$22:$A$29,MATCH(1,$N$22:$N$29,0)),"TBD")</f>
        <v>E, F</v>
      </c>
      <c r="O40" t="str">
        <f>IFERROR(INDEX($A$22:$A$29,MATCH(1,$O$22:$O$29,0)),"TBD")</f>
        <v>G, H</v>
      </c>
      <c r="P40" t="str">
        <f>IFERROR(INDEX($A$22:$A$29,MATCH(1,$P$22:$P$29,0)),"TBD")</f>
        <v>G, H</v>
      </c>
      <c r="Q40" t="str">
        <f>IFERROR(INDEX($A$22:$A$29,MATCH(1,$Q$22:$Q$29,0)),"TBD")</f>
        <v>G, H</v>
      </c>
      <c r="R40" t="str">
        <f>IFERROR(INDEX($A$22:$A$29,MATCH(1,$R$22:$R$29,0)),"TBD")</f>
        <v>G, H</v>
      </c>
      <c r="S40" t="str">
        <f>IFERROR(INDEX($A$22:$A$29,MATCH(1,$S$22:$S$29,0)),"TBD")</f>
        <v>I, J</v>
      </c>
      <c r="T40" t="str">
        <f>IFERROR(INDEX($A$22:$A$29,MATCH(1,$T$22:$T$29,0)),"TBD")</f>
        <v>I, J</v>
      </c>
      <c r="U40" t="str">
        <f>IFERROR(INDEX($A$22:$A$29,MATCH(1,$U$22:$U$29,0)),"TBD")</f>
        <v>I, J</v>
      </c>
      <c r="V40" t="str">
        <f>IFERROR(INDEX($A$22:$A$29,MATCH(1,$V$22:$V$29,0)),"TBD")</f>
        <v>I, J</v>
      </c>
      <c r="W40" t="str">
        <f>IFERROR(INDEX($A$22:$A$29,MATCH(1,$W$22:$W$29,0)),"TBD")</f>
        <v>K, L</v>
      </c>
      <c r="X40" t="str">
        <f>IFERROR(INDEX($A$22:$A$29,MATCH(1,$X$22:$X$29,0)),"TBD")</f>
        <v>K, L</v>
      </c>
      <c r="Y40" t="str">
        <f>IFERROR(INDEX($A$22:$A$29,MATCH(1,$Y$22:$Y$29,0)),"TBD")</f>
        <v>K, L</v>
      </c>
      <c r="Z40" t="str">
        <f>IFERROR(INDEX($A$22:$A$29,MATCH(1,$Z$22:$Z$29,0)),"TBD")</f>
        <v>K, L</v>
      </c>
      <c r="AA40" t="str">
        <f>IFERROR(INDEX($A$22:$A$29,MATCH(1,$AA$22:$AA$29,0)),"TBD")</f>
        <v>M, N</v>
      </c>
      <c r="AB40" t="str">
        <f>IFERROR(INDEX($A$22:$A$29,MATCH(1,$AB$22:$AB$29,0)),"TBD")</f>
        <v>M, N</v>
      </c>
      <c r="AC40" t="str">
        <f>IFERROR(INDEX($A$22:$A$29,MATCH(1,$AC$22:$AC$29,0)),"TBD")</f>
        <v>M, N</v>
      </c>
      <c r="AD40" t="str">
        <f>IFERROR(INDEX($A$22:$A$29,MATCH(1,$AD$22:$AD$29,0)),"TBD")</f>
        <v>M, N</v>
      </c>
      <c r="AE40" t="str">
        <f>IFERROR(INDEX($A$22:$A$29,MATCH(1,$AE$22:$AE$29,0)),"TBD")</f>
        <v>O, P</v>
      </c>
      <c r="AF40" t="str">
        <f>IFERROR(INDEX($A$22:$A$29,MATCH(1,$AF$22:$AF$29,0)),"TBD")</f>
        <v>O, P</v>
      </c>
      <c r="AG40" t="str">
        <f>IFERROR(INDEX($A$22:$A$29,MATCH(1,$AG$22:$AG$29,0)),"TBD")</f>
        <v>O, P</v>
      </c>
      <c r="AH40" t="str">
        <f>IFERROR(INDEX($A$22:$A$29,MATCH(1,$AH$22:$AH$29,0)),"TBD")</f>
        <v>O, P</v>
      </c>
    </row>
    <row r="42" spans="1:34" x14ac:dyDescent="0.25">
      <c r="A42" t="s">
        <v>55</v>
      </c>
      <c r="B42" t="s">
        <v>56</v>
      </c>
    </row>
    <row r="43" spans="1:34" x14ac:dyDescent="0.25">
      <c r="A43" t="s">
        <v>38</v>
      </c>
      <c r="B43" t="s">
        <v>10</v>
      </c>
    </row>
    <row r="44" spans="1:34" x14ac:dyDescent="0.25">
      <c r="A44" t="s">
        <v>39</v>
      </c>
      <c r="B44" t="s">
        <v>10</v>
      </c>
    </row>
    <row r="45" spans="1:34" x14ac:dyDescent="0.25">
      <c r="A45" t="s">
        <v>40</v>
      </c>
      <c r="B45" t="s">
        <v>10</v>
      </c>
    </row>
    <row r="46" spans="1:34" x14ac:dyDescent="0.25">
      <c r="A46" t="s">
        <v>121</v>
      </c>
      <c r="B46" t="s">
        <v>10</v>
      </c>
    </row>
    <row r="47" spans="1:34" x14ac:dyDescent="0.25">
      <c r="A47" t="s">
        <v>42</v>
      </c>
      <c r="B47" t="s">
        <v>11</v>
      </c>
    </row>
    <row r="48" spans="1:34" x14ac:dyDescent="0.25">
      <c r="A48" t="s">
        <v>41</v>
      </c>
      <c r="B48" t="s">
        <v>11</v>
      </c>
    </row>
    <row r="49" spans="1:2" x14ac:dyDescent="0.25">
      <c r="A49" t="s">
        <v>122</v>
      </c>
      <c r="B49" t="s">
        <v>11</v>
      </c>
    </row>
    <row r="50" spans="1:2" x14ac:dyDescent="0.25">
      <c r="A50" t="s">
        <v>123</v>
      </c>
      <c r="B50" t="s">
        <v>11</v>
      </c>
    </row>
    <row r="51" spans="1:2" x14ac:dyDescent="0.25">
      <c r="A51" t="s">
        <v>65</v>
      </c>
      <c r="B51" t="s">
        <v>12</v>
      </c>
    </row>
    <row r="52" spans="1:2" x14ac:dyDescent="0.25">
      <c r="A52" t="s">
        <v>124</v>
      </c>
      <c r="B52" t="s">
        <v>12</v>
      </c>
    </row>
    <row r="53" spans="1:2" x14ac:dyDescent="0.25">
      <c r="A53" t="s">
        <v>125</v>
      </c>
      <c r="B53" t="s">
        <v>12</v>
      </c>
    </row>
    <row r="54" spans="1:2" x14ac:dyDescent="0.25">
      <c r="A54" t="s">
        <v>126</v>
      </c>
      <c r="B54" t="s">
        <v>12</v>
      </c>
    </row>
    <row r="55" spans="1:2" x14ac:dyDescent="0.25">
      <c r="A55" t="s">
        <v>128</v>
      </c>
      <c r="B55" t="s">
        <v>107</v>
      </c>
    </row>
    <row r="56" spans="1:2" x14ac:dyDescent="0.25">
      <c r="A56" t="s">
        <v>129</v>
      </c>
      <c r="B56" t="s">
        <v>107</v>
      </c>
    </row>
    <row r="57" spans="1:2" x14ac:dyDescent="0.25">
      <c r="A57" t="s">
        <v>105</v>
      </c>
      <c r="B57" t="s">
        <v>107</v>
      </c>
    </row>
    <row r="58" spans="1:2" x14ac:dyDescent="0.25">
      <c r="A58" t="s">
        <v>130</v>
      </c>
      <c r="B58" t="s">
        <v>107</v>
      </c>
    </row>
    <row r="59" spans="1:2" x14ac:dyDescent="0.25">
      <c r="A59" t="s">
        <v>108</v>
      </c>
      <c r="B59" t="s">
        <v>131</v>
      </c>
    </row>
    <row r="60" spans="1:2" x14ac:dyDescent="0.25">
      <c r="A60" t="s">
        <v>132</v>
      </c>
      <c r="B60" t="s">
        <v>131</v>
      </c>
    </row>
    <row r="61" spans="1:2" x14ac:dyDescent="0.25">
      <c r="A61" t="s">
        <v>133</v>
      </c>
      <c r="B61" t="s">
        <v>131</v>
      </c>
    </row>
    <row r="62" spans="1:2" x14ac:dyDescent="0.25">
      <c r="A62" t="s">
        <v>134</v>
      </c>
      <c r="B62" t="s">
        <v>131</v>
      </c>
    </row>
    <row r="63" spans="1:2" x14ac:dyDescent="0.25">
      <c r="A63" t="s">
        <v>136</v>
      </c>
      <c r="B63" t="s">
        <v>135</v>
      </c>
    </row>
    <row r="64" spans="1:2" x14ac:dyDescent="0.25">
      <c r="A64" t="s">
        <v>137</v>
      </c>
      <c r="B64" t="s">
        <v>135</v>
      </c>
    </row>
    <row r="65" spans="1:2" x14ac:dyDescent="0.25">
      <c r="A65" t="s">
        <v>138</v>
      </c>
      <c r="B65" t="s">
        <v>135</v>
      </c>
    </row>
    <row r="66" spans="1:2" x14ac:dyDescent="0.25">
      <c r="A66" t="s">
        <v>139</v>
      </c>
      <c r="B66" t="s">
        <v>135</v>
      </c>
    </row>
    <row r="67" spans="1:2" x14ac:dyDescent="0.25">
      <c r="A67" t="s">
        <v>141</v>
      </c>
      <c r="B67" t="s">
        <v>140</v>
      </c>
    </row>
    <row r="68" spans="1:2" x14ac:dyDescent="0.25">
      <c r="A68" t="s">
        <v>142</v>
      </c>
      <c r="B68" t="s">
        <v>140</v>
      </c>
    </row>
    <row r="69" spans="1:2" x14ac:dyDescent="0.25">
      <c r="A69" t="s">
        <v>143</v>
      </c>
      <c r="B69" t="s">
        <v>140</v>
      </c>
    </row>
    <row r="70" spans="1:2" x14ac:dyDescent="0.25">
      <c r="A70" t="s">
        <v>144</v>
      </c>
      <c r="B70" t="s">
        <v>140</v>
      </c>
    </row>
    <row r="71" spans="1:2" x14ac:dyDescent="0.25">
      <c r="A71" t="s">
        <v>146</v>
      </c>
      <c r="B71" t="s">
        <v>145</v>
      </c>
    </row>
    <row r="72" spans="1:2" x14ac:dyDescent="0.25">
      <c r="A72" t="s">
        <v>147</v>
      </c>
      <c r="B72" t="s">
        <v>145</v>
      </c>
    </row>
    <row r="73" spans="1:2" x14ac:dyDescent="0.25">
      <c r="A73" t="s">
        <v>148</v>
      </c>
      <c r="B73" t="s">
        <v>145</v>
      </c>
    </row>
    <row r="74" spans="1:2" x14ac:dyDescent="0.25">
      <c r="A74" t="s">
        <v>149</v>
      </c>
      <c r="B74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2017-03-02T04:32:28Z</cp:lastPrinted>
  <dcterms:created xsi:type="dcterms:W3CDTF">2017-02-16T01:30:00Z</dcterms:created>
  <dcterms:modified xsi:type="dcterms:W3CDTF">2017-03-02T05:46:59Z</dcterms:modified>
</cp:coreProperties>
</file>