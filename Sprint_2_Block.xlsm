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430" codeName="{7A2D7E96-6E34-419A-AE5F-296B3A7E7977}"/>
  <workbookPr codeName="ThisWorkbook" hidePivotFieldList="1" autoCompressPictures="0"/>
  <bookViews>
    <workbookView xWindow="200" yWindow="460" windowWidth="30760" windowHeight="17680" tabRatio="685" activeTab="1"/>
  </bookViews>
  <sheets>
    <sheet name="Instruction" sheetId="11" r:id="rId1"/>
    <sheet name="Input_Course" sheetId="2" r:id="rId2"/>
    <sheet name="Input_Professor" sheetId="1" r:id="rId3"/>
    <sheet name="PrintOut" sheetId="4" r:id="rId4"/>
    <sheet name="Block_Info" sheetId="9" state="hidden" r:id="rId5"/>
    <sheet name="Calculator" sheetId="10" state="hidden" r:id="rId6"/>
    <sheet name="Sheet1" sheetId="12" r:id="rId7"/>
  </sheets>
  <definedNames>
    <definedName name="_xlnm._FilterDatabase" localSheetId="4" hidden="1">Block_Info!$A$1:$D$45</definedName>
    <definedName name="_xlnm.Print_Area" localSheetId="3">PrintOut!$A$1:$G$12</definedName>
    <definedName name="solver_adj" localSheetId="5" hidden="1">Calculator!$C$22,Calculator!$D$22,Calculator!$E$22,Calculator!$F$22,Calculator!$G$23,Calculator!$H$23,Calculator!$I$23,Calculator!$J$23,Calculator!$K$24,Calculator!$L$24,Calculator!$M$24,Calculator!$N$24,Calculator!$O$25,Calculator!$P$25,Calculator!$Q$25,Calculator!$R$25,Calculator!$S$26,Calculator!$T$26,Calculator!$U$26,Calculator!$V$26,Calculator!$W$27,Calculator!$X$27,Calculator!$Y$27,Calculator!$Z$27,Calculator!$AA$28,Calculator!$AB$28,Calculator!$AC$28,Calculator!$AD$28,Calculator!$AE$29,Calculator!$AF$29,Calculator!$AG$29,Calculator!$AH$29</definedName>
    <definedName name="solver_eng" localSheetId="5" hidden="1">1</definedName>
    <definedName name="solver_eng" localSheetId="1" hidden="1">1</definedName>
    <definedName name="solver_eng" localSheetId="3" hidden="1">1</definedName>
    <definedName name="solver_lhs1" localSheetId="5" hidden="1">Calculator!$C$22</definedName>
    <definedName name="solver_lhs10" localSheetId="5" hidden="1">Calculator!$L$24</definedName>
    <definedName name="solver_lhs11" localSheetId="5" hidden="1">Calculator!$M$24</definedName>
    <definedName name="solver_lhs12" localSheetId="5" hidden="1">Calculator!$K$24</definedName>
    <definedName name="solver_lhs13" localSheetId="5" hidden="1">Calculator!$O$25</definedName>
    <definedName name="solver_lhs14" localSheetId="5" hidden="1">Calculator!$P$25</definedName>
    <definedName name="solver_lhs15" localSheetId="5" hidden="1">Calculator!$Q$25</definedName>
    <definedName name="solver_lhs16" localSheetId="5" hidden="1">Calculator!$O$25</definedName>
    <definedName name="solver_lhs17" localSheetId="5" hidden="1">Calculator!$S$26</definedName>
    <definedName name="solver_lhs18" localSheetId="5" hidden="1">Calculator!$T$26</definedName>
    <definedName name="solver_lhs19" localSheetId="5" hidden="1">Calculator!$U$26</definedName>
    <definedName name="solver_lhs2" localSheetId="5" hidden="1">Calculator!$D$22</definedName>
    <definedName name="solver_lhs20" localSheetId="5" hidden="1">Calculator!$S$26</definedName>
    <definedName name="solver_lhs21" localSheetId="5" hidden="1">Calculator!$W$27</definedName>
    <definedName name="solver_lhs22" localSheetId="5" hidden="1">Calculator!$X$27</definedName>
    <definedName name="solver_lhs23" localSheetId="5" hidden="1">Calculator!$Y$27</definedName>
    <definedName name="solver_lhs24" localSheetId="5" hidden="1">Calculator!$W$27</definedName>
    <definedName name="solver_lhs25" localSheetId="5" hidden="1">Calculator!$AA$28</definedName>
    <definedName name="solver_lhs26" localSheetId="5" hidden="1">Calculator!$AB$28</definedName>
    <definedName name="solver_lhs27" localSheetId="5" hidden="1">Calculator!$AC$28</definedName>
    <definedName name="solver_lhs28" localSheetId="5" hidden="1">Calculator!$AA$28</definedName>
    <definedName name="solver_lhs29" localSheetId="5" hidden="1">Calculator!$AE$29</definedName>
    <definedName name="solver_lhs3" localSheetId="5" hidden="1">Calculator!$E$22</definedName>
    <definedName name="solver_lhs30" localSheetId="5" hidden="1">Calculator!$AF$29</definedName>
    <definedName name="solver_lhs31" localSheetId="5" hidden="1">Calculator!$AG$29</definedName>
    <definedName name="solver_lhs32" localSheetId="5" hidden="1">Calculator!$AE$29</definedName>
    <definedName name="solver_lhs33" localSheetId="5" hidden="1">Calculator!$F$32</definedName>
    <definedName name="solver_lhs34" localSheetId="5" hidden="1">Calculator!$C$35:$GS$35</definedName>
    <definedName name="solver_lhs4" localSheetId="5" hidden="1">Calculator!$C$22</definedName>
    <definedName name="solver_lhs5" localSheetId="5" hidden="1">Calculator!$G$23</definedName>
    <definedName name="solver_lhs6" localSheetId="5" hidden="1">Calculator!$H$23</definedName>
    <definedName name="solver_lhs7" localSheetId="5" hidden="1">Calculator!$I$23</definedName>
    <definedName name="solver_lhs8" localSheetId="5" hidden="1">Calculator!$G$23</definedName>
    <definedName name="solver_lhs9" localSheetId="5" hidden="1">Calculator!$K$24</definedName>
    <definedName name="solver_lin" localSheetId="1" hidden="1">2</definedName>
    <definedName name="solver_neg" localSheetId="5" hidden="1">1</definedName>
    <definedName name="solver_neg" localSheetId="1" hidden="1">1</definedName>
    <definedName name="solver_neg" localSheetId="3" hidden="1">1</definedName>
    <definedName name="solver_num" localSheetId="5" hidden="1">34</definedName>
    <definedName name="solver_num" localSheetId="1" hidden="1">0</definedName>
    <definedName name="solver_num" localSheetId="3" hidden="1">0</definedName>
    <definedName name="solver_opt" localSheetId="5" hidden="1">Calculator!$C$30</definedName>
    <definedName name="solver_opt" localSheetId="1" hidden="1">Input_Course!#REF!</definedName>
    <definedName name="solver_opt" localSheetId="3" hidden="1">PrintOut!$I$7</definedName>
    <definedName name="solver_pre" localSheetId="5" hidden="1">0.00001</definedName>
    <definedName name="solver_rel1" localSheetId="5" hidden="1">5</definedName>
    <definedName name="solver_rel10" localSheetId="5" hidden="1">5</definedName>
    <definedName name="solver_rel11" localSheetId="5" hidden="1">5</definedName>
    <definedName name="solver_rel12" localSheetId="5" hidden="1">5</definedName>
    <definedName name="solver_rel13" localSheetId="5" hidden="1">5</definedName>
    <definedName name="solver_rel14" localSheetId="5" hidden="1">5</definedName>
    <definedName name="solver_rel15" localSheetId="5" hidden="1">5</definedName>
    <definedName name="solver_rel16" localSheetId="5" hidden="1">5</definedName>
    <definedName name="solver_rel17" localSheetId="5" hidden="1">5</definedName>
    <definedName name="solver_rel18" localSheetId="5" hidden="1">5</definedName>
    <definedName name="solver_rel19" localSheetId="5" hidden="1">5</definedName>
    <definedName name="solver_rel2" localSheetId="5" hidden="1">5</definedName>
    <definedName name="solver_rel20" localSheetId="5" hidden="1">5</definedName>
    <definedName name="solver_rel21" localSheetId="5" hidden="1">5</definedName>
    <definedName name="solver_rel22" localSheetId="5" hidden="1">5</definedName>
    <definedName name="solver_rel23" localSheetId="5" hidden="1">5</definedName>
    <definedName name="solver_rel24" localSheetId="5" hidden="1">5</definedName>
    <definedName name="solver_rel25" localSheetId="5" hidden="1">5</definedName>
    <definedName name="solver_rel26" localSheetId="5" hidden="1">5</definedName>
    <definedName name="solver_rel27" localSheetId="5" hidden="1">5</definedName>
    <definedName name="solver_rel28" localSheetId="5" hidden="1">5</definedName>
    <definedName name="solver_rel29" localSheetId="5" hidden="1">5</definedName>
    <definedName name="solver_rel3" localSheetId="5" hidden="1">5</definedName>
    <definedName name="solver_rel30" localSheetId="5" hidden="1">5</definedName>
    <definedName name="solver_rel31" localSheetId="5" hidden="1">5</definedName>
    <definedName name="solver_rel32" localSheetId="5" hidden="1">5</definedName>
    <definedName name="solver_rel33" localSheetId="5" hidden="1">3</definedName>
    <definedName name="solver_rel34" localSheetId="5" hidden="1">2</definedName>
    <definedName name="solver_rel4" localSheetId="5" hidden="1">5</definedName>
    <definedName name="solver_rel5" localSheetId="5" hidden="1">5</definedName>
    <definedName name="solver_rel6" localSheetId="5" hidden="1">5</definedName>
    <definedName name="solver_rel7" localSheetId="5" hidden="1">5</definedName>
    <definedName name="solver_rel8" localSheetId="5" hidden="1">5</definedName>
    <definedName name="solver_rel9" localSheetId="5" hidden="1">5</definedName>
    <definedName name="solver_rhs1" localSheetId="5" hidden="1">binary</definedName>
    <definedName name="solver_rhs10" localSheetId="5" hidden="1">binary</definedName>
    <definedName name="solver_rhs11" localSheetId="5" hidden="1">binary</definedName>
    <definedName name="solver_rhs12" localSheetId="5" hidden="1">binary</definedName>
    <definedName name="solver_rhs13" localSheetId="5" hidden="1">binary</definedName>
    <definedName name="solver_rhs14" localSheetId="5" hidden="1">binary</definedName>
    <definedName name="solver_rhs15" localSheetId="5" hidden="1">binary</definedName>
    <definedName name="solver_rhs16" localSheetId="5" hidden="1">binary</definedName>
    <definedName name="solver_rhs17" localSheetId="5" hidden="1">binary</definedName>
    <definedName name="solver_rhs18" localSheetId="5" hidden="1">binary</definedName>
    <definedName name="solver_rhs19" localSheetId="5" hidden="1">binary</definedName>
    <definedName name="solver_rhs2" localSheetId="5" hidden="1">binary</definedName>
    <definedName name="solver_rhs20" localSheetId="5" hidden="1">binary</definedName>
    <definedName name="solver_rhs21" localSheetId="5" hidden="1">binary</definedName>
    <definedName name="solver_rhs22" localSheetId="5" hidden="1">binary</definedName>
    <definedName name="solver_rhs23" localSheetId="5" hidden="1">binary</definedName>
    <definedName name="solver_rhs24" localSheetId="5" hidden="1">binary</definedName>
    <definedName name="solver_rhs25" localSheetId="5" hidden="1">binary</definedName>
    <definedName name="solver_rhs26" localSheetId="5" hidden="1">binary</definedName>
    <definedName name="solver_rhs27" localSheetId="5" hidden="1">binary</definedName>
    <definedName name="solver_rhs28" localSheetId="5" hidden="1">binary</definedName>
    <definedName name="solver_rhs29" localSheetId="5" hidden="1">binary</definedName>
    <definedName name="solver_rhs3" localSheetId="5" hidden="1">binary</definedName>
    <definedName name="solver_rhs30" localSheetId="5" hidden="1">binary</definedName>
    <definedName name="solver_rhs31" localSheetId="5" hidden="1">binary</definedName>
    <definedName name="solver_rhs32" localSheetId="5" hidden="1">binary</definedName>
    <definedName name="solver_rhs33" localSheetId="5" hidden="1">Calculator!$H$32</definedName>
    <definedName name="solver_rhs34" localSheetId="5" hidden="1">Calculator!$C$37:$GS$37</definedName>
    <definedName name="solver_rhs4" localSheetId="5" hidden="1">binary</definedName>
    <definedName name="solver_rhs5" localSheetId="5" hidden="1">binary</definedName>
    <definedName name="solver_rhs6" localSheetId="5" hidden="1">binary</definedName>
    <definedName name="solver_rhs7" localSheetId="5" hidden="1">binary</definedName>
    <definedName name="solver_rhs8" localSheetId="5" hidden="1">binary</definedName>
    <definedName name="solver_rhs9" localSheetId="5" hidden="1">binary</definedName>
    <definedName name="solver_typ" localSheetId="5" hidden="1">1</definedName>
    <definedName name="solver_typ" localSheetId="1" hidden="1">1</definedName>
    <definedName name="solver_typ" localSheetId="3" hidden="1">1</definedName>
    <definedName name="solver_val" localSheetId="5" hidden="1">0</definedName>
    <definedName name="solver_val" localSheetId="1" hidden="1">0</definedName>
    <definedName name="solver_val" localSheetId="3" hidden="1">0</definedName>
    <definedName name="solver_ver" localSheetId="5" hidden="1">3</definedName>
    <definedName name="solver_ver" localSheetId="1" hidden="1">2</definedName>
    <definedName name="solver_ver" localSheetId="3" hidden="1">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3" i="2" l="1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A22" i="2"/>
  <c r="B22" i="2"/>
  <c r="C22" i="2"/>
  <c r="K22" i="2"/>
  <c r="GS35" i="10"/>
  <c r="GR35" i="10"/>
  <c r="GQ35" i="10"/>
  <c r="GP35" i="10"/>
  <c r="GO35" i="10"/>
  <c r="GN35" i="10"/>
  <c r="GM35" i="10"/>
  <c r="GL35" i="10"/>
  <c r="GK35" i="10"/>
  <c r="GJ35" i="10"/>
  <c r="GI35" i="10"/>
  <c r="GH35" i="10"/>
  <c r="GG35" i="10"/>
  <c r="GF35" i="10"/>
  <c r="GE35" i="10"/>
  <c r="GD35" i="10"/>
  <c r="GC35" i="10"/>
  <c r="GB35" i="10"/>
  <c r="GA35" i="10"/>
  <c r="FZ35" i="10"/>
  <c r="FY35" i="10"/>
  <c r="FX35" i="10"/>
  <c r="FW35" i="10"/>
  <c r="FV35" i="10"/>
  <c r="FU35" i="10"/>
  <c r="FT35" i="10"/>
  <c r="FS35" i="10"/>
  <c r="FR35" i="10"/>
  <c r="FQ35" i="10"/>
  <c r="FP35" i="10"/>
  <c r="FO35" i="10"/>
  <c r="FN35" i="10"/>
  <c r="FM35" i="10"/>
  <c r="FL35" i="10"/>
  <c r="FK35" i="10"/>
  <c r="FJ35" i="10"/>
  <c r="FI35" i="10"/>
  <c r="FH35" i="10"/>
  <c r="FG35" i="10"/>
  <c r="FF35" i="10"/>
  <c r="FE35" i="10"/>
  <c r="FD35" i="10"/>
  <c r="FC35" i="10"/>
  <c r="FB35" i="10"/>
  <c r="FA35" i="10"/>
  <c r="EZ35" i="10"/>
  <c r="EY35" i="10"/>
  <c r="EX35" i="10"/>
  <c r="EW35" i="10"/>
  <c r="EV35" i="10"/>
  <c r="EU35" i="10"/>
  <c r="ET35" i="10"/>
  <c r="ES35" i="10"/>
  <c r="ER35" i="10"/>
  <c r="EQ35" i="10"/>
  <c r="EP35" i="10"/>
  <c r="EO35" i="10"/>
  <c r="EN35" i="10"/>
  <c r="EM35" i="10"/>
  <c r="EL35" i="10"/>
  <c r="EK35" i="10"/>
  <c r="EJ35" i="10"/>
  <c r="EI35" i="10"/>
  <c r="EH35" i="10"/>
  <c r="EG35" i="10"/>
  <c r="EF35" i="10"/>
  <c r="EE35" i="10"/>
  <c r="ED35" i="10"/>
  <c r="EC35" i="10"/>
  <c r="EB35" i="10"/>
  <c r="EA35" i="10"/>
  <c r="DZ35" i="10"/>
  <c r="DY35" i="10"/>
  <c r="DX35" i="10"/>
  <c r="DW35" i="10"/>
  <c r="DV35" i="10"/>
  <c r="DU35" i="10"/>
  <c r="DT35" i="10"/>
  <c r="DS35" i="10"/>
  <c r="DR35" i="10"/>
  <c r="DQ35" i="10"/>
  <c r="DP35" i="10"/>
  <c r="DO35" i="10"/>
  <c r="DN35" i="10"/>
  <c r="DM35" i="10"/>
  <c r="DL35" i="10"/>
  <c r="DK35" i="10"/>
  <c r="DJ35" i="10"/>
  <c r="DI35" i="10"/>
  <c r="DH35" i="10"/>
  <c r="DG35" i="10"/>
  <c r="DF35" i="10"/>
  <c r="DE35" i="10"/>
  <c r="DD35" i="10"/>
  <c r="DC35" i="10"/>
  <c r="DB35" i="10"/>
  <c r="DA35" i="10"/>
  <c r="CZ35" i="10"/>
  <c r="CY35" i="10"/>
  <c r="CX35" i="10"/>
  <c r="CW35" i="10"/>
  <c r="CV35" i="10"/>
  <c r="CU35" i="10"/>
  <c r="CT35" i="10"/>
  <c r="CS35" i="10"/>
  <c r="CR35" i="10"/>
  <c r="CQ35" i="10"/>
  <c r="CP35" i="10"/>
  <c r="CO35" i="10"/>
  <c r="CN35" i="10"/>
  <c r="CM35" i="10"/>
  <c r="CL35" i="10"/>
  <c r="CK35" i="10"/>
  <c r="CJ35" i="10"/>
  <c r="CI35" i="10"/>
  <c r="CH35" i="10"/>
  <c r="CG35" i="10"/>
  <c r="CF35" i="10"/>
  <c r="CE35" i="10"/>
  <c r="CD35" i="10"/>
  <c r="CC35" i="10"/>
  <c r="CB35" i="10"/>
  <c r="CA35" i="10"/>
  <c r="BZ35" i="10"/>
  <c r="BY35" i="10"/>
  <c r="BX35" i="10"/>
  <c r="BW35" i="10"/>
  <c r="BV35" i="10"/>
  <c r="BU35" i="10"/>
  <c r="BT35" i="10"/>
  <c r="BS35" i="10"/>
  <c r="BR35" i="10"/>
  <c r="BQ35" i="10"/>
  <c r="BP35" i="10"/>
  <c r="BO35" i="10"/>
  <c r="BN35" i="10"/>
  <c r="BM35" i="10"/>
  <c r="BL35" i="10"/>
  <c r="BK35" i="10"/>
  <c r="BJ35" i="10"/>
  <c r="BI35" i="10"/>
  <c r="BH35" i="10"/>
  <c r="BG35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AM35" i="10"/>
  <c r="AL35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W35" i="10"/>
  <c r="V35" i="10"/>
  <c r="U35" i="10"/>
  <c r="T35" i="10"/>
  <c r="S35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C35" i="10"/>
  <c r="C30" i="10"/>
  <c r="GT29" i="10"/>
  <c r="GT28" i="10"/>
  <c r="GT27" i="10"/>
  <c r="GT26" i="10"/>
  <c r="GT25" i="10"/>
  <c r="GT24" i="10"/>
  <c r="GT23" i="10"/>
  <c r="GT22" i="10"/>
  <c r="F32" i="10"/>
  <c r="A11" i="2"/>
  <c r="A12" i="2"/>
  <c r="A13" i="2"/>
  <c r="A14" i="2"/>
  <c r="A15" i="2"/>
  <c r="A16" i="2"/>
  <c r="A17" i="2"/>
  <c r="A18" i="2"/>
  <c r="A19" i="2"/>
  <c r="A20" i="2"/>
  <c r="A21" i="2"/>
  <c r="B11" i="2"/>
  <c r="B12" i="2"/>
  <c r="B13" i="2"/>
  <c r="B14" i="2"/>
  <c r="B15" i="2"/>
  <c r="B16" i="2"/>
  <c r="B17" i="2"/>
  <c r="B18" i="2"/>
  <c r="B19" i="2"/>
  <c r="B20" i="2"/>
  <c r="B21" i="2"/>
  <c r="C11" i="2"/>
  <c r="C12" i="2"/>
  <c r="C13" i="2"/>
  <c r="C14" i="2"/>
  <c r="C15" i="2"/>
  <c r="C16" i="2"/>
  <c r="C17" i="2"/>
  <c r="C18" i="2"/>
  <c r="C19" i="2"/>
  <c r="C20" i="2"/>
  <c r="C21" i="2"/>
  <c r="K11" i="2"/>
  <c r="K12" i="2"/>
  <c r="K13" i="2"/>
  <c r="K14" i="2"/>
  <c r="K15" i="2"/>
  <c r="K16" i="2"/>
  <c r="K17" i="2"/>
  <c r="K18" i="2"/>
  <c r="K19" i="2"/>
  <c r="K20" i="2"/>
  <c r="K21" i="2"/>
  <c r="A10" i="2"/>
  <c r="B10" i="2"/>
  <c r="C10" i="2"/>
  <c r="K10" i="2"/>
  <c r="A9" i="2"/>
  <c r="B9" i="2"/>
  <c r="C9" i="2"/>
  <c r="K9" i="2"/>
  <c r="K2" i="2"/>
  <c r="K3" i="2"/>
  <c r="K4" i="2"/>
  <c r="K5" i="2"/>
  <c r="K6" i="2"/>
  <c r="K7" i="2"/>
  <c r="K8" i="2"/>
  <c r="B2" i="2"/>
  <c r="B3" i="2"/>
  <c r="B4" i="2"/>
  <c r="B5" i="2"/>
  <c r="B6" i="2"/>
  <c r="B7" i="2"/>
  <c r="B8" i="2"/>
  <c r="A2" i="2"/>
  <c r="A3" i="2"/>
  <c r="A4" i="2"/>
  <c r="A5" i="2"/>
  <c r="A6" i="2"/>
  <c r="A7" i="2"/>
  <c r="A8" i="2"/>
  <c r="C8" i="2"/>
  <c r="C3" i="2"/>
  <c r="C4" i="2"/>
  <c r="C5" i="2"/>
  <c r="C6" i="2"/>
  <c r="C7" i="2"/>
  <c r="C2" i="2"/>
</calcChain>
</file>

<file path=xl/comments1.xml><?xml version="1.0" encoding="utf-8"?>
<comments xmlns="http://schemas.openxmlformats.org/spreadsheetml/2006/main">
  <authors>
    <author>Windows User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Calculated Session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Department Shortname +3 digits string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3 digits string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U, G</t>
        </r>
      </text>
    </comment>
    <comment ref="G1" authorId="0">
      <text>
        <r>
          <rPr>
            <sz val="9"/>
            <color indexed="81"/>
            <rFont val="Tahoma"/>
            <family val="2"/>
          </rPr>
          <t>Course ID: Department Shortname +3 digits string</t>
        </r>
      </text>
    </comment>
    <comment ref="K1" authorId="0">
      <text>
        <r>
          <rPr>
            <sz val="9"/>
            <color indexed="81"/>
            <rFont val="Tahoma"/>
            <family val="2"/>
          </rPr>
          <t xml:space="preserve">FK: Course ID
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Last name, First name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F, P</t>
        </r>
      </text>
    </comment>
  </commentList>
</comments>
</file>

<file path=xl/sharedStrings.xml><?xml version="1.0" encoding="utf-8"?>
<sst xmlns="http://schemas.openxmlformats.org/spreadsheetml/2006/main" count="1251" uniqueCount="356">
  <si>
    <t>Name</t>
  </si>
  <si>
    <t>Full/Part-time</t>
  </si>
  <si>
    <t>Preference_1</t>
  </si>
  <si>
    <t>Preference_2</t>
  </si>
  <si>
    <t>Preference_3</t>
  </si>
  <si>
    <t>Preference_4</t>
  </si>
  <si>
    <t>Course ID</t>
  </si>
  <si>
    <t>Session ID</t>
  </si>
  <si>
    <t>Level</t>
  </si>
  <si>
    <t>Pre-req 1</t>
  </si>
  <si>
    <t>A, B</t>
  </si>
  <si>
    <t>C, D</t>
  </si>
  <si>
    <t>E, F</t>
  </si>
  <si>
    <t>F</t>
  </si>
  <si>
    <t>Session</t>
  </si>
  <si>
    <t>U</t>
  </si>
  <si>
    <t>G</t>
  </si>
  <si>
    <t>a</t>
  </si>
  <si>
    <t>b</t>
  </si>
  <si>
    <t>A</t>
  </si>
  <si>
    <t>B</t>
  </si>
  <si>
    <t>C</t>
  </si>
  <si>
    <t>D</t>
  </si>
  <si>
    <t>E</t>
  </si>
  <si>
    <t>H</t>
  </si>
  <si>
    <t>TimeSlot</t>
  </si>
  <si>
    <t>Start</t>
  </si>
  <si>
    <t>End</t>
  </si>
  <si>
    <t>I</t>
  </si>
  <si>
    <t>J</t>
  </si>
  <si>
    <t>Block</t>
  </si>
  <si>
    <t>PRE-REQ FLAG</t>
  </si>
  <si>
    <t>GRAD COURSE</t>
  </si>
  <si>
    <t>FIN100</t>
  </si>
  <si>
    <t>FIN200</t>
  </si>
  <si>
    <t>SESSION_FLAG</t>
  </si>
  <si>
    <t>Course Identifier</t>
  </si>
  <si>
    <t>PROFESSOR</t>
  </si>
  <si>
    <t>FIN100 100</t>
  </si>
  <si>
    <t>FIN100 200</t>
  </si>
  <si>
    <t>FIN100 300</t>
  </si>
  <si>
    <t>FIN200 200</t>
  </si>
  <si>
    <t>FIN200 100</t>
  </si>
  <si>
    <t>Column1</t>
  </si>
  <si>
    <t>Column2</t>
  </si>
  <si>
    <t>Column3</t>
  </si>
  <si>
    <t>Column4</t>
  </si>
  <si>
    <t>Column5</t>
  </si>
  <si>
    <t>Column8</t>
  </si>
  <si>
    <t>FIN300 100</t>
  </si>
  <si>
    <t>FIN300</t>
  </si>
  <si>
    <t>WORKSHEET</t>
  </si>
  <si>
    <t>MONDAY</t>
  </si>
  <si>
    <t>TUESDAY</t>
  </si>
  <si>
    <t>WEDNESDAY</t>
  </si>
  <si>
    <t>THURSDAY</t>
  </si>
  <si>
    <t>FRIDAY</t>
  </si>
  <si>
    <t>ASSIGNED_FLAG</t>
  </si>
  <si>
    <t>BLOCK_ASSIGNED</t>
  </si>
  <si>
    <t>EVENING</t>
  </si>
  <si>
    <t>GRAD</t>
  </si>
  <si>
    <t>ACTIVITY PERIOD</t>
  </si>
  <si>
    <t>1. Please enable macro for your excel.</t>
  </si>
  <si>
    <t>3. File → Options → Customize Ribbon → Check "Developer" in the right-hand-side list</t>
  </si>
  <si>
    <t>4. DEVELOPER → Visual Basic → Tools → References… → Check "Solver"</t>
  </si>
  <si>
    <t xml:space="preserve">Note: </t>
  </si>
  <si>
    <t>5. Input course information in the highlighted session in "Input_Course" tab</t>
  </si>
  <si>
    <t>6. Input professor information in the highlighted session in "Input_Professor" tab</t>
  </si>
  <si>
    <t>b. Preference 1 - 4 can be entered through drop-down selection. Preference 1 is the most preferred session and 4 is the least one.</t>
  </si>
  <si>
    <t>c. Detailed column format instruction can be found in the comments in first row.</t>
  </si>
  <si>
    <t>2. File → Options → Add-Ins → Go → Check "Solver Add-In"</t>
  </si>
  <si>
    <r>
      <t>Instruction</t>
    </r>
    <r>
      <rPr>
        <b/>
        <sz val="11"/>
        <color theme="1"/>
        <rFont val="Arial"/>
        <family val="2"/>
      </rPr>
      <t>:</t>
    </r>
  </si>
  <si>
    <t>a. In this release, only one pre-requisite course is allowed for each course</t>
  </si>
  <si>
    <t>a. A pop-out window to offer you the chance to enter the minimum percentage of classes taught by full-time faculties, in case of changing requirement. The default is 75%.</t>
  </si>
  <si>
    <t>8:00-9:20</t>
  </si>
  <si>
    <t>9:30-10:50</t>
  </si>
  <si>
    <t>11:00-12:20</t>
  </si>
  <si>
    <t>12:30-1:50</t>
  </si>
  <si>
    <t>2:00-3:20</t>
  </si>
  <si>
    <t>3:30-4:50</t>
  </si>
  <si>
    <t>5:00-6:20</t>
  </si>
  <si>
    <t>6:30-9:10</t>
  </si>
  <si>
    <t>5:00-7:20</t>
  </si>
  <si>
    <t>7:30-9:50</t>
  </si>
  <si>
    <t>7. Click "Professor Assignment" button in "Input_Course" tab to assign the professors.</t>
  </si>
  <si>
    <t>8. Click "Course Scheduling" button in "Input_Course" tab to schedule courses.</t>
  </si>
  <si>
    <t>9. Click "Generate Calendar" button in "Input_Course" tab to generate one-page printable calendar.</t>
  </si>
  <si>
    <t>10. Go to "PrintOut" tab and print the schedule to PDF or a physical printer.</t>
  </si>
  <si>
    <t>FIN400 300</t>
  </si>
  <si>
    <t>G, H</t>
  </si>
  <si>
    <t>FIN500 100</t>
  </si>
  <si>
    <t>FIN100 400</t>
  </si>
  <si>
    <t>FIN200 300</t>
  </si>
  <si>
    <t>FIN200 400</t>
  </si>
  <si>
    <t>FIN300 200</t>
  </si>
  <si>
    <t>FIN300 300</t>
  </si>
  <si>
    <t>FIN300 400</t>
  </si>
  <si>
    <t>P</t>
  </si>
  <si>
    <t>FIN400 100</t>
  </si>
  <si>
    <t>FIN400 200</t>
  </si>
  <si>
    <t>FIN400 400</t>
  </si>
  <si>
    <t>I, J</t>
  </si>
  <si>
    <t>FIN500 200</t>
  </si>
  <si>
    <t>FIN500 300</t>
  </si>
  <si>
    <t>FIN500 400</t>
  </si>
  <si>
    <t>K, L</t>
  </si>
  <si>
    <t>CS100 100</t>
  </si>
  <si>
    <t>CS200 100</t>
  </si>
  <si>
    <t>CS300 100</t>
  </si>
  <si>
    <t>CS400 100</t>
  </si>
  <si>
    <t>M, N</t>
  </si>
  <si>
    <t>CS500 100</t>
  </si>
  <si>
    <t>CS600 100</t>
  </si>
  <si>
    <t>CS700 100</t>
  </si>
  <si>
    <t>CS800 100</t>
  </si>
  <si>
    <t>O, P</t>
  </si>
  <si>
    <t>CS900 100</t>
  </si>
  <si>
    <t>CS901 100</t>
  </si>
  <si>
    <t>CS902 100</t>
  </si>
  <si>
    <t>CS903 100</t>
  </si>
  <si>
    <t>Input</t>
  </si>
  <si>
    <t>Score</t>
  </si>
  <si>
    <t>Decision</t>
  </si>
  <si>
    <t>ACCT100 100</t>
  </si>
  <si>
    <t>ACCT101 100</t>
  </si>
  <si>
    <t>ACCT102 100</t>
  </si>
  <si>
    <t>ACCT103 100</t>
  </si>
  <si>
    <t>ACCT104 100</t>
  </si>
  <si>
    <t>ACCT105 100</t>
  </si>
  <si>
    <t>ACCT106 100</t>
  </si>
  <si>
    <t>ACCT107 100</t>
  </si>
  <si>
    <t>ACCT108 100</t>
  </si>
  <si>
    <t>ACCT109 100</t>
  </si>
  <si>
    <t>ACCT110 100</t>
  </si>
  <si>
    <t>ACCT111 100</t>
  </si>
  <si>
    <t>ACCT112 100</t>
  </si>
  <si>
    <t>ACCT113 100</t>
  </si>
  <si>
    <t>ACCT114 100</t>
  </si>
  <si>
    <t>ACCT115 100</t>
  </si>
  <si>
    <t>ACCT116 100</t>
  </si>
  <si>
    <t>ACCT117 100</t>
  </si>
  <si>
    <t>ACCT118 100</t>
  </si>
  <si>
    <t>ACCT119 100</t>
  </si>
  <si>
    <t>ACCT120 100</t>
  </si>
  <si>
    <t>ACCT121 100</t>
  </si>
  <si>
    <t>ACCT122 100</t>
  </si>
  <si>
    <t>ACCT123 100</t>
  </si>
  <si>
    <t>ACCT124 100</t>
  </si>
  <si>
    <t>ACCT125 100</t>
  </si>
  <si>
    <t>ACCT126 100</t>
  </si>
  <si>
    <t>MGT100 100</t>
  </si>
  <si>
    <t>MGT101 100</t>
  </si>
  <si>
    <t>MGT102 100</t>
  </si>
  <si>
    <t>MGT103 100</t>
  </si>
  <si>
    <t>MGT104 100</t>
  </si>
  <si>
    <t>MGT105 100</t>
  </si>
  <si>
    <t>MGT106 100</t>
  </si>
  <si>
    <t>MGT107 100</t>
  </si>
  <si>
    <t>MGT108 100</t>
  </si>
  <si>
    <t>MGT109 100</t>
  </si>
  <si>
    <t>MGT110 100</t>
  </si>
  <si>
    <t>MGT111 100</t>
  </si>
  <si>
    <t>CIS100 100</t>
  </si>
  <si>
    <t>CIS101 100</t>
  </si>
  <si>
    <t>CIS102 100</t>
  </si>
  <si>
    <t>CIS103 100</t>
  </si>
  <si>
    <t>CIS104 100</t>
  </si>
  <si>
    <t>CIS105 100</t>
  </si>
  <si>
    <t>CIS106 100</t>
  </si>
  <si>
    <t>CIS107 100</t>
  </si>
  <si>
    <t>CIS108 100</t>
  </si>
  <si>
    <t>CIS109 100</t>
  </si>
  <si>
    <t>CIS110 100</t>
  </si>
  <si>
    <t>CIS111 100</t>
  </si>
  <si>
    <t>CIS112 100</t>
  </si>
  <si>
    <t>CIS113 100</t>
  </si>
  <si>
    <t>CIS114 100</t>
  </si>
  <si>
    <t>HIS100 100</t>
  </si>
  <si>
    <t>HIS101 100</t>
  </si>
  <si>
    <t>HIS102 100</t>
  </si>
  <si>
    <t>HIS103 100</t>
  </si>
  <si>
    <t>HIS104 100</t>
  </si>
  <si>
    <t>HIS105 100</t>
  </si>
  <si>
    <t>HIS106 100</t>
  </si>
  <si>
    <t>HIS107 100</t>
  </si>
  <si>
    <t>HIS108 100</t>
  </si>
  <si>
    <t>HIS109 100</t>
  </si>
  <si>
    <t>HIS110 100</t>
  </si>
  <si>
    <t>HIS111 100</t>
  </si>
  <si>
    <t>HIS112 100</t>
  </si>
  <si>
    <t>LIT100 100</t>
  </si>
  <si>
    <t>LIT101 100</t>
  </si>
  <si>
    <t>LIT102 100</t>
  </si>
  <si>
    <t>LIT103 100</t>
  </si>
  <si>
    <t>LIT104 100</t>
  </si>
  <si>
    <t>LIT105 100</t>
  </si>
  <si>
    <t>LIT106 100</t>
  </si>
  <si>
    <t>LIT107 100</t>
  </si>
  <si>
    <t>LIT108 100</t>
  </si>
  <si>
    <t>LIT109 100</t>
  </si>
  <si>
    <t>LIT110 100</t>
  </si>
  <si>
    <t>LIT111 100</t>
  </si>
  <si>
    <t>LIT112 100</t>
  </si>
  <si>
    <t>LIT113 100</t>
  </si>
  <si>
    <t>LIT114 100</t>
  </si>
  <si>
    <t>HFD100 100</t>
  </si>
  <si>
    <t>HFD101 100</t>
  </si>
  <si>
    <t>HFD102 100</t>
  </si>
  <si>
    <t>HFD103 100</t>
  </si>
  <si>
    <t>HFD104 100</t>
  </si>
  <si>
    <t>HFD105 100</t>
  </si>
  <si>
    <t>HFD106 100</t>
  </si>
  <si>
    <t>HFD107 100</t>
  </si>
  <si>
    <t>HFD108 100</t>
  </si>
  <si>
    <t>HFD109 100</t>
  </si>
  <si>
    <t>HFD110 100</t>
  </si>
  <si>
    <t>HFD111 100</t>
  </si>
  <si>
    <t>HFD112 100</t>
  </si>
  <si>
    <t>HFD113 100</t>
  </si>
  <si>
    <t>HFD114 100</t>
  </si>
  <si>
    <t>HFD115 100</t>
  </si>
  <si>
    <t>HFD116 100</t>
  </si>
  <si>
    <t>HFD117 100</t>
  </si>
  <si>
    <t>HFD118 100</t>
  </si>
  <si>
    <t>HFD119 100</t>
  </si>
  <si>
    <t>HFD120 100</t>
  </si>
  <si>
    <t>HFD121 100</t>
  </si>
  <si>
    <t>HFD122 100</t>
  </si>
  <si>
    <t>HFD123 100</t>
  </si>
  <si>
    <t>HFD124 100</t>
  </si>
  <si>
    <t>HFD125 100</t>
  </si>
  <si>
    <t>HFD126 100</t>
  </si>
  <si>
    <t>HFD127 100</t>
  </si>
  <si>
    <t>HFD128 100</t>
  </si>
  <si>
    <t>HFD129 100</t>
  </si>
  <si>
    <t>HFD130 100</t>
  </si>
  <si>
    <t>HFD131 100</t>
  </si>
  <si>
    <t>HFD132 100</t>
  </si>
  <si>
    <t>HFD133 100</t>
  </si>
  <si>
    <t>HFD134 100</t>
  </si>
  <si>
    <t>HFD135 100</t>
  </si>
  <si>
    <t>HFD136 100</t>
  </si>
  <si>
    <t>HFD137 100</t>
  </si>
  <si>
    <t>HFD138 100</t>
  </si>
  <si>
    <t>HFD147 100</t>
  </si>
  <si>
    <t>HFD148 100</t>
  </si>
  <si>
    <t>HFD149 100</t>
  </si>
  <si>
    <t>HFD150 100</t>
  </si>
  <si>
    <t>HFD151 100</t>
  </si>
  <si>
    <t>HFD152 100</t>
  </si>
  <si>
    <t>HFD153 100</t>
  </si>
  <si>
    <t>HFD154 100</t>
  </si>
  <si>
    <t>HFD175 100</t>
  </si>
  <si>
    <t>HFD176 100</t>
  </si>
  <si>
    <t>HFD177 100</t>
  </si>
  <si>
    <t>HFD178 100</t>
  </si>
  <si>
    <t>HFD179 100</t>
  </si>
  <si>
    <t>HFD180 100</t>
  </si>
  <si>
    <t>HFD181 100</t>
  </si>
  <si>
    <t>HFD182 100</t>
  </si>
  <si>
    <t>HFD183 100</t>
  </si>
  <si>
    <t>HFD184 100</t>
  </si>
  <si>
    <t>HFD185 100</t>
  </si>
  <si>
    <t>HFD186 100</t>
  </si>
  <si>
    <t>HFD187 100</t>
  </si>
  <si>
    <t>ENG100 100</t>
  </si>
  <si>
    <t>ENG101 100</t>
  </si>
  <si>
    <t>ENG102 100</t>
  </si>
  <si>
    <t>ENG103 100</t>
  </si>
  <si>
    <t>ENG104 100</t>
  </si>
  <si>
    <t>ENG105 100</t>
  </si>
  <si>
    <t>ENG106 100</t>
  </si>
  <si>
    <t>ENG107 100</t>
  </si>
  <si>
    <t>ENG108 100</t>
  </si>
  <si>
    <t>ENG109 100</t>
  </si>
  <si>
    <t>ENG110 100</t>
  </si>
  <si>
    <t>ENG111 100</t>
  </si>
  <si>
    <t>ENG112 100</t>
  </si>
  <si>
    <t>ENG113 100</t>
  </si>
  <si>
    <t>ENG114 100</t>
  </si>
  <si>
    <t>ENG115 100</t>
  </si>
  <si>
    <t>ENG116 100</t>
  </si>
  <si>
    <t>ENG117 100</t>
  </si>
  <si>
    <t>ENG118 100</t>
  </si>
  <si>
    <t>ENG119 100</t>
  </si>
  <si>
    <t>ENG120 100</t>
  </si>
  <si>
    <t>ENG121 100</t>
  </si>
  <si>
    <t>ENG122 100</t>
  </si>
  <si>
    <t>ENG123 100</t>
  </si>
  <si>
    <t>ENG124 100</t>
  </si>
  <si>
    <t xml:space="preserve">Objective: </t>
  </si>
  <si>
    <t>(Max)</t>
  </si>
  <si>
    <t>Constraints:</t>
  </si>
  <si>
    <t>1. Percentage taught by full-time faculties</t>
  </si>
  <si>
    <t>&gt;=</t>
  </si>
  <si>
    <t>2. Binary Decision Variables</t>
  </si>
  <si>
    <t>3. Each course has one and only one professor</t>
  </si>
  <si>
    <t>=</t>
  </si>
  <si>
    <t>1
FIN100 100 - A, B
ACCT100 100 - TBD
ACCT101 100 - TBD
ACCT102 100 - TBD
ACCT103 100 - TBD
ENG113 100 - TBD</t>
  </si>
  <si>
    <t>2
ACCT104 100 - TBD
ACCT105 100 - TBD
ACCT106 100 - TBD
ACCT107 100 - TBD
ACCT108 100 - TBD
ENG114 100 - TBD</t>
  </si>
  <si>
    <t>3
ACCT109 100 - TBD
ACCT110 100 - TBD
ACCT111 100 - TBD
ACCT112 100 - TBD
ACCT113 100 - TBD
ENG115 100 - TBD</t>
  </si>
  <si>
    <t>4
FIN400 100 - G, H
ACCT114 100 - TBD
ACCT115 100 - TBD
ACCT116 100 - TBD
ACCT117 100 - TBD
ENG116 100 - TBD</t>
  </si>
  <si>
    <t>5
ACCT118 100 - TBD
ACCT119 100 - TBD
ACCT120 100 - TBD
ACCT121 100 - TBD
ACCT122 100 - TBD
ENG117 100 - TBD</t>
  </si>
  <si>
    <t>6
FIN200 100 - C, D
ACCT123 100 - TBD
ACCT124 100 - TBD
ACCT125 100 - TBD
ACCT126 100 - TBD
ENG118 100 - TBD</t>
  </si>
  <si>
    <t>7
FIN300 100 - E, F
FIN500 100 - I, J
MGT100 100 - TBD
MGT101 100 - TBD
MGT102 100 - TBD
ENG119 100 - TBD</t>
  </si>
  <si>
    <t>8
MGT103 100 - TBD
MGT104 100 - TBD
MGT105 100 - TBD
MGT106 100 - TBD
MGT107 100 - TBD
ENG120 100 - TBD</t>
  </si>
  <si>
    <t>9
FIN200 300 - C, D
FIN500 400 - I, J
MGT108 100 - TBD
MGT109 100 - TBD
MGT110 100 - TBD
ENG121 100 - TBD</t>
  </si>
  <si>
    <t>10
FIN300 300 - E, F
FIN500 200 - I, J
MGT111 100 - TBD
CIS100 100 - TBD
CIS101 100 - TBD
ENG122 100 - TBD</t>
  </si>
  <si>
    <t>11
CIS102 100 - TBD
CIS103 100 - TBD
CIS104 100 - TBD
CIS105 100 - TBD
CIS106 100 - TBD
ENG123 100 - TBD</t>
  </si>
  <si>
    <t>12
FIN400 300 - G, H
CIS107 100 - TBD
CIS108 100 - TBD
CIS109 100 - TBD
CIS110 100 - TBD
ENG124 100 - TBD</t>
  </si>
  <si>
    <t>13
FIN300 200 - E, F
CIS111 100 - TBD
CIS112 100 - TBD
CIS113 100 - TBD
CIS114 100 - TBD</t>
  </si>
  <si>
    <t>14
FIN100 300 - A, B
FIN200 400 - C, D
HIS100 100 - TBD
HIS101 100 - TBD
HIS102 100 - TBD</t>
  </si>
  <si>
    <t>15
HIS103 100 - TBD
HIS104 100 - TBD
HIS105 100 - TBD
HIS106 100 - TBD
HIS107 100 - TBD</t>
  </si>
  <si>
    <t>16
HIS108 100 - TBD
HIS109 100 - TBD
HIS110 100 - TBD
HIS111 100 - TBD
HIS112 100 - TBD</t>
  </si>
  <si>
    <t>17
ENG100 100 - TBD
ENG101 100 - TBD
ENG102 100 - TBD
ENG103 100 - TBD
ENG104 100 - TBD</t>
  </si>
  <si>
    <t>18
ENG105 100 - TBD
ENG106 100 - TBD
ENG107 100 - TBD
ENG108 100 - TBD
ENG109 100 - TBD</t>
  </si>
  <si>
    <t>19
FIN100 200 - A, B
FIN100 400 - A, B
FIN200 200 - C, D
FIN400 200 - G, H
ENG110 100 - TBD</t>
  </si>
  <si>
    <t>20
FIN300 400 - E, F
FIN400 400 - G, H
FIN500 300 - I, J
ENG111 100 - TBD
ENG112 100 - TBD</t>
  </si>
  <si>
    <t>21
CS100 100 - K, L
CS200 100 - K, L
CS300 100 - K, L
CS400 100 - K, L
CS500 100 - M, N
CS902 100 - O, P
CS903 100 - O, P
LIT100 100 - TBD
LIT101 100 - TBD
LIT102 100 - TBD
LIT103 100 - TBD</t>
  </si>
  <si>
    <t>22
LIT104 100 - TBD
LIT105 100 - TBD
LIT106 100 - TBD
LIT107 100 - TBD
LIT108 100 - TBD
LIT109 100 - TBD
LIT110 100 - TBD
LIT111 100 - TBD
LIT112 100 - TBD
LIT113 100 - TBD
LIT114 100 - TBD</t>
  </si>
  <si>
    <t>23
CS700 100 - M, N
HFD100 100 - TBD
HFD101 100 - TBD
HFD102 100 - TBD
HFD103 100 - TBD
HFD104 100 - TBD
HFD105 100 - TBD
HFD106 100 - TBD
HFD107 100 - TBD
HFD108 100 - TBD
HFD109 100 - TBD</t>
  </si>
  <si>
    <t>24
CS600 100 - M, N
CS800 100 - M, N
HFD110 100 - TBD
HFD111 100 - TBD
HFD112 100 - TBD
HFD113 100 - TBD
HFD114 100 - TBD
HFD115 100 - TBD
HFD116 100 - TBD
HFD117 100 - TBD
HFD118 100 - TBD</t>
  </si>
  <si>
    <t>25
HFD119 100 - TBD
HFD120 100 - TBD
HFD121 100 - TBD
HFD122 100 - TBD
HFD123 100 - TBD
HFD124 100 - TBD
HFD125 100 - TBD
HFD126 100 - TBD
HFD127 100 - TBD
HFD128 100 - TBD
HFD129 100 - TBD</t>
  </si>
  <si>
    <t>26
CS901 100 - O, P
HFD130 100 - TBD
HFD131 100 - TBD
HFD132 100 - TBD
HFD133 100 - TBD
HFD134 100 - TBD
HFD135 100 - TBD
HFD136 100 - TBD
HFD137 100 - TBD
HFD138 100 - TBD
HFD147 100 - TBD</t>
  </si>
  <si>
    <t>27
CS900 100 - O, P
HFD148 100 - TBD
HFD149 100 - TBD
HFD150 100 - TBD
HFD151 100 - TBD
HFD152 100 - TBD
HFD153 100 - TBD
HFD154 100 - TBD
HFD175 100 - TBD
HFD176 100 - TBD
HFD177 100 - TBD</t>
  </si>
  <si>
    <t>28
HFD178 100 - TBD
HFD179 100 - TBD
HFD180 100 - TBD
HFD181 100 - TBD
HFD182 100 - TBD
HFD183 100 - TBD
HFD184 100 - TBD
HFD185 100 - TBD
HFD186 100 - TBD
HFD187 100 - TBD</t>
  </si>
  <si>
    <t>Pre-req 2</t>
  </si>
  <si>
    <t>Pre-req 3</t>
  </si>
  <si>
    <t>Pre-req 4</t>
  </si>
  <si>
    <t>ASSIGNED_FLAG2</t>
  </si>
  <si>
    <t>BLOCK_ASSIGNED2</t>
  </si>
  <si>
    <t>FIN503</t>
  </si>
  <si>
    <t>FIN504</t>
  </si>
  <si>
    <t>FIN505</t>
  </si>
  <si>
    <t>FIN506</t>
  </si>
  <si>
    <t>FIN507</t>
  </si>
  <si>
    <t>FIN508</t>
  </si>
  <si>
    <t>FIN509</t>
  </si>
  <si>
    <t>FIN510</t>
  </si>
  <si>
    <t>FIN511</t>
  </si>
  <si>
    <t>FIN512</t>
  </si>
  <si>
    <t>FIN513</t>
  </si>
  <si>
    <t>FIN514</t>
  </si>
  <si>
    <t>FIN515</t>
  </si>
  <si>
    <t>FIN302</t>
  </si>
  <si>
    <t>FIN303</t>
  </si>
  <si>
    <t>FIN304</t>
  </si>
  <si>
    <t>FIN305</t>
  </si>
  <si>
    <t>FIN306</t>
  </si>
  <si>
    <t>FIN307</t>
  </si>
  <si>
    <t>FIN308</t>
  </si>
  <si>
    <t>FIN309</t>
  </si>
  <si>
    <t>FIN310</t>
  </si>
  <si>
    <t>FIN311</t>
  </si>
  <si>
    <t>FIN312</t>
  </si>
  <si>
    <t>FIN313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</si>
</sst>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 val="double"/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scheme val="minor"/>
    </font>
    <font>
      <sz val="9"/>
      <color theme="1"/>
      <name val="Calibri"/>
      <scheme val="minor"/>
    </font>
    <font>
      <sz val="11"/>
      <color rgb="FFFF000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CFFCC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4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66">
    <xf numFmtId="0" fontId="0" fillId="0" borderId="0" xfId="0"/>
    <xf numFmtId="20" fontId="0" fillId="0" borderId="0" xfId="0" applyNumberFormat="1"/>
    <xf numFmtId="0" fontId="6" fillId="0" borderId="0" xfId="0" applyFont="1" applyFill="1"/>
    <xf numFmtId="0" fontId="7" fillId="0" borderId="0" xfId="91" applyFill="1"/>
    <xf numFmtId="0" fontId="6" fillId="0" borderId="0" xfId="0" applyFont="1" applyFill="1" applyAlignment="1">
      <alignment horizontal="center"/>
    </xf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1" fillId="0" borderId="0" xfId="0" applyFont="1"/>
    <xf numFmtId="0" fontId="8" fillId="0" borderId="0" xfId="91" applyFont="1" applyFill="1" applyAlignment="1">
      <alignment horizontal="center"/>
    </xf>
    <xf numFmtId="0" fontId="8" fillId="0" borderId="0" xfId="91" applyFont="1" applyFill="1"/>
    <xf numFmtId="0" fontId="8" fillId="3" borderId="0" xfId="0" applyFont="1" applyFill="1" applyAlignment="1">
      <alignment horizontal="center"/>
    </xf>
    <xf numFmtId="0" fontId="8" fillId="3" borderId="0" xfId="0" applyFont="1" applyFill="1"/>
    <xf numFmtId="0" fontId="8" fillId="3" borderId="0" xfId="91" applyFont="1" applyFill="1" applyAlignment="1">
      <alignment horizontal="center"/>
    </xf>
    <xf numFmtId="0" fontId="8" fillId="3" borderId="0" xfId="91" applyFont="1" applyFill="1"/>
    <xf numFmtId="0" fontId="0" fillId="3" borderId="0" xfId="0" applyFill="1"/>
    <xf numFmtId="0" fontId="0" fillId="0" borderId="0" xfId="0" applyAlignment="1">
      <alignment horizontal="left"/>
    </xf>
    <xf numFmtId="0" fontId="10" fillId="0" borderId="0" xfId="0" applyFont="1"/>
    <xf numFmtId="0" fontId="12" fillId="0" borderId="0" xfId="0" applyFont="1" applyAlignment="1">
      <alignment horizontal="left" indent="2"/>
    </xf>
    <xf numFmtId="0" fontId="13" fillId="0" borderId="0" xfId="0" applyFont="1" applyAlignment="1">
      <alignment horizontal="left" indent="3"/>
    </xf>
    <xf numFmtId="0" fontId="13" fillId="0" borderId="0" xfId="0" applyFont="1" applyAlignment="1">
      <alignment horizontal="left" indent="5"/>
    </xf>
    <xf numFmtId="0" fontId="0" fillId="0" borderId="5" xfId="0" applyBorder="1" applyAlignment="1">
      <alignment vertical="top"/>
    </xf>
    <xf numFmtId="20" fontId="0" fillId="0" borderId="5" xfId="0" applyNumberFormat="1" applyBorder="1" applyAlignment="1">
      <alignment vertical="top"/>
    </xf>
    <xf numFmtId="0" fontId="0" fillId="0" borderId="4" xfId="0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 wrapText="1" justifyLastLine="1"/>
    </xf>
    <xf numFmtId="0" fontId="0" fillId="4" borderId="4" xfId="0" applyFill="1" applyBorder="1" applyAlignment="1">
      <alignment horizontal="left" vertical="top"/>
    </xf>
    <xf numFmtId="0" fontId="0" fillId="0" borderId="4" xfId="0" applyBorder="1" applyAlignment="1">
      <alignment horizontal="left" vertical="top" wrapText="1"/>
    </xf>
    <xf numFmtId="0" fontId="0" fillId="0" borderId="7" xfId="0" applyBorder="1" applyAlignment="1">
      <alignment vertical="top"/>
    </xf>
    <xf numFmtId="0" fontId="0" fillId="0" borderId="8" xfId="0" applyBorder="1" applyAlignment="1">
      <alignment horizontal="left" vertical="top" wrapText="1" justifyLastLine="1"/>
    </xf>
    <xf numFmtId="20" fontId="0" fillId="0" borderId="7" xfId="0" applyNumberFormat="1" applyBorder="1" applyAlignment="1">
      <alignment vertical="top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2" xfId="0" applyBorder="1" applyAlignment="1">
      <alignment horizontal="left" vertical="top"/>
    </xf>
    <xf numFmtId="0" fontId="9" fillId="0" borderId="2" xfId="0" applyFont="1" applyBorder="1" applyAlignment="1">
      <alignment horizontal="center" vertical="top"/>
    </xf>
    <xf numFmtId="0" fontId="9" fillId="0" borderId="3" xfId="0" applyFont="1" applyBorder="1" applyAlignment="1">
      <alignment horizontal="center" vertical="top"/>
    </xf>
    <xf numFmtId="0" fontId="0" fillId="4" borderId="8" xfId="0" applyFill="1" applyBorder="1" applyAlignment="1">
      <alignment horizontal="left" vertical="top" wrapText="1"/>
    </xf>
    <xf numFmtId="0" fontId="8" fillId="0" borderId="0" xfId="91" applyNumberFormat="1" applyFont="1" applyFill="1" applyAlignment="1">
      <alignment horizontal="center"/>
    </xf>
    <xf numFmtId="0" fontId="8" fillId="0" borderId="0" xfId="0" applyNumberFormat="1" applyFont="1" applyFill="1" applyAlignment="1">
      <alignment horizontal="center"/>
    </xf>
    <xf numFmtId="0" fontId="0" fillId="4" borderId="4" xfId="0" applyFill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8" fillId="5" borderId="0" xfId="0" applyNumberFormat="1" applyFont="1" applyFill="1" applyAlignment="1">
      <alignment horizontal="center"/>
    </xf>
    <xf numFmtId="0" fontId="8" fillId="5" borderId="0" xfId="0" applyFont="1" applyFill="1"/>
    <xf numFmtId="0" fontId="8" fillId="5" borderId="0" xfId="0" applyFont="1" applyFill="1" applyAlignment="1">
      <alignment horizontal="center"/>
    </xf>
    <xf numFmtId="0" fontId="0" fillId="5" borderId="0" xfId="0" applyFill="1"/>
    <xf numFmtId="0" fontId="6" fillId="5" borderId="0" xfId="0" applyFont="1" applyFill="1"/>
    <xf numFmtId="0" fontId="8" fillId="5" borderId="0" xfId="91" applyNumberFormat="1" applyFont="1" applyFill="1" applyAlignment="1">
      <alignment horizontal="center"/>
    </xf>
    <xf numFmtId="0" fontId="8" fillId="5" borderId="0" xfId="91" applyFont="1" applyFill="1"/>
    <xf numFmtId="0" fontId="8" fillId="5" borderId="0" xfId="91" applyFont="1" applyFill="1" applyAlignment="1">
      <alignment horizontal="center"/>
    </xf>
    <xf numFmtId="0" fontId="7" fillId="5" borderId="0" xfId="91" applyFill="1"/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 vertical="top"/>
    </xf>
    <xf numFmtId="0" fontId="9" fillId="0" borderId="6" xfId="0" applyFont="1" applyBorder="1" applyAlignment="1">
      <alignment horizontal="center" vertical="top"/>
    </xf>
    <xf numFmtId="0" fontId="15" fillId="0" borderId="0" xfId="0" applyFont="1"/>
    <xf numFmtId="0" fontId="16" fillId="5" borderId="0" xfId="0" applyNumberFormat="1" applyFont="1" applyFill="1" applyAlignment="1">
      <alignment horizontal="center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3" borderId="0" xfId="0" applyFont="1" applyFill="1"/>
    <xf numFmtId="0" fontId="16" fillId="3" borderId="0" xfId="91" applyFont="1" applyFill="1" applyAlignment="1">
      <alignment horizontal="center"/>
    </xf>
    <xf numFmtId="0" fontId="16" fillId="0" borderId="0" xfId="0" applyFont="1"/>
    <xf numFmtId="0" fontId="16" fillId="0" borderId="0" xfId="0" applyFont="1" applyFill="1" applyAlignment="1">
      <alignment horizontal="center"/>
    </xf>
    <xf numFmtId="0" fontId="16" fillId="0" borderId="0" xfId="0" applyFont="1" applyFill="1"/>
    <xf numFmtId="0" fontId="16" fillId="3" borderId="0" xfId="0" applyFont="1" applyFill="1" applyAlignment="1">
      <alignment horizontal="center"/>
    </xf>
    <xf numFmtId="0" fontId="16" fillId="0" borderId="0" xfId="0" applyFont="1" applyAlignment="1">
      <alignment horizontal="left"/>
    </xf>
  </cellXfs>
  <cellStyles count="14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Good" xfId="91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Normal" xfId="0" builtinId="0"/>
  </cellStyles>
  <dxfs count="29">
    <dxf>
      <numFmt numFmtId="25" formatCode="h:mm"/>
    </dxf>
    <dxf>
      <numFmt numFmtId="25" formatCode="h:mm"/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622300</xdr:colOff>
          <xdr:row>1</xdr:row>
          <xdr:rowOff>0</xdr:rowOff>
        </xdr:from>
        <xdr:to>
          <xdr:col>10</xdr:col>
          <xdr:colOff>95250</xdr:colOff>
          <xdr:row>4</xdr:row>
          <xdr:rowOff>133350</xdr:rowOff>
        </xdr:to>
        <xdr:grpSp>
          <xdr:nvGrpSpPr>
            <xdr:cNvPr id="5" name="Group 4"/>
            <xdr:cNvGrpSpPr>
              <a:grpSpLocks noChangeAspect="1"/>
            </xdr:cNvGrpSpPr>
          </xdr:nvGrpSpPr>
          <xdr:grpSpPr>
            <a:xfrm>
              <a:off x="5978387" y="176696"/>
              <a:ext cx="1527037" cy="663437"/>
              <a:chOff x="9382125" y="152400"/>
              <a:chExt cx="1371600" cy="704851"/>
            </a:xfr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</xdr:grpSpPr>
          <xdr:sp macro="" textlink="">
            <xdr:nvSpPr>
              <xdr:cNvPr id="2068" name="Button 20" hidden="1">
                <a:extLst>
                  <a:ext uri="{63B3BB69-23CF-44E3-9099-C40C66FF867C}">
                    <a14:compatExt spid="_x0000_s2068"/>
                  </a:ext>
                </a:extLst>
              </xdr:cNvPr>
              <xdr:cNvSpPr/>
            </xdr:nvSpPr>
            <xdr:spPr>
              <a:xfrm>
                <a:off x="9382125" y="152400"/>
                <a:ext cx="1371600" cy="22860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Professor Assignment</a:t>
                </a:r>
              </a:p>
            </xdr:txBody>
          </xdr:sp>
          <xdr:sp macro="" textlink="">
            <xdr:nvSpPr>
              <xdr:cNvPr id="2069" name="Button 21" hidden="1">
                <a:extLst>
                  <a:ext uri="{63B3BB69-23CF-44E3-9099-C40C66FF867C}">
                    <a14:compatExt spid="_x0000_s2069"/>
                  </a:ext>
                </a:extLst>
              </xdr:cNvPr>
              <xdr:cNvSpPr/>
            </xdr:nvSpPr>
            <xdr:spPr>
              <a:xfrm>
                <a:off x="9382125" y="390525"/>
                <a:ext cx="1371600" cy="22860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Course Scheduling</a:t>
                </a:r>
              </a:p>
            </xdr:txBody>
          </xdr:sp>
          <xdr:sp macro="" textlink="">
            <xdr:nvSpPr>
              <xdr:cNvPr id="2070" name="Button 22" hidden="1">
                <a:extLst>
                  <a:ext uri="{63B3BB69-23CF-44E3-9099-C40C66FF867C}">
                    <a14:compatExt spid="_x0000_s2070"/>
                  </a:ext>
                </a:extLst>
              </xdr:cNvPr>
              <xdr:cNvSpPr/>
            </xdr:nvSpPr>
            <xdr:spPr>
              <a:xfrm>
                <a:off x="9382125" y="628650"/>
                <a:ext cx="1371600" cy="228601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Generate Calendar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Course" displayName="Course" ref="A1:V36" totalsRowShown="0" headerRowDxfId="28" dataDxfId="27">
  <autoFilter ref="A1:V36"/>
  <tableColumns count="22">
    <tableColumn id="1" name="GRAD COURSE" dataDxfId="26">
      <calculatedColumnFormula>IF(F2="G", TRUE,FALSE)</calculatedColumnFormula>
    </tableColumn>
    <tableColumn id="2" name="PRE-REQ FLAG" dataDxfId="25">
      <calculatedColumnFormula>IF(ISBLANK(G2),FALSE,TRUE)</calculatedColumnFormula>
    </tableColumn>
    <tableColumn id="3" name="Course Identifier" dataDxfId="24">
      <calculatedColumnFormula>CONCATENATE(D2," ",E2)</calculatedColumnFormula>
    </tableColumn>
    <tableColumn id="4" name="Course ID" dataDxfId="23"/>
    <tableColumn id="5" name="Session ID" dataDxfId="22"/>
    <tableColumn id="6" name="Level" dataDxfId="21"/>
    <tableColumn id="7" name="Pre-req 1" dataDxfId="20"/>
    <tableColumn id="22" name="Pre-req 2" dataDxfId="19"/>
    <tableColumn id="21" name="Pre-req 3" dataDxfId="18"/>
    <tableColumn id="20" name="Pre-req 4" dataDxfId="17"/>
    <tableColumn id="8" name="SESSION_FLAG" dataDxfId="16">
      <calculatedColumnFormula>IF(COUNTIF(Course[Course ID],Course[[#This Row],[Course ID]])&gt;1,"S","")</calculatedColumnFormula>
    </tableColumn>
    <tableColumn id="9" name="Column1" dataDxfId="15"/>
    <tableColumn id="10" name="Column2" dataDxfId="14"/>
    <tableColumn id="11" name="Column3" dataDxfId="13"/>
    <tableColumn id="12" name="Column4" dataDxfId="12"/>
    <tableColumn id="13" name="Column5" dataDxfId="11"/>
    <tableColumn id="14" name="ASSIGNED_FLAG"/>
    <tableColumn id="15" name="BLOCK_ASSIGNED"/>
    <tableColumn id="16" name="Column8" dataDxfId="10"/>
    <tableColumn id="17" name="ASSIGNED_FLAG2"/>
    <tableColumn id="18" name="BLOCK_ASSIGNED2"/>
    <tableColumn id="19" name="PROFESSOR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Professor" displayName="Professor" ref="A1:F9" totalsRowShown="0" dataDxfId="8">
  <autoFilter ref="A1:F9"/>
  <tableColumns count="6">
    <tableColumn id="1" name="Name" dataDxfId="7"/>
    <tableColumn id="2" name="Full/Part-time" dataDxfId="6"/>
    <tableColumn id="3" name="Preference_1" dataDxfId="5"/>
    <tableColumn id="4" name="Preference_2" dataDxfId="4"/>
    <tableColumn id="5" name="Preference_3" dataDxfId="3"/>
    <tableColumn id="6" name="Preference_4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Block" displayName="Block" ref="A1:F45" totalsRowShown="0">
  <autoFilter ref="A1:F45"/>
  <tableColumns count="6">
    <tableColumn id="1" name="Block"/>
    <tableColumn id="2" name="Session"/>
    <tableColumn id="3" name="Level"/>
    <tableColumn id="4" name="TimeSlot"/>
    <tableColumn id="5" name="Start" dataDxfId="1"/>
    <tableColumn id="6" name="End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table" Target="../tables/table1.xml"/><Relationship Id="rId7" Type="http://schemas.openxmlformats.org/officeDocument/2006/relationships/comments" Target="../comments1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table" Target="../tables/table2.xml"/><Relationship Id="rId3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R17"/>
  <sheetViews>
    <sheetView showGridLines="0" workbookViewId="0">
      <selection activeCell="P12" sqref="P12"/>
    </sheetView>
  </sheetViews>
  <sheetFormatPr baseColWidth="10" defaultColWidth="8.83203125" defaultRowHeight="14" x14ac:dyDescent="0"/>
  <sheetData>
    <row r="1" spans="1:18">
      <c r="A1" s="19" t="s">
        <v>71</v>
      </c>
      <c r="Q1" t="s">
        <v>57</v>
      </c>
      <c r="R1" t="s">
        <v>58</v>
      </c>
    </row>
    <row r="2" spans="1:18">
      <c r="A2" s="20" t="s">
        <v>62</v>
      </c>
    </row>
    <row r="3" spans="1:18">
      <c r="A3" s="20" t="s">
        <v>70</v>
      </c>
    </row>
    <row r="4" spans="1:18">
      <c r="A4" s="20" t="s">
        <v>63</v>
      </c>
    </row>
    <row r="5" spans="1:18">
      <c r="A5" s="20" t="s">
        <v>64</v>
      </c>
    </row>
    <row r="6" spans="1:18">
      <c r="A6" s="20" t="s">
        <v>66</v>
      </c>
    </row>
    <row r="7" spans="1:18">
      <c r="A7" s="21" t="s">
        <v>65</v>
      </c>
    </row>
    <row r="8" spans="1:18">
      <c r="A8" s="22" t="s">
        <v>72</v>
      </c>
    </row>
    <row r="9" spans="1:18">
      <c r="A9" s="20" t="s">
        <v>67</v>
      </c>
    </row>
    <row r="10" spans="1:18">
      <c r="A10" s="21" t="s">
        <v>65</v>
      </c>
    </row>
    <row r="11" spans="1:18">
      <c r="A11" s="22" t="s">
        <v>73</v>
      </c>
    </row>
    <row r="12" spans="1:18">
      <c r="A12" s="22" t="s">
        <v>68</v>
      </c>
    </row>
    <row r="13" spans="1:18">
      <c r="A13" s="22" t="s">
        <v>69</v>
      </c>
    </row>
    <row r="14" spans="1:18">
      <c r="A14" s="20" t="s">
        <v>84</v>
      </c>
    </row>
    <row r="15" spans="1:18">
      <c r="A15" s="20" t="s">
        <v>85</v>
      </c>
    </row>
    <row r="16" spans="1:18">
      <c r="A16" s="20" t="s">
        <v>86</v>
      </c>
    </row>
    <row r="17" spans="1:1">
      <c r="A17" s="20" t="s">
        <v>87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B050"/>
  </sheetPr>
  <dimension ref="A1:AE36"/>
  <sheetViews>
    <sheetView tabSelected="1" zoomScale="115" zoomScaleNormal="115" zoomScalePageLayoutView="115" workbookViewId="0">
      <pane ySplit="1" topLeftCell="A2" activePane="bottomLeft" state="frozen"/>
      <selection activeCell="F22" sqref="F22"/>
      <selection pane="bottomLeft" activeCell="J23" sqref="J23"/>
    </sheetView>
  </sheetViews>
  <sheetFormatPr baseColWidth="10" defaultColWidth="9" defaultRowHeight="14" x14ac:dyDescent="0"/>
  <cols>
    <col min="1" max="1" width="9" style="2"/>
    <col min="2" max="2" width="16.33203125" style="2" customWidth="1"/>
    <col min="3" max="3" width="9" style="2"/>
    <col min="4" max="4" width="9" style="4"/>
    <col min="5" max="11" width="9" style="2"/>
    <col min="12" max="12" width="22.33203125" style="2" customWidth="1"/>
    <col min="13" max="16" width="9" style="2"/>
    <col min="19" max="19" width="9" style="5"/>
    <col min="22" max="16384" width="9" style="2"/>
  </cols>
  <sheetData>
    <row r="1" spans="1:31">
      <c r="A1" s="6" t="s">
        <v>32</v>
      </c>
      <c r="B1" s="6" t="s">
        <v>31</v>
      </c>
      <c r="C1" s="6" t="s">
        <v>36</v>
      </c>
      <c r="D1" s="7" t="s">
        <v>6</v>
      </c>
      <c r="E1" s="6" t="s">
        <v>7</v>
      </c>
      <c r="F1" s="6" t="s">
        <v>8</v>
      </c>
      <c r="G1" s="6" t="s">
        <v>9</v>
      </c>
      <c r="H1" s="6" t="s">
        <v>326</v>
      </c>
      <c r="I1" s="6" t="s">
        <v>327</v>
      </c>
      <c r="J1" s="6" t="s">
        <v>328</v>
      </c>
      <c r="K1" s="6" t="s">
        <v>35</v>
      </c>
      <c r="L1" s="6" t="s">
        <v>43</v>
      </c>
      <c r="M1" s="6" t="s">
        <v>44</v>
      </c>
      <c r="N1" s="6" t="s">
        <v>45</v>
      </c>
      <c r="O1" s="6" t="s">
        <v>46</v>
      </c>
      <c r="P1" s="6" t="s">
        <v>47</v>
      </c>
      <c r="Q1" t="s">
        <v>57</v>
      </c>
      <c r="R1" t="s">
        <v>58</v>
      </c>
      <c r="S1" s="6" t="s">
        <v>48</v>
      </c>
      <c r="T1" t="s">
        <v>329</v>
      </c>
      <c r="U1" t="s">
        <v>330</v>
      </c>
      <c r="V1" s="10" t="s">
        <v>37</v>
      </c>
      <c r="AC1"/>
      <c r="AD1"/>
      <c r="AE1"/>
    </row>
    <row r="2" spans="1:31" s="63" customFormat="1">
      <c r="A2" s="62" t="b">
        <f>IF(F2="G", TRUE,FALSE)</f>
        <v>1</v>
      </c>
      <c r="B2" s="62" t="b">
        <f t="shared" ref="B2:B8" si="0">IF(ISBLANK(G2),FALSE,TRUE)</f>
        <v>0</v>
      </c>
      <c r="C2" s="63" t="str">
        <f t="shared" ref="C2:C10" si="1">CONCATENATE(D2," ",E2)</f>
        <v>FIN100 100</v>
      </c>
      <c r="D2" s="64" t="s">
        <v>33</v>
      </c>
      <c r="E2" s="64">
        <v>100</v>
      </c>
      <c r="F2" s="59" t="s">
        <v>16</v>
      </c>
      <c r="G2" s="59"/>
      <c r="H2" s="59"/>
      <c r="I2" s="59"/>
      <c r="J2" s="59">
        <v>7</v>
      </c>
      <c r="K2" s="62" t="str">
        <f>IF(COUNTIF(Course[Course ID],Course[[#This Row],[Course ID]])&gt;1,"S","")</f>
        <v>S</v>
      </c>
      <c r="Q2" t="b">
        <v>1</v>
      </c>
      <c r="R2">
        <v>25</v>
      </c>
      <c r="T2" s="61"/>
      <c r="U2" s="61"/>
      <c r="V2" s="63" t="s">
        <v>10</v>
      </c>
      <c r="AC2" s="65"/>
      <c r="AD2" s="61"/>
      <c r="AE2" s="61"/>
    </row>
    <row r="3" spans="1:31">
      <c r="A3" s="9" t="b">
        <f>IF(F3="G", TRUE,FALSE)</f>
        <v>1</v>
      </c>
      <c r="B3" s="9" t="b">
        <f t="shared" si="0"/>
        <v>0</v>
      </c>
      <c r="C3" s="8" t="str">
        <f t="shared" si="1"/>
        <v>FIN100 200</v>
      </c>
      <c r="D3" s="13" t="s">
        <v>33</v>
      </c>
      <c r="E3" s="13">
        <v>200</v>
      </c>
      <c r="F3" s="59" t="s">
        <v>16</v>
      </c>
      <c r="G3" s="14"/>
      <c r="H3" s="14"/>
      <c r="I3" s="14"/>
      <c r="J3" s="14"/>
      <c r="K3" s="9" t="str">
        <f>IF(COUNTIF(Course[Course ID],Course[[#This Row],[Course ID]])&gt;1,"S","")</f>
        <v>S</v>
      </c>
      <c r="L3" s="8"/>
      <c r="M3" s="8"/>
      <c r="N3" s="8"/>
      <c r="O3" s="8"/>
      <c r="P3" s="8"/>
      <c r="Q3" t="b">
        <v>1</v>
      </c>
      <c r="R3">
        <v>26</v>
      </c>
      <c r="S3" s="8"/>
      <c r="V3" s="8" t="s">
        <v>10</v>
      </c>
      <c r="AC3" s="18"/>
      <c r="AD3"/>
      <c r="AE3"/>
    </row>
    <row r="4" spans="1:31">
      <c r="A4" s="9" t="b">
        <f t="shared" ref="A4:A8" si="2">IF(F4="G", TRUE,FALSE)</f>
        <v>1</v>
      </c>
      <c r="B4" s="9" t="b">
        <f t="shared" si="0"/>
        <v>0</v>
      </c>
      <c r="C4" s="8" t="str">
        <f t="shared" si="1"/>
        <v>FIN100 300</v>
      </c>
      <c r="D4" s="13" t="s">
        <v>33</v>
      </c>
      <c r="E4" s="13">
        <v>300</v>
      </c>
      <c r="F4" s="59" t="s">
        <v>16</v>
      </c>
      <c r="G4" s="14"/>
      <c r="H4" s="14"/>
      <c r="I4" s="14"/>
      <c r="J4" s="14"/>
      <c r="K4" s="9" t="str">
        <f>IF(COUNTIF(Course[Course ID],Course[[#This Row],[Course ID]])&gt;1,"S","")</f>
        <v>S</v>
      </c>
      <c r="L4" s="8"/>
      <c r="M4" s="8"/>
      <c r="N4" s="8"/>
      <c r="O4" s="8"/>
      <c r="P4" s="8"/>
      <c r="Q4" t="b">
        <v>1</v>
      </c>
      <c r="R4">
        <v>27</v>
      </c>
      <c r="S4" s="8"/>
      <c r="V4" s="8" t="s">
        <v>10</v>
      </c>
      <c r="AC4" s="18"/>
      <c r="AD4"/>
      <c r="AE4"/>
    </row>
    <row r="5" spans="1:31">
      <c r="A5" s="9" t="b">
        <f t="shared" si="2"/>
        <v>1</v>
      </c>
      <c r="B5" s="9" t="b">
        <f t="shared" si="0"/>
        <v>0</v>
      </c>
      <c r="C5" s="8" t="str">
        <f t="shared" si="1"/>
        <v>FIN100 400</v>
      </c>
      <c r="D5" s="13" t="s">
        <v>33</v>
      </c>
      <c r="E5" s="13">
        <v>400</v>
      </c>
      <c r="F5" s="59" t="s">
        <v>16</v>
      </c>
      <c r="G5" s="14"/>
      <c r="H5" s="14"/>
      <c r="I5" s="14"/>
      <c r="J5" s="14"/>
      <c r="K5" s="9" t="str">
        <f>IF(COUNTIF(Course[Course ID],Course[[#This Row],[Course ID]])&gt;1,"S","")</f>
        <v>S</v>
      </c>
      <c r="L5" s="8"/>
      <c r="M5" s="8"/>
      <c r="N5" s="8"/>
      <c r="O5" s="8"/>
      <c r="P5" s="8"/>
      <c r="Q5" t="b">
        <v>1</v>
      </c>
      <c r="R5">
        <v>28</v>
      </c>
      <c r="S5" s="8"/>
      <c r="V5" s="8" t="s">
        <v>10</v>
      </c>
      <c r="AC5"/>
      <c r="AD5"/>
      <c r="AE5"/>
    </row>
    <row r="6" spans="1:31" s="63" customFormat="1">
      <c r="A6" s="62" t="b">
        <f t="shared" si="2"/>
        <v>1</v>
      </c>
      <c r="B6" s="62" t="b">
        <f t="shared" si="0"/>
        <v>0</v>
      </c>
      <c r="C6" s="63" t="str">
        <f t="shared" si="1"/>
        <v>FIN200 100</v>
      </c>
      <c r="D6" s="64" t="s">
        <v>34</v>
      </c>
      <c r="E6" s="64">
        <v>100</v>
      </c>
      <c r="F6" s="59" t="s">
        <v>16</v>
      </c>
      <c r="G6" s="59"/>
      <c r="H6" s="59"/>
      <c r="I6" s="59"/>
      <c r="J6" s="59"/>
      <c r="K6" s="62" t="str">
        <f>IF(COUNTIF(Course[Course ID],Course[[#This Row],[Course ID]])&gt;1,"S","")</f>
        <v>S</v>
      </c>
      <c r="Q6" t="b">
        <v>1</v>
      </c>
      <c r="R6">
        <v>22</v>
      </c>
      <c r="T6" s="61"/>
      <c r="U6" s="61"/>
      <c r="V6" s="63" t="s">
        <v>11</v>
      </c>
      <c r="AC6" s="61"/>
      <c r="AD6" s="61"/>
      <c r="AE6" s="61"/>
    </row>
    <row r="7" spans="1:31">
      <c r="A7" s="9" t="b">
        <f t="shared" si="2"/>
        <v>1</v>
      </c>
      <c r="B7" s="9" t="b">
        <f t="shared" si="0"/>
        <v>0</v>
      </c>
      <c r="C7" s="8" t="str">
        <f t="shared" si="1"/>
        <v>FIN200 200</v>
      </c>
      <c r="D7" s="13" t="s">
        <v>34</v>
      </c>
      <c r="E7" s="13">
        <v>200</v>
      </c>
      <c r="F7" s="59" t="s">
        <v>16</v>
      </c>
      <c r="G7" s="14"/>
      <c r="H7" s="14"/>
      <c r="I7" s="14"/>
      <c r="J7" s="14"/>
      <c r="K7" s="9" t="str">
        <f>IF(COUNTIF(Course[Course ID],Course[[#This Row],[Course ID]])&gt;1,"S","")</f>
        <v>S</v>
      </c>
      <c r="L7" s="8"/>
      <c r="M7" s="8"/>
      <c r="N7" s="8"/>
      <c r="O7" s="8"/>
      <c r="P7" s="8"/>
      <c r="Q7" t="b">
        <v>1</v>
      </c>
      <c r="R7">
        <v>21</v>
      </c>
      <c r="S7" s="8"/>
      <c r="V7" s="8" t="s">
        <v>11</v>
      </c>
      <c r="AC7"/>
      <c r="AD7"/>
      <c r="AE7"/>
    </row>
    <row r="8" spans="1:31" s="3" customFormat="1">
      <c r="A8" s="11" t="b">
        <f t="shared" si="2"/>
        <v>1</v>
      </c>
      <c r="B8" s="11" t="b">
        <f t="shared" si="0"/>
        <v>0</v>
      </c>
      <c r="C8" s="12" t="str">
        <f t="shared" si="1"/>
        <v>FIN200 300</v>
      </c>
      <c r="D8" s="15" t="s">
        <v>34</v>
      </c>
      <c r="E8" s="15">
        <v>300</v>
      </c>
      <c r="F8" s="59" t="s">
        <v>16</v>
      </c>
      <c r="G8" s="16"/>
      <c r="H8" s="16"/>
      <c r="I8" s="16"/>
      <c r="J8" s="16"/>
      <c r="K8" s="11" t="str">
        <f>IF(COUNTIF(Course[Course ID],Course[[#This Row],[Course ID]])&gt;1,"S","")</f>
        <v>S</v>
      </c>
      <c r="L8" s="12"/>
      <c r="M8" s="12"/>
      <c r="N8" s="12"/>
      <c r="O8" s="12"/>
      <c r="P8" s="12"/>
      <c r="Q8" t="b">
        <v>1</v>
      </c>
      <c r="R8">
        <v>22</v>
      </c>
      <c r="S8" s="12"/>
      <c r="T8"/>
      <c r="U8"/>
      <c r="V8" s="12" t="s">
        <v>11</v>
      </c>
      <c r="AC8"/>
      <c r="AD8"/>
      <c r="AE8"/>
    </row>
    <row r="9" spans="1:31" s="3" customFormat="1">
      <c r="A9" s="39" t="b">
        <f>IF(F9="G", TRUE,FALSE)</f>
        <v>1</v>
      </c>
      <c r="B9" s="39" t="b">
        <f>IF(ISBLANK(G9),FALSE,TRUE)</f>
        <v>0</v>
      </c>
      <c r="C9" s="12" t="str">
        <f t="shared" si="1"/>
        <v>FIN200 400</v>
      </c>
      <c r="D9" s="15" t="s">
        <v>34</v>
      </c>
      <c r="E9" s="15">
        <v>400</v>
      </c>
      <c r="F9" s="59" t="s">
        <v>16</v>
      </c>
      <c r="G9" s="16"/>
      <c r="H9" s="16"/>
      <c r="I9" s="16"/>
      <c r="J9" s="16"/>
      <c r="K9" s="39" t="str">
        <f>IF(COUNTIF(Course[Course ID],Course[[#This Row],[Course ID]])&gt;1,"S","")</f>
        <v>S</v>
      </c>
      <c r="L9" s="12"/>
      <c r="M9" s="12"/>
      <c r="N9" s="12"/>
      <c r="O9" s="12"/>
      <c r="P9" s="12"/>
      <c r="Q9" t="b">
        <v>1</v>
      </c>
      <c r="R9">
        <v>23</v>
      </c>
      <c r="S9" s="12"/>
      <c r="T9"/>
      <c r="U9"/>
      <c r="V9" s="12" t="s">
        <v>11</v>
      </c>
      <c r="AC9"/>
      <c r="AD9"/>
      <c r="AE9"/>
    </row>
    <row r="10" spans="1:31" s="57" customFormat="1">
      <c r="A10" s="56" t="b">
        <f>IF(F10="G", TRUE,FALSE)</f>
        <v>1</v>
      </c>
      <c r="B10" s="56" t="b">
        <f>IF(ISBLANK(G10),FALSE,TRUE)</f>
        <v>1</v>
      </c>
      <c r="C10" s="57" t="str">
        <f t="shared" si="1"/>
        <v>FIN300 100</v>
      </c>
      <c r="D10" s="58" t="s">
        <v>50</v>
      </c>
      <c r="E10" s="58">
        <v>100</v>
      </c>
      <c r="F10" s="59" t="s">
        <v>16</v>
      </c>
      <c r="G10" s="60" t="s">
        <v>34</v>
      </c>
      <c r="K10" s="56" t="str">
        <f>IF(COUNTIF(Course[Course ID],Course[[#This Row],[Course ID]])&gt;1,"S","")</f>
        <v>S</v>
      </c>
      <c r="Q10" t="b">
        <v>1</v>
      </c>
      <c r="R10">
        <v>21</v>
      </c>
      <c r="V10" s="57" t="s">
        <v>12</v>
      </c>
    </row>
    <row r="11" spans="1:31" s="51" customFormat="1">
      <c r="A11" s="48" t="b">
        <f t="shared" ref="A11:A21" si="3">IF(F11="G", TRUE,FALSE)</f>
        <v>1</v>
      </c>
      <c r="B11" s="48" t="b">
        <f t="shared" ref="B11:B21" si="4">IF(ISBLANK(G11),FALSE,TRUE)</f>
        <v>1</v>
      </c>
      <c r="C11" s="49" t="str">
        <f t="shared" ref="C11:C21" si="5">CONCATENATE(D11," ",E11)</f>
        <v>FIN300 200</v>
      </c>
      <c r="D11" s="58" t="s">
        <v>50</v>
      </c>
      <c r="E11" s="50">
        <v>200</v>
      </c>
      <c r="F11" s="59" t="s">
        <v>16</v>
      </c>
      <c r="G11" s="60" t="s">
        <v>34</v>
      </c>
      <c r="H11" s="49"/>
      <c r="I11" s="49"/>
      <c r="J11" s="49"/>
      <c r="K11" s="48" t="str">
        <f>IF(COUNTIF(Course[Course ID],Course[[#This Row],[Course ID]])&gt;1,"S","")</f>
        <v>S</v>
      </c>
      <c r="L11" s="49"/>
      <c r="M11" s="49"/>
      <c r="N11" s="49"/>
      <c r="O11" s="49"/>
      <c r="P11" s="49"/>
      <c r="Q11" t="b">
        <v>1</v>
      </c>
      <c r="R11">
        <v>23</v>
      </c>
      <c r="S11" s="49"/>
      <c r="T11" s="46"/>
      <c r="U11" s="46"/>
      <c r="V11" s="49" t="s">
        <v>12</v>
      </c>
      <c r="AC11" s="46"/>
      <c r="AD11" s="46"/>
      <c r="AE11" s="46"/>
    </row>
    <row r="12" spans="1:31" s="51" customFormat="1">
      <c r="A12" s="48" t="b">
        <f t="shared" si="3"/>
        <v>1</v>
      </c>
      <c r="B12" s="48" t="b">
        <f t="shared" si="4"/>
        <v>0</v>
      </c>
      <c r="C12" s="49" t="str">
        <f t="shared" si="5"/>
        <v>FIN302 300</v>
      </c>
      <c r="D12" s="45" t="s">
        <v>344</v>
      </c>
      <c r="E12" s="50">
        <v>300</v>
      </c>
      <c r="F12" s="59" t="s">
        <v>16</v>
      </c>
      <c r="G12" s="49"/>
      <c r="H12" s="49"/>
      <c r="I12" s="49"/>
      <c r="J12" s="49"/>
      <c r="K12" s="48" t="str">
        <f>IF(COUNTIF(Course[Course ID],Course[[#This Row],[Course ID]])&gt;1,"S","")</f>
        <v/>
      </c>
      <c r="L12" s="49"/>
      <c r="M12" s="49"/>
      <c r="N12" s="49"/>
      <c r="O12" s="49"/>
      <c r="P12" s="49"/>
      <c r="Q12" t="b">
        <v>1</v>
      </c>
      <c r="R12">
        <v>24</v>
      </c>
      <c r="S12" s="49"/>
      <c r="T12" s="46"/>
      <c r="U12" s="46"/>
      <c r="V12" s="49" t="s">
        <v>12</v>
      </c>
      <c r="AC12" s="46"/>
      <c r="AD12" s="46"/>
      <c r="AE12" s="46"/>
    </row>
    <row r="13" spans="1:31" s="47" customFormat="1">
      <c r="A13" s="43" t="b">
        <f t="shared" si="3"/>
        <v>1</v>
      </c>
      <c r="B13" s="43" t="b">
        <f t="shared" si="4"/>
        <v>0</v>
      </c>
      <c r="C13" s="44" t="str">
        <f t="shared" si="5"/>
        <v>FIN303 400</v>
      </c>
      <c r="D13" s="45" t="s">
        <v>345</v>
      </c>
      <c r="E13" s="45">
        <v>400</v>
      </c>
      <c r="F13" s="59" t="s">
        <v>16</v>
      </c>
      <c r="G13" s="44"/>
      <c r="H13" s="44"/>
      <c r="I13" s="44"/>
      <c r="J13" s="44"/>
      <c r="K13" s="43" t="str">
        <f>IF(COUNTIF(Course[Course ID],Course[[#This Row],[Course ID]])&gt;1,"S","")</f>
        <v/>
      </c>
      <c r="L13" s="44"/>
      <c r="M13" s="44"/>
      <c r="N13" s="44"/>
      <c r="O13" s="44"/>
      <c r="P13" s="44"/>
      <c r="Q13" t="b">
        <v>1</v>
      </c>
      <c r="R13">
        <v>25</v>
      </c>
      <c r="S13" s="44"/>
      <c r="T13" s="46"/>
      <c r="U13" s="46"/>
      <c r="V13" s="44" t="s">
        <v>12</v>
      </c>
      <c r="AC13" s="46"/>
      <c r="AD13" s="46"/>
      <c r="AE13" s="46"/>
    </row>
    <row r="14" spans="1:31">
      <c r="A14" s="40" t="b">
        <f t="shared" si="3"/>
        <v>1</v>
      </c>
      <c r="B14" s="40" t="b">
        <f t="shared" si="4"/>
        <v>0</v>
      </c>
      <c r="C14" s="8" t="str">
        <f t="shared" si="5"/>
        <v>FIN304 100</v>
      </c>
      <c r="D14" s="45" t="s">
        <v>346</v>
      </c>
      <c r="E14" s="13">
        <v>100</v>
      </c>
      <c r="F14" s="59" t="s">
        <v>16</v>
      </c>
      <c r="G14" s="14"/>
      <c r="H14" s="14"/>
      <c r="I14" s="14"/>
      <c r="J14" s="14"/>
      <c r="K14" s="40" t="str">
        <f>IF(COUNTIF(Course[Course ID],Course[[#This Row],[Course ID]])&gt;1,"S","")</f>
        <v/>
      </c>
      <c r="L14" s="8"/>
      <c r="M14" s="8"/>
      <c r="N14" s="8"/>
      <c r="O14" s="8"/>
      <c r="P14" s="8"/>
      <c r="Q14" t="b">
        <v>1</v>
      </c>
      <c r="R14">
        <v>26</v>
      </c>
      <c r="S14" s="8"/>
      <c r="V14" s="8" t="s">
        <v>89</v>
      </c>
      <c r="AC14"/>
      <c r="AD14"/>
      <c r="AE14"/>
    </row>
    <row r="15" spans="1:31" s="3" customFormat="1">
      <c r="A15" s="39" t="b">
        <f t="shared" si="3"/>
        <v>1</v>
      </c>
      <c r="B15" s="39" t="b">
        <f t="shared" si="4"/>
        <v>0</v>
      </c>
      <c r="C15" s="12" t="str">
        <f t="shared" si="5"/>
        <v>FIN305 200</v>
      </c>
      <c r="D15" s="45" t="s">
        <v>347</v>
      </c>
      <c r="E15" s="15">
        <v>200</v>
      </c>
      <c r="F15" s="59" t="s">
        <v>16</v>
      </c>
      <c r="G15" s="16"/>
      <c r="H15" s="16"/>
      <c r="I15" s="16"/>
      <c r="J15" s="16"/>
      <c r="K15" s="39" t="str">
        <f>IF(COUNTIF(Course[Course ID],Course[[#This Row],[Course ID]])&gt;1,"S","")</f>
        <v/>
      </c>
      <c r="L15" s="12"/>
      <c r="M15" s="12"/>
      <c r="N15" s="12"/>
      <c r="O15" s="12"/>
      <c r="P15" s="12"/>
      <c r="Q15" t="b">
        <v>1</v>
      </c>
      <c r="R15">
        <v>27</v>
      </c>
      <c r="S15" s="12"/>
      <c r="T15"/>
      <c r="U15"/>
      <c r="V15" s="12" t="s">
        <v>89</v>
      </c>
      <c r="AC15"/>
      <c r="AD15"/>
      <c r="AE15"/>
    </row>
    <row r="16" spans="1:31" s="3" customFormat="1">
      <c r="A16" s="39" t="b">
        <f t="shared" si="3"/>
        <v>1</v>
      </c>
      <c r="B16" s="39" t="b">
        <f t="shared" si="4"/>
        <v>0</v>
      </c>
      <c r="C16" s="12" t="str">
        <f t="shared" si="5"/>
        <v>FIN306 300</v>
      </c>
      <c r="D16" s="45" t="s">
        <v>348</v>
      </c>
      <c r="E16" s="15">
        <v>300</v>
      </c>
      <c r="F16" s="59" t="s">
        <v>16</v>
      </c>
      <c r="G16" s="16"/>
      <c r="H16" s="16"/>
      <c r="I16" s="16"/>
      <c r="J16" s="16"/>
      <c r="K16" s="39" t="str">
        <f>IF(COUNTIF(Course[Course ID],Course[[#This Row],[Course ID]])&gt;1,"S","")</f>
        <v/>
      </c>
      <c r="L16" s="12"/>
      <c r="M16" s="12"/>
      <c r="N16" s="12"/>
      <c r="O16" s="12"/>
      <c r="P16" s="12"/>
      <c r="Q16" t="b">
        <v>1</v>
      </c>
      <c r="R16">
        <v>28</v>
      </c>
      <c r="S16" s="12"/>
      <c r="T16"/>
      <c r="U16"/>
      <c r="V16" s="12" t="s">
        <v>89</v>
      </c>
      <c r="AC16"/>
      <c r="AD16"/>
      <c r="AE16"/>
    </row>
    <row r="17" spans="1:31">
      <c r="A17" s="40" t="b">
        <f t="shared" si="3"/>
        <v>1</v>
      </c>
      <c r="B17" s="40" t="b">
        <f t="shared" si="4"/>
        <v>0</v>
      </c>
      <c r="C17" s="8" t="str">
        <f t="shared" si="5"/>
        <v>FIN307 400</v>
      </c>
      <c r="D17" s="45" t="s">
        <v>349</v>
      </c>
      <c r="E17" s="13">
        <v>400</v>
      </c>
      <c r="F17" s="59" t="s">
        <v>16</v>
      </c>
      <c r="G17" s="14"/>
      <c r="H17" s="14"/>
      <c r="I17" s="14"/>
      <c r="J17" s="14"/>
      <c r="K17" s="40" t="str">
        <f>IF(COUNTIF(Course[Course ID],Course[[#This Row],[Course ID]])&gt;1,"S","")</f>
        <v/>
      </c>
      <c r="L17" s="8"/>
      <c r="M17" s="8"/>
      <c r="N17" s="8"/>
      <c r="O17" s="8"/>
      <c r="P17" s="8"/>
      <c r="Q17" t="b">
        <v>1</v>
      </c>
      <c r="R17">
        <v>21</v>
      </c>
      <c r="S17" s="8"/>
      <c r="V17" s="8" t="s">
        <v>89</v>
      </c>
      <c r="AC17"/>
      <c r="AD17"/>
      <c r="AE17"/>
    </row>
    <row r="18" spans="1:31" s="57" customFormat="1" ht="15" customHeight="1">
      <c r="A18" s="56" t="b">
        <f t="shared" si="3"/>
        <v>1</v>
      </c>
      <c r="B18" s="56" t="b">
        <f t="shared" si="4"/>
        <v>1</v>
      </c>
      <c r="C18" s="57" t="str">
        <f t="shared" si="5"/>
        <v>FIN308 100</v>
      </c>
      <c r="D18" s="58" t="s">
        <v>350</v>
      </c>
      <c r="E18" s="58">
        <v>100</v>
      </c>
      <c r="F18" s="59" t="s">
        <v>16</v>
      </c>
      <c r="G18" s="64" t="s">
        <v>33</v>
      </c>
      <c r="K18" s="56" t="str">
        <f>IF(COUNTIF(Course[Course ID],Course[[#This Row],[Course ID]])&gt;1,"S","")</f>
        <v/>
      </c>
      <c r="Q18" t="b">
        <v>1</v>
      </c>
      <c r="R18">
        <v>24</v>
      </c>
      <c r="V18" s="57" t="s">
        <v>101</v>
      </c>
    </row>
    <row r="19" spans="1:31" s="47" customFormat="1">
      <c r="A19" s="43" t="b">
        <f t="shared" si="3"/>
        <v>1</v>
      </c>
      <c r="B19" s="43" t="b">
        <f t="shared" si="4"/>
        <v>0</v>
      </c>
      <c r="C19" s="44" t="str">
        <f t="shared" si="5"/>
        <v>FIN309 200</v>
      </c>
      <c r="D19" s="45" t="s">
        <v>351</v>
      </c>
      <c r="E19" s="45">
        <v>200</v>
      </c>
      <c r="F19" s="59" t="s">
        <v>16</v>
      </c>
      <c r="G19" s="44"/>
      <c r="H19" s="44"/>
      <c r="I19" s="44"/>
      <c r="J19" s="44"/>
      <c r="K19" s="43" t="str">
        <f>IF(COUNTIF(Course[Course ID],Course[[#This Row],[Course ID]])&gt;1,"S","")</f>
        <v/>
      </c>
      <c r="L19" s="44"/>
      <c r="M19" s="44"/>
      <c r="N19" s="44"/>
      <c r="O19" s="44"/>
      <c r="P19" s="44"/>
      <c r="Q19" t="b">
        <v>1</v>
      </c>
      <c r="R19">
        <v>22</v>
      </c>
      <c r="S19" s="44"/>
      <c r="T19" s="46"/>
      <c r="U19" s="46"/>
      <c r="V19" s="44" t="s">
        <v>101</v>
      </c>
    </row>
    <row r="20" spans="1:31" s="47" customFormat="1">
      <c r="A20" s="43" t="b">
        <f t="shared" si="3"/>
        <v>1</v>
      </c>
      <c r="B20" s="43" t="b">
        <f t="shared" si="4"/>
        <v>0</v>
      </c>
      <c r="C20" s="44" t="str">
        <f t="shared" si="5"/>
        <v>FIN310 300</v>
      </c>
      <c r="D20" s="45" t="s">
        <v>352</v>
      </c>
      <c r="E20" s="45">
        <v>300</v>
      </c>
      <c r="F20" s="59" t="s">
        <v>16</v>
      </c>
      <c r="G20" s="44"/>
      <c r="H20" s="44"/>
      <c r="I20" s="44"/>
      <c r="J20" s="44"/>
      <c r="K20" s="43" t="str">
        <f>IF(COUNTIF(Course[Course ID],Course[[#This Row],[Course ID]])&gt;1,"S","")</f>
        <v/>
      </c>
      <c r="L20" s="44"/>
      <c r="M20" s="44"/>
      <c r="N20" s="44"/>
      <c r="O20" s="44"/>
      <c r="P20" s="44"/>
      <c r="Q20" t="b">
        <v>1</v>
      </c>
      <c r="R20">
        <v>23</v>
      </c>
      <c r="S20" s="44"/>
      <c r="T20" s="46"/>
      <c r="U20" s="46"/>
      <c r="V20" s="44" t="s">
        <v>101</v>
      </c>
    </row>
    <row r="21" spans="1:31" s="47" customFormat="1">
      <c r="A21" s="43" t="b">
        <f t="shared" si="3"/>
        <v>1</v>
      </c>
      <c r="B21" s="43" t="b">
        <f t="shared" si="4"/>
        <v>0</v>
      </c>
      <c r="C21" s="44" t="str">
        <f t="shared" si="5"/>
        <v>FIN311 400</v>
      </c>
      <c r="D21" s="45" t="s">
        <v>353</v>
      </c>
      <c r="E21" s="45">
        <v>400</v>
      </c>
      <c r="F21" s="59" t="s">
        <v>16</v>
      </c>
      <c r="G21" s="44"/>
      <c r="H21" s="44"/>
      <c r="I21" s="44"/>
      <c r="J21" s="44"/>
      <c r="K21" s="43" t="str">
        <f>IF(COUNTIF(Course[Course ID],Course[[#This Row],[Course ID]])&gt;1,"S","")</f>
        <v/>
      </c>
      <c r="L21" s="44"/>
      <c r="M21" s="44"/>
      <c r="N21" s="44"/>
      <c r="O21" s="44"/>
      <c r="P21" s="44"/>
      <c r="Q21" t="b">
        <v>1</v>
      </c>
      <c r="R21">
        <v>24</v>
      </c>
      <c r="S21" s="44"/>
      <c r="T21" s="46"/>
      <c r="U21" s="46"/>
      <c r="V21" s="44" t="s">
        <v>101</v>
      </c>
    </row>
    <row r="22" spans="1:31" s="47" customFormat="1">
      <c r="A22" s="43" t="b">
        <f t="shared" ref="A22" si="6">IF(F22="G", TRUE,FALSE)</f>
        <v>1</v>
      </c>
      <c r="B22" s="43" t="b">
        <f t="shared" ref="B22" si="7">IF(ISBLANK(G22),FALSE,TRUE)</f>
        <v>0</v>
      </c>
      <c r="C22" s="44" t="str">
        <f t="shared" ref="C22:C26" si="8">CONCATENATE(D22," ",E22)</f>
        <v>FIN312 401</v>
      </c>
      <c r="D22" s="45" t="s">
        <v>354</v>
      </c>
      <c r="E22" s="45">
        <v>401</v>
      </c>
      <c r="F22" s="59" t="s">
        <v>16</v>
      </c>
      <c r="G22" s="44"/>
      <c r="H22" s="44"/>
      <c r="I22" s="44"/>
      <c r="J22" s="44"/>
      <c r="K22" s="43" t="str">
        <f>IF(COUNTIF(Course[Course ID],Course[[#This Row],[Course ID]])&gt;1,"S","")</f>
        <v/>
      </c>
      <c r="L22" s="44"/>
      <c r="M22" s="44"/>
      <c r="N22" s="44"/>
      <c r="O22" s="44"/>
      <c r="P22" s="44"/>
      <c r="Q22" t="b">
        <v>1</v>
      </c>
      <c r="R22">
        <v>25</v>
      </c>
      <c r="S22" s="44"/>
      <c r="T22" s="46"/>
      <c r="U22" s="46"/>
      <c r="V22" s="44" t="s">
        <v>101</v>
      </c>
    </row>
    <row r="23" spans="1:31">
      <c r="A23" s="40" t="b">
        <f>IF(F23="G", TRUE,FALSE)</f>
        <v>1</v>
      </c>
      <c r="B23" s="40" t="b">
        <f>IF(ISBLANK(G23),FALSE,TRUE)</f>
        <v>0</v>
      </c>
      <c r="C23" s="44" t="str">
        <f t="shared" si="8"/>
        <v>FIN313 520.8</v>
      </c>
      <c r="D23" s="45" t="s">
        <v>355</v>
      </c>
      <c r="E23" s="45">
        <v>520.79999999999995</v>
      </c>
      <c r="F23" s="59" t="s">
        <v>16</v>
      </c>
      <c r="G23" s="14"/>
      <c r="H23" s="44"/>
      <c r="I23" s="44"/>
      <c r="J23" s="44"/>
      <c r="K23" s="40" t="str">
        <f>IF(COUNTIF(Course[Course ID],Course[[#This Row],[Course ID]])&gt;1,"S","")</f>
        <v/>
      </c>
      <c r="L23" s="8"/>
      <c r="M23" s="8"/>
      <c r="N23" s="8"/>
      <c r="O23" s="8"/>
      <c r="P23" s="8"/>
      <c r="Q23" t="b">
        <v>1</v>
      </c>
      <c r="R23">
        <v>26</v>
      </c>
      <c r="S23" s="8"/>
      <c r="V23" s="8"/>
    </row>
    <row r="24" spans="1:31">
      <c r="A24" s="40" t="b">
        <f>IF(F24="G", TRUE,FALSE)</f>
        <v>1</v>
      </c>
      <c r="B24" s="40" t="b">
        <f>IF(ISBLANK(G24),FALSE,TRUE)</f>
        <v>0</v>
      </c>
      <c r="C24" s="44" t="str">
        <f t="shared" si="8"/>
        <v>FIN503 601</v>
      </c>
      <c r="D24" s="45" t="s">
        <v>331</v>
      </c>
      <c r="E24" s="45">
        <v>601</v>
      </c>
      <c r="F24" s="59" t="s">
        <v>16</v>
      </c>
      <c r="G24" s="14"/>
      <c r="H24" s="44"/>
      <c r="I24" s="44"/>
      <c r="J24" s="44"/>
      <c r="K24" s="40" t="str">
        <f>IF(COUNTIF(Course[Course ID],Course[[#This Row],[Course ID]])&gt;1,"S","")</f>
        <v/>
      </c>
      <c r="L24" s="8"/>
      <c r="M24" s="8"/>
      <c r="N24" s="8"/>
      <c r="O24" s="8"/>
      <c r="P24" s="8"/>
      <c r="Q24" t="b">
        <v>1</v>
      </c>
      <c r="R24">
        <v>27</v>
      </c>
      <c r="S24" s="8"/>
      <c r="V24" s="8"/>
    </row>
    <row r="25" spans="1:31">
      <c r="A25" s="40" t="b">
        <f>IF(F25="G", TRUE,FALSE)</f>
        <v>1</v>
      </c>
      <c r="B25" s="40" t="b">
        <f>IF(ISBLANK(G25),FALSE,TRUE)</f>
        <v>0</v>
      </c>
      <c r="C25" s="44" t="str">
        <f t="shared" si="8"/>
        <v>FIN504 681.2</v>
      </c>
      <c r="D25" s="45" t="s">
        <v>332</v>
      </c>
      <c r="E25" s="45">
        <v>681.2</v>
      </c>
      <c r="F25" s="59" t="s">
        <v>16</v>
      </c>
      <c r="G25" s="14"/>
      <c r="H25" s="44"/>
      <c r="I25" s="44"/>
      <c r="J25" s="44"/>
      <c r="K25" s="40" t="str">
        <f>IF(COUNTIF(Course[Course ID],Course[[#This Row],[Course ID]])&gt;1,"S","")</f>
        <v/>
      </c>
      <c r="L25" s="8"/>
      <c r="M25" s="8"/>
      <c r="N25" s="8"/>
      <c r="O25" s="8"/>
      <c r="P25" s="8"/>
      <c r="Q25" t="b">
        <v>1</v>
      </c>
      <c r="R25">
        <v>28</v>
      </c>
      <c r="S25" s="8"/>
      <c r="V25" s="8"/>
    </row>
    <row r="26" spans="1:31">
      <c r="A26" s="40" t="b">
        <f>IF(F26="G", TRUE,FALSE)</f>
        <v>1</v>
      </c>
      <c r="B26" s="40" t="b">
        <f>IF(ISBLANK(G26),FALSE,TRUE)</f>
        <v>0</v>
      </c>
      <c r="C26" s="44" t="str">
        <f t="shared" si="8"/>
        <v>FIN505 761.4</v>
      </c>
      <c r="D26" s="45" t="s">
        <v>333</v>
      </c>
      <c r="E26" s="45">
        <v>761.4</v>
      </c>
      <c r="F26" s="59" t="s">
        <v>16</v>
      </c>
      <c r="G26" s="14"/>
      <c r="H26" s="44"/>
      <c r="I26" s="44"/>
      <c r="J26" s="44"/>
      <c r="K26" s="40" t="str">
        <f>IF(COUNTIF(Course[Course ID],Course[[#This Row],[Course ID]])&gt;1,"S","")</f>
        <v/>
      </c>
      <c r="L26" s="8"/>
      <c r="M26" s="8"/>
      <c r="N26" s="8"/>
      <c r="O26" s="8"/>
      <c r="P26" s="8"/>
      <c r="Q26" t="b">
        <v>1</v>
      </c>
      <c r="R26">
        <v>21</v>
      </c>
      <c r="S26" s="8"/>
      <c r="V26" s="8"/>
    </row>
    <row r="27" spans="1:31">
      <c r="A27" s="40" t="b">
        <f>IF(F27="G", TRUE,FALSE)</f>
        <v>1</v>
      </c>
      <c r="B27" s="40" t="b">
        <f>IF(ISBLANK(G27),FALSE,TRUE)</f>
        <v>0</v>
      </c>
      <c r="C27" s="44" t="str">
        <f t="shared" ref="C27:C36" si="9">CONCATENATE(D27," ",E27)</f>
        <v>FIN506 841.6</v>
      </c>
      <c r="D27" s="45" t="s">
        <v>334</v>
      </c>
      <c r="E27" s="45">
        <v>841.6</v>
      </c>
      <c r="F27" s="59" t="s">
        <v>16</v>
      </c>
      <c r="G27" s="14"/>
      <c r="H27" s="44"/>
      <c r="I27" s="44"/>
      <c r="J27" s="44"/>
      <c r="K27" s="40" t="str">
        <f>IF(COUNTIF(Course[Course ID],Course[[#This Row],[Course ID]])&gt;1,"S","")</f>
        <v/>
      </c>
      <c r="L27" s="8"/>
      <c r="M27" s="8"/>
      <c r="N27" s="8"/>
      <c r="O27" s="8"/>
      <c r="P27" s="8"/>
      <c r="Q27" t="b">
        <v>1</v>
      </c>
      <c r="R27">
        <v>22</v>
      </c>
      <c r="S27" s="8"/>
      <c r="V27" s="8"/>
    </row>
    <row r="28" spans="1:31">
      <c r="A28" s="40" t="b">
        <f>IF(F28="G", TRUE,FALSE)</f>
        <v>1</v>
      </c>
      <c r="B28" s="40" t="b">
        <f>IF(ISBLANK(G28),FALSE,TRUE)</f>
        <v>0</v>
      </c>
      <c r="C28" s="44" t="str">
        <f t="shared" si="9"/>
        <v>FIN507 921.8</v>
      </c>
      <c r="D28" s="45" t="s">
        <v>335</v>
      </c>
      <c r="E28" s="45">
        <v>921.8</v>
      </c>
      <c r="F28" s="59" t="s">
        <v>16</v>
      </c>
      <c r="G28" s="14"/>
      <c r="H28" s="44"/>
      <c r="I28" s="44"/>
      <c r="J28" s="44"/>
      <c r="K28" s="40" t="str">
        <f>IF(COUNTIF(Course[Course ID],Course[[#This Row],[Course ID]])&gt;1,"S","")</f>
        <v/>
      </c>
      <c r="L28" s="8"/>
      <c r="M28" s="8"/>
      <c r="N28" s="8"/>
      <c r="O28" s="8"/>
      <c r="P28" s="8"/>
      <c r="Q28" t="b">
        <v>1</v>
      </c>
      <c r="R28">
        <v>23</v>
      </c>
      <c r="S28" s="8"/>
      <c r="V28" s="8"/>
    </row>
    <row r="29" spans="1:31">
      <c r="A29" s="40" t="b">
        <f>IF(F29="G", TRUE,FALSE)</f>
        <v>1</v>
      </c>
      <c r="B29" s="40" t="b">
        <f>IF(ISBLANK(G29),FALSE,TRUE)</f>
        <v>0</v>
      </c>
      <c r="C29" s="44" t="str">
        <f t="shared" si="9"/>
        <v>FIN508 1002</v>
      </c>
      <c r="D29" s="45" t="s">
        <v>336</v>
      </c>
      <c r="E29" s="45">
        <v>1002</v>
      </c>
      <c r="F29" s="59" t="s">
        <v>16</v>
      </c>
      <c r="G29" s="14"/>
      <c r="H29" s="44"/>
      <c r="I29" s="44"/>
      <c r="J29" s="44"/>
      <c r="K29" s="40" t="str">
        <f>IF(COUNTIF(Course[Course ID],Course[[#This Row],[Course ID]])&gt;1,"S","")</f>
        <v/>
      </c>
      <c r="L29" s="8"/>
      <c r="M29" s="8"/>
      <c r="N29" s="8"/>
      <c r="O29" s="8"/>
      <c r="P29" s="8"/>
      <c r="Q29" t="b">
        <v>1</v>
      </c>
      <c r="R29">
        <v>24</v>
      </c>
      <c r="S29" s="8"/>
      <c r="V29" s="8"/>
    </row>
    <row r="30" spans="1:31">
      <c r="A30" s="40" t="b">
        <f>IF(F30="G", TRUE,FALSE)</f>
        <v>1</v>
      </c>
      <c r="B30" s="40" t="b">
        <f>IF(ISBLANK(G30),FALSE,TRUE)</f>
        <v>0</v>
      </c>
      <c r="C30" s="44" t="str">
        <f t="shared" si="9"/>
        <v>FIN509 1082.2</v>
      </c>
      <c r="D30" s="45" t="s">
        <v>337</v>
      </c>
      <c r="E30" s="45">
        <v>1082.2</v>
      </c>
      <c r="F30" s="59" t="s">
        <v>16</v>
      </c>
      <c r="G30" s="14"/>
      <c r="H30" s="44"/>
      <c r="I30" s="44"/>
      <c r="J30" s="44"/>
      <c r="K30" s="40" t="str">
        <f>IF(COUNTIF(Course[Course ID],Course[[#This Row],[Course ID]])&gt;1,"S","")</f>
        <v/>
      </c>
      <c r="L30" s="8"/>
      <c r="M30" s="8"/>
      <c r="N30" s="8"/>
      <c r="O30" s="8"/>
      <c r="P30" s="8"/>
      <c r="Q30" t="b">
        <v>1</v>
      </c>
      <c r="R30">
        <v>25</v>
      </c>
      <c r="S30" s="8"/>
      <c r="V30" s="8"/>
    </row>
    <row r="31" spans="1:31">
      <c r="A31" s="40" t="b">
        <f>IF(F31="G", TRUE,FALSE)</f>
        <v>1</v>
      </c>
      <c r="B31" s="40" t="b">
        <f>IF(ISBLANK(G31),FALSE,TRUE)</f>
        <v>0</v>
      </c>
      <c r="C31" s="44" t="str">
        <f t="shared" si="9"/>
        <v>FIN510 1162.4</v>
      </c>
      <c r="D31" s="45" t="s">
        <v>338</v>
      </c>
      <c r="E31" s="45">
        <v>1162.4000000000001</v>
      </c>
      <c r="F31" s="59" t="s">
        <v>16</v>
      </c>
      <c r="G31" s="14"/>
      <c r="H31" s="44"/>
      <c r="I31" s="44"/>
      <c r="J31" s="44"/>
      <c r="K31" s="40" t="str">
        <f>IF(COUNTIF(Course[Course ID],Course[[#This Row],[Course ID]])&gt;1,"S","")</f>
        <v/>
      </c>
      <c r="L31" s="8"/>
      <c r="M31" s="8"/>
      <c r="N31" s="8"/>
      <c r="O31" s="8"/>
      <c r="P31" s="8"/>
      <c r="Q31" t="b">
        <v>1</v>
      </c>
      <c r="R31">
        <v>26</v>
      </c>
      <c r="S31" s="8"/>
      <c r="V31" s="8"/>
    </row>
    <row r="32" spans="1:31">
      <c r="A32" s="40" t="b">
        <f>IF(F32="G", TRUE,FALSE)</f>
        <v>1</v>
      </c>
      <c r="B32" s="40" t="b">
        <f>IF(ISBLANK(G32),FALSE,TRUE)</f>
        <v>0</v>
      </c>
      <c r="C32" s="44" t="str">
        <f t="shared" si="9"/>
        <v>FIN511 1242.6</v>
      </c>
      <c r="D32" s="45" t="s">
        <v>339</v>
      </c>
      <c r="E32" s="45">
        <v>1242.5999999999999</v>
      </c>
      <c r="F32" s="59" t="s">
        <v>16</v>
      </c>
      <c r="G32" s="14"/>
      <c r="H32" s="44"/>
      <c r="I32" s="44"/>
      <c r="J32" s="44"/>
      <c r="K32" s="40" t="str">
        <f>IF(COUNTIF(Course[Course ID],Course[[#This Row],[Course ID]])&gt;1,"S","")</f>
        <v/>
      </c>
      <c r="L32" s="8"/>
      <c r="M32" s="8"/>
      <c r="N32" s="8"/>
      <c r="O32" s="8"/>
      <c r="P32" s="8"/>
      <c r="Q32" t="b">
        <v>1</v>
      </c>
      <c r="R32">
        <v>27</v>
      </c>
      <c r="S32" s="8"/>
      <c r="V32" s="8"/>
    </row>
    <row r="33" spans="1:22">
      <c r="A33" s="40" t="b">
        <f>IF(F33="G", TRUE,FALSE)</f>
        <v>1</v>
      </c>
      <c r="B33" s="40" t="b">
        <f>IF(ISBLANK(G33),FALSE,TRUE)</f>
        <v>0</v>
      </c>
      <c r="C33" s="44" t="str">
        <f t="shared" si="9"/>
        <v>FIN512 1322.8</v>
      </c>
      <c r="D33" s="45" t="s">
        <v>340</v>
      </c>
      <c r="E33" s="45">
        <v>1322.8</v>
      </c>
      <c r="F33" s="59" t="s">
        <v>16</v>
      </c>
      <c r="G33" s="14"/>
      <c r="H33" s="44"/>
      <c r="I33" s="44"/>
      <c r="J33" s="44"/>
      <c r="K33" s="40" t="str">
        <f>IF(COUNTIF(Course[Course ID],Course[[#This Row],[Course ID]])&gt;1,"S","")</f>
        <v/>
      </c>
      <c r="L33" s="8"/>
      <c r="M33" s="8"/>
      <c r="N33" s="8"/>
      <c r="O33" s="8"/>
      <c r="P33" s="8"/>
      <c r="Q33" t="b">
        <v>1</v>
      </c>
      <c r="R33">
        <v>28</v>
      </c>
      <c r="S33" s="8"/>
      <c r="V33" s="8"/>
    </row>
    <row r="34" spans="1:22">
      <c r="A34" s="40" t="b">
        <f>IF(F34="G", TRUE,FALSE)</f>
        <v>1</v>
      </c>
      <c r="B34" s="40" t="b">
        <f>IF(ISBLANK(G34),FALSE,TRUE)</f>
        <v>0</v>
      </c>
      <c r="C34" s="44" t="str">
        <f t="shared" si="9"/>
        <v>FIN513 1403</v>
      </c>
      <c r="D34" s="45" t="s">
        <v>341</v>
      </c>
      <c r="E34" s="45">
        <v>1403</v>
      </c>
      <c r="F34" s="59" t="s">
        <v>16</v>
      </c>
      <c r="G34" s="14"/>
      <c r="H34" s="44"/>
      <c r="I34" s="44"/>
      <c r="J34" s="44"/>
      <c r="K34" s="40" t="str">
        <f>IF(COUNTIF(Course[Course ID],Course[[#This Row],[Course ID]])&gt;1,"S","")</f>
        <v/>
      </c>
      <c r="L34" s="8"/>
      <c r="M34" s="8"/>
      <c r="N34" s="8"/>
      <c r="O34" s="8"/>
      <c r="P34" s="8"/>
      <c r="Q34" t="b">
        <v>1</v>
      </c>
      <c r="R34">
        <v>21</v>
      </c>
      <c r="S34" s="8"/>
      <c r="V34" s="8"/>
    </row>
    <row r="35" spans="1:22">
      <c r="A35" s="40" t="b">
        <f>IF(F35="G", TRUE,FALSE)</f>
        <v>1</v>
      </c>
      <c r="B35" s="40" t="b">
        <f>IF(ISBLANK(G35),FALSE,TRUE)</f>
        <v>0</v>
      </c>
      <c r="C35" s="44" t="str">
        <f t="shared" si="9"/>
        <v>FIN514 1483.2</v>
      </c>
      <c r="D35" s="45" t="s">
        <v>342</v>
      </c>
      <c r="E35" s="45">
        <v>1483.2</v>
      </c>
      <c r="F35" s="59" t="s">
        <v>16</v>
      </c>
      <c r="G35" s="14"/>
      <c r="H35" s="44"/>
      <c r="I35" s="44"/>
      <c r="J35" s="44"/>
      <c r="K35" s="40" t="str">
        <f>IF(COUNTIF(Course[Course ID],Course[[#This Row],[Course ID]])&gt;1,"S","")</f>
        <v/>
      </c>
      <c r="L35" s="8"/>
      <c r="M35" s="8"/>
      <c r="N35" s="8"/>
      <c r="O35" s="8"/>
      <c r="P35" s="8"/>
      <c r="Q35" t="b">
        <v>1</v>
      </c>
      <c r="R35">
        <v>22</v>
      </c>
      <c r="S35" s="8"/>
      <c r="V35" s="8"/>
    </row>
    <row r="36" spans="1:22">
      <c r="A36" s="40" t="b">
        <f>IF(F36="G", TRUE,FALSE)</f>
        <v>1</v>
      </c>
      <c r="B36" s="40" t="b">
        <f>IF(ISBLANK(G36),FALSE,TRUE)</f>
        <v>0</v>
      </c>
      <c r="C36" s="44" t="str">
        <f t="shared" si="9"/>
        <v>FIN515 1563.4</v>
      </c>
      <c r="D36" s="45" t="s">
        <v>343</v>
      </c>
      <c r="E36" s="45">
        <v>1563.4</v>
      </c>
      <c r="F36" s="59" t="s">
        <v>16</v>
      </c>
      <c r="G36" s="14"/>
      <c r="H36" s="44"/>
      <c r="I36" s="44"/>
      <c r="J36" s="44"/>
      <c r="K36" s="40" t="str">
        <f>IF(COUNTIF(Course[Course ID],Course[[#This Row],[Course ID]])&gt;1,"S","")</f>
        <v/>
      </c>
      <c r="L36" s="8"/>
      <c r="M36" s="8"/>
      <c r="N36" s="8"/>
      <c r="O36" s="8"/>
      <c r="P36" s="8"/>
      <c r="Q36" t="b">
        <v>1</v>
      </c>
      <c r="R36">
        <v>23</v>
      </c>
      <c r="S36" s="8"/>
      <c r="V36" s="8"/>
    </row>
  </sheetData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" r:id="rId3" name="Button 20">
              <controlPr defaultSize="0" print="0" autoFill="0" autoPict="0" macro="[0]!AssignProfessor">
                <anchor moveWithCells="1">
                  <from>
                    <xdr:col>7</xdr:col>
                    <xdr:colOff>622300</xdr:colOff>
                    <xdr:row>1</xdr:row>
                    <xdr:rowOff>0</xdr:rowOff>
                  </from>
                  <to>
                    <xdr:col>10</xdr:col>
                    <xdr:colOff>101600</xdr:colOff>
                    <xdr:row>2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69" r:id="rId4" name="Button 21">
              <controlPr defaultSize="0" print="0" autoFill="0" autoPict="0" macro="[0]!courseSolverMacro">
                <anchor moveWithCells="1" sizeWithCells="1">
                  <from>
                    <xdr:col>7</xdr:col>
                    <xdr:colOff>622300</xdr:colOff>
                    <xdr:row>2</xdr:row>
                    <xdr:rowOff>50800</xdr:rowOff>
                  </from>
                  <to>
                    <xdr:col>10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70" r:id="rId5" name="Button 22">
              <controlPr defaultSize="0" print="0" autoFill="0" autoPict="0" macro="[0]!printoutMacro">
                <anchor moveWithCells="1">
                  <from>
                    <xdr:col>7</xdr:col>
                    <xdr:colOff>622300</xdr:colOff>
                    <xdr:row>3</xdr:row>
                    <xdr:rowOff>88900</xdr:rowOff>
                  </from>
                  <to>
                    <xdr:col>10</xdr:col>
                    <xdr:colOff>101600</xdr:colOff>
                    <xdr:row>4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tableParts count="1">
    <tablePart r:id="rId6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F9"/>
  <sheetViews>
    <sheetView workbookViewId="0">
      <pane ySplit="1" topLeftCell="A4" activePane="bottomLeft" state="frozen"/>
      <selection activeCell="T20" sqref="T20"/>
      <selection pane="bottomLeft" activeCell="F35" sqref="F35"/>
    </sheetView>
  </sheetViews>
  <sheetFormatPr baseColWidth="10" defaultColWidth="8.6640625" defaultRowHeight="14" x14ac:dyDescent="0"/>
  <cols>
    <col min="1" max="1" width="8.5" bestFit="1" customWidth="1"/>
    <col min="2" max="2" width="16" bestFit="1" customWidth="1"/>
    <col min="3" max="6" width="15.1640625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7" t="s">
        <v>10</v>
      </c>
      <c r="B2" s="17" t="s">
        <v>13</v>
      </c>
      <c r="C2" s="17" t="s">
        <v>38</v>
      </c>
      <c r="D2" s="17" t="s">
        <v>39</v>
      </c>
      <c r="E2" s="17" t="s">
        <v>40</v>
      </c>
      <c r="F2" s="17" t="s">
        <v>91</v>
      </c>
    </row>
    <row r="3" spans="1:6">
      <c r="A3" s="17" t="s">
        <v>11</v>
      </c>
      <c r="B3" s="17" t="s">
        <v>13</v>
      </c>
      <c r="C3" s="17" t="s">
        <v>42</v>
      </c>
      <c r="D3" s="17" t="s">
        <v>41</v>
      </c>
      <c r="E3" s="17" t="s">
        <v>92</v>
      </c>
      <c r="F3" s="17" t="s">
        <v>93</v>
      </c>
    </row>
    <row r="4" spans="1:6">
      <c r="A4" s="17" t="s">
        <v>12</v>
      </c>
      <c r="B4" s="17" t="s">
        <v>13</v>
      </c>
      <c r="C4" s="17" t="s">
        <v>49</v>
      </c>
      <c r="D4" s="17" t="s">
        <v>94</v>
      </c>
      <c r="E4" s="17" t="s">
        <v>95</v>
      </c>
      <c r="F4" s="17" t="s">
        <v>96</v>
      </c>
    </row>
    <row r="5" spans="1:6">
      <c r="A5" s="17" t="s">
        <v>89</v>
      </c>
      <c r="B5" s="17" t="s">
        <v>97</v>
      </c>
      <c r="C5" s="17" t="s">
        <v>98</v>
      </c>
      <c r="D5" s="17" t="s">
        <v>99</v>
      </c>
      <c r="E5" s="17" t="s">
        <v>88</v>
      </c>
      <c r="F5" s="17" t="s">
        <v>100</v>
      </c>
    </row>
    <row r="6" spans="1:6">
      <c r="A6" s="17" t="s">
        <v>101</v>
      </c>
      <c r="B6" s="17" t="s">
        <v>13</v>
      </c>
      <c r="C6" s="17" t="s">
        <v>90</v>
      </c>
      <c r="D6" s="17" t="s">
        <v>102</v>
      </c>
      <c r="E6" s="17" t="s">
        <v>103</v>
      </c>
      <c r="F6" s="17" t="s">
        <v>104</v>
      </c>
    </row>
    <row r="7" spans="1:6">
      <c r="A7" s="17" t="s">
        <v>105</v>
      </c>
      <c r="B7" s="17" t="s">
        <v>13</v>
      </c>
      <c r="C7" s="17" t="s">
        <v>106</v>
      </c>
      <c r="D7" s="17" t="s">
        <v>107</v>
      </c>
      <c r="E7" s="17" t="s">
        <v>108</v>
      </c>
      <c r="F7" s="17" t="s">
        <v>109</v>
      </c>
    </row>
    <row r="8" spans="1:6">
      <c r="A8" s="17" t="s">
        <v>110</v>
      </c>
      <c r="B8" s="17" t="s">
        <v>97</v>
      </c>
      <c r="C8" s="17" t="s">
        <v>111</v>
      </c>
      <c r="D8" s="17" t="s">
        <v>112</v>
      </c>
      <c r="E8" s="17" t="s">
        <v>113</v>
      </c>
      <c r="F8" s="17" t="s">
        <v>114</v>
      </c>
    </row>
    <row r="9" spans="1:6">
      <c r="A9" s="17" t="s">
        <v>115</v>
      </c>
      <c r="B9" s="17" t="s">
        <v>13</v>
      </c>
      <c r="C9" s="17" t="s">
        <v>116</v>
      </c>
      <c r="D9" s="17" t="s">
        <v>117</v>
      </c>
      <c r="E9" s="17" t="s">
        <v>118</v>
      </c>
      <c r="F9" s="17" t="s">
        <v>119</v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OFFSET(Input_Course!$C$1,1,0,COUNTA(Input_Course!$C:$C)-1,1)</xm:f>
          </x14:formula1>
          <xm:sqref>C1:F1048576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8"/>
    <pageSetUpPr fitToPage="1"/>
  </sheetPr>
  <dimension ref="A1:G12"/>
  <sheetViews>
    <sheetView showGridLines="0" topLeftCell="A8" workbookViewId="0">
      <selection activeCell="E10" sqref="E10"/>
    </sheetView>
  </sheetViews>
  <sheetFormatPr baseColWidth="10" defaultColWidth="8.6640625" defaultRowHeight="14" x14ac:dyDescent="0"/>
  <cols>
    <col min="1" max="1" width="10.83203125" bestFit="1" customWidth="1"/>
    <col min="2" max="2" width="9" bestFit="1" customWidth="1"/>
    <col min="3" max="7" width="22.6640625" customWidth="1"/>
  </cols>
  <sheetData>
    <row r="1" spans="1:7" ht="15" thickBot="1">
      <c r="A1" s="52" t="s">
        <v>51</v>
      </c>
      <c r="B1" s="52"/>
      <c r="C1" s="52"/>
      <c r="D1" s="52"/>
      <c r="E1" s="52"/>
      <c r="F1" s="52"/>
      <c r="G1" s="52"/>
    </row>
    <row r="2" spans="1:7">
      <c r="A2" s="53"/>
      <c r="B2" s="54"/>
      <c r="C2" s="36" t="s">
        <v>52</v>
      </c>
      <c r="D2" s="36" t="s">
        <v>53</v>
      </c>
      <c r="E2" s="36" t="s">
        <v>54</v>
      </c>
      <c r="F2" s="36" t="s">
        <v>55</v>
      </c>
      <c r="G2" s="37" t="s">
        <v>56</v>
      </c>
    </row>
    <row r="3" spans="1:7" ht="182">
      <c r="A3" s="29" t="s">
        <v>74</v>
      </c>
      <c r="B3" s="23" t="s">
        <v>19</v>
      </c>
      <c r="C3" s="25" t="s">
        <v>298</v>
      </c>
      <c r="D3" s="25" t="s">
        <v>299</v>
      </c>
      <c r="E3" s="25" t="s">
        <v>298</v>
      </c>
      <c r="F3" s="26" t="s">
        <v>300</v>
      </c>
      <c r="G3" s="30" t="s">
        <v>299</v>
      </c>
    </row>
    <row r="4" spans="1:7" ht="182">
      <c r="A4" s="29" t="s">
        <v>75</v>
      </c>
      <c r="B4" s="23" t="s">
        <v>20</v>
      </c>
      <c r="C4" s="28" t="s">
        <v>301</v>
      </c>
      <c r="D4" s="28" t="s">
        <v>302</v>
      </c>
      <c r="E4" s="28" t="s">
        <v>301</v>
      </c>
      <c r="F4" s="26" t="s">
        <v>300</v>
      </c>
      <c r="G4" s="32" t="s">
        <v>302</v>
      </c>
    </row>
    <row r="5" spans="1:7" ht="182">
      <c r="A5" s="29" t="s">
        <v>76</v>
      </c>
      <c r="B5" s="23" t="s">
        <v>21</v>
      </c>
      <c r="C5" s="28" t="s">
        <v>303</v>
      </c>
      <c r="D5" s="28" t="s">
        <v>304</v>
      </c>
      <c r="E5" s="41" t="s">
        <v>307</v>
      </c>
      <c r="F5" s="28" t="s">
        <v>303</v>
      </c>
      <c r="G5" s="32" t="s">
        <v>304</v>
      </c>
    </row>
    <row r="6" spans="1:7" ht="182">
      <c r="A6" s="29" t="s">
        <v>77</v>
      </c>
      <c r="B6" s="23" t="s">
        <v>22</v>
      </c>
      <c r="C6" s="28" t="s">
        <v>305</v>
      </c>
      <c r="D6" s="28" t="s">
        <v>306</v>
      </c>
      <c r="E6" s="41" t="s">
        <v>307</v>
      </c>
      <c r="F6" s="28" t="s">
        <v>305</v>
      </c>
      <c r="G6" s="32" t="s">
        <v>306</v>
      </c>
    </row>
    <row r="7" spans="1:7" ht="182">
      <c r="A7" s="29" t="s">
        <v>78</v>
      </c>
      <c r="B7" s="23" t="s">
        <v>23</v>
      </c>
      <c r="C7" s="28" t="s">
        <v>308</v>
      </c>
      <c r="D7" s="27" t="s">
        <v>61</v>
      </c>
      <c r="E7" s="27" t="s">
        <v>61</v>
      </c>
      <c r="F7" s="28" t="s">
        <v>308</v>
      </c>
      <c r="G7" s="38" t="s">
        <v>313</v>
      </c>
    </row>
    <row r="8" spans="1:7" ht="182">
      <c r="A8" s="31" t="s">
        <v>79</v>
      </c>
      <c r="B8" s="24" t="s">
        <v>13</v>
      </c>
      <c r="C8" s="28" t="s">
        <v>309</v>
      </c>
      <c r="D8" s="28" t="s">
        <v>310</v>
      </c>
      <c r="E8" s="28" t="s">
        <v>309</v>
      </c>
      <c r="F8" s="28" t="s">
        <v>310</v>
      </c>
      <c r="G8" s="38" t="s">
        <v>313</v>
      </c>
    </row>
    <row r="9" spans="1:7" ht="154">
      <c r="A9" s="29" t="s">
        <v>80</v>
      </c>
      <c r="B9" s="23" t="s">
        <v>16</v>
      </c>
      <c r="C9" s="28" t="s">
        <v>311</v>
      </c>
      <c r="D9" s="28" t="s">
        <v>312</v>
      </c>
      <c r="E9" s="28" t="s">
        <v>311</v>
      </c>
      <c r="F9" s="28" t="s">
        <v>312</v>
      </c>
      <c r="G9" s="32"/>
    </row>
    <row r="10" spans="1:7" ht="154">
      <c r="A10" s="29" t="s">
        <v>81</v>
      </c>
      <c r="B10" s="23" t="s">
        <v>59</v>
      </c>
      <c r="C10" s="28" t="s">
        <v>314</v>
      </c>
      <c r="D10" s="28" t="s">
        <v>315</v>
      </c>
      <c r="E10" s="28" t="s">
        <v>316</v>
      </c>
      <c r="F10" s="28" t="s">
        <v>317</v>
      </c>
      <c r="G10" s="32"/>
    </row>
    <row r="11" spans="1:7" ht="322">
      <c r="A11" s="29" t="s">
        <v>82</v>
      </c>
      <c r="B11" s="23" t="s">
        <v>60</v>
      </c>
      <c r="C11" s="25" t="s">
        <v>318</v>
      </c>
      <c r="D11" s="25" t="s">
        <v>319</v>
      </c>
      <c r="E11" s="25" t="s">
        <v>320</v>
      </c>
      <c r="F11" s="25" t="s">
        <v>321</v>
      </c>
      <c r="G11" s="32"/>
    </row>
    <row r="12" spans="1:7" ht="323" thickBot="1">
      <c r="A12" s="33" t="s">
        <v>83</v>
      </c>
      <c r="B12" s="34" t="s">
        <v>60</v>
      </c>
      <c r="C12" s="42" t="s">
        <v>322</v>
      </c>
      <c r="D12" s="42" t="s">
        <v>323</v>
      </c>
      <c r="E12" s="42" t="s">
        <v>324</v>
      </c>
      <c r="F12" s="42" t="s">
        <v>325</v>
      </c>
      <c r="G12" s="35"/>
    </row>
  </sheetData>
  <mergeCells count="2">
    <mergeCell ref="A1:G1"/>
    <mergeCell ref="A2:B2"/>
  </mergeCells>
  <pageMargins left="0.7" right="0.7" top="0.75" bottom="0.75" header="0.3" footer="0.3"/>
  <pageSetup paperSize="9" scale="98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T45"/>
  <sheetViews>
    <sheetView workbookViewId="0">
      <pane ySplit="1" topLeftCell="A23" activePane="bottomLeft" state="frozen"/>
      <selection pane="bottomLeft" activeCell="F43" sqref="F43"/>
    </sheetView>
  </sheetViews>
  <sheetFormatPr baseColWidth="10" defaultColWidth="8.6640625" defaultRowHeight="14" x14ac:dyDescent="0"/>
  <cols>
    <col min="1" max="1" width="7.83203125" customWidth="1"/>
    <col min="2" max="2" width="9.83203125" customWidth="1"/>
    <col min="4" max="4" width="11" customWidth="1"/>
  </cols>
  <sheetData>
    <row r="1" spans="1:20">
      <c r="A1" t="s">
        <v>30</v>
      </c>
      <c r="B1" t="s">
        <v>14</v>
      </c>
      <c r="C1" t="s">
        <v>8</v>
      </c>
      <c r="D1" t="s">
        <v>25</v>
      </c>
      <c r="E1" t="s">
        <v>26</v>
      </c>
      <c r="F1" t="s">
        <v>27</v>
      </c>
      <c r="T1">
        <v>0</v>
      </c>
    </row>
    <row r="2" spans="1:20">
      <c r="A2">
        <v>1</v>
      </c>
      <c r="B2" t="s">
        <v>17</v>
      </c>
      <c r="C2" t="s">
        <v>15</v>
      </c>
      <c r="D2" t="s">
        <v>19</v>
      </c>
      <c r="E2" s="1">
        <v>0.33333333333333331</v>
      </c>
      <c r="F2" s="1">
        <v>0.3888888888888889</v>
      </c>
    </row>
    <row r="3" spans="1:20">
      <c r="A3">
        <v>1</v>
      </c>
      <c r="B3" t="s">
        <v>18</v>
      </c>
      <c r="C3" t="s">
        <v>15</v>
      </c>
      <c r="D3" t="s">
        <v>19</v>
      </c>
      <c r="E3" s="1">
        <v>0.33333333333333331</v>
      </c>
      <c r="F3" s="1">
        <v>0.3888888888888889</v>
      </c>
    </row>
    <row r="4" spans="1:20">
      <c r="A4">
        <v>2</v>
      </c>
      <c r="B4" t="s">
        <v>17</v>
      </c>
      <c r="C4" t="s">
        <v>15</v>
      </c>
      <c r="D4" t="s">
        <v>19</v>
      </c>
      <c r="E4" s="1">
        <v>0.33333333333333331</v>
      </c>
      <c r="F4" s="1">
        <v>0.3888888888888889</v>
      </c>
    </row>
    <row r="5" spans="1:20">
      <c r="A5">
        <v>2</v>
      </c>
      <c r="B5" t="s">
        <v>18</v>
      </c>
      <c r="C5" t="s">
        <v>15</v>
      </c>
      <c r="D5" t="s">
        <v>19</v>
      </c>
      <c r="E5" s="1">
        <v>0.33333333333333331</v>
      </c>
      <c r="F5" s="1">
        <v>0.3888888888888889</v>
      </c>
    </row>
    <row r="6" spans="1:20">
      <c r="A6">
        <v>3</v>
      </c>
      <c r="B6" t="s">
        <v>17</v>
      </c>
      <c r="C6" t="s">
        <v>15</v>
      </c>
      <c r="D6" t="s">
        <v>19</v>
      </c>
      <c r="E6" s="1">
        <v>0.33333333333333331</v>
      </c>
      <c r="F6" s="1">
        <v>0.3888888888888889</v>
      </c>
    </row>
    <row r="7" spans="1:20">
      <c r="A7">
        <v>3</v>
      </c>
      <c r="B7" t="s">
        <v>18</v>
      </c>
      <c r="C7" t="s">
        <v>15</v>
      </c>
      <c r="D7" t="s">
        <v>20</v>
      </c>
      <c r="E7" s="1">
        <v>0.39583333333333331</v>
      </c>
      <c r="F7" s="1">
        <v>0.4513888888888889</v>
      </c>
    </row>
    <row r="8" spans="1:20">
      <c r="A8">
        <v>4</v>
      </c>
      <c r="B8" t="s">
        <v>17</v>
      </c>
      <c r="C8" t="s">
        <v>15</v>
      </c>
      <c r="D8" t="s">
        <v>20</v>
      </c>
      <c r="E8" s="1">
        <v>0.39583333333333331</v>
      </c>
      <c r="F8" s="1">
        <v>0.4513888888888889</v>
      </c>
    </row>
    <row r="9" spans="1:20">
      <c r="A9">
        <v>4</v>
      </c>
      <c r="B9" t="s">
        <v>18</v>
      </c>
      <c r="C9" t="s">
        <v>15</v>
      </c>
      <c r="D9" t="s">
        <v>20</v>
      </c>
      <c r="E9" s="1">
        <v>0.39583333333333331</v>
      </c>
      <c r="F9" s="1">
        <v>0.4513888888888889</v>
      </c>
    </row>
    <row r="10" spans="1:20">
      <c r="A10">
        <v>5</v>
      </c>
      <c r="B10" t="s">
        <v>17</v>
      </c>
      <c r="C10" t="s">
        <v>15</v>
      </c>
      <c r="D10" t="s">
        <v>20</v>
      </c>
      <c r="E10" s="1">
        <v>0.39583333333333331</v>
      </c>
      <c r="F10" s="1">
        <v>0.4513888888888889</v>
      </c>
    </row>
    <row r="11" spans="1:20">
      <c r="A11">
        <v>5</v>
      </c>
      <c r="B11" t="s">
        <v>18</v>
      </c>
      <c r="C11" t="s">
        <v>15</v>
      </c>
      <c r="D11" t="s">
        <v>20</v>
      </c>
      <c r="E11" s="1">
        <v>0.39583333333333331</v>
      </c>
      <c r="F11" s="1">
        <v>0.4513888888888889</v>
      </c>
    </row>
    <row r="12" spans="1:20">
      <c r="A12">
        <v>6</v>
      </c>
      <c r="B12" t="s">
        <v>17</v>
      </c>
      <c r="C12" t="s">
        <v>15</v>
      </c>
      <c r="D12" t="s">
        <v>21</v>
      </c>
      <c r="E12" s="1">
        <v>0.45833333333333331</v>
      </c>
      <c r="F12" s="1">
        <v>0.51388888888888895</v>
      </c>
    </row>
    <row r="13" spans="1:20">
      <c r="A13">
        <v>6</v>
      </c>
      <c r="B13" t="s">
        <v>18</v>
      </c>
      <c r="C13" t="s">
        <v>15</v>
      </c>
      <c r="D13" t="s">
        <v>21</v>
      </c>
      <c r="E13" s="1">
        <v>0.45833333333333331</v>
      </c>
      <c r="F13" s="1">
        <v>0.51388888888888895</v>
      </c>
    </row>
    <row r="14" spans="1:20">
      <c r="A14">
        <v>7</v>
      </c>
      <c r="B14" t="s">
        <v>17</v>
      </c>
      <c r="C14" t="s">
        <v>15</v>
      </c>
      <c r="D14" t="s">
        <v>21</v>
      </c>
      <c r="E14" s="1">
        <v>0.45833333333333331</v>
      </c>
      <c r="F14" s="1">
        <v>0.51388888888888895</v>
      </c>
    </row>
    <row r="15" spans="1:20">
      <c r="A15">
        <v>7</v>
      </c>
      <c r="B15" t="s">
        <v>18</v>
      </c>
      <c r="C15" t="s">
        <v>15</v>
      </c>
      <c r="D15" t="s">
        <v>21</v>
      </c>
      <c r="E15" s="1">
        <v>0.45833333333333331</v>
      </c>
      <c r="F15" s="1">
        <v>0.51388888888888895</v>
      </c>
    </row>
    <row r="16" spans="1:20">
      <c r="A16">
        <v>8</v>
      </c>
      <c r="B16" t="s">
        <v>17</v>
      </c>
      <c r="C16" t="s">
        <v>15</v>
      </c>
      <c r="D16" t="s">
        <v>22</v>
      </c>
      <c r="E16" s="1">
        <v>0.52083333333333337</v>
      </c>
      <c r="F16" s="1">
        <v>0.57638888888888895</v>
      </c>
    </row>
    <row r="17" spans="1:6">
      <c r="A17">
        <v>8</v>
      </c>
      <c r="B17" t="s">
        <v>18</v>
      </c>
      <c r="C17" t="s">
        <v>15</v>
      </c>
      <c r="D17" t="s">
        <v>22</v>
      </c>
      <c r="E17" s="1">
        <v>0.52083333333333337</v>
      </c>
      <c r="F17" s="1">
        <v>0.57638888888888895</v>
      </c>
    </row>
    <row r="18" spans="1:6">
      <c r="A18">
        <v>9</v>
      </c>
      <c r="B18" t="s">
        <v>17</v>
      </c>
      <c r="C18" t="s">
        <v>15</v>
      </c>
      <c r="D18" t="s">
        <v>22</v>
      </c>
      <c r="E18" s="1">
        <v>0.52083333333333337</v>
      </c>
      <c r="F18" s="1">
        <v>0.57638888888888895</v>
      </c>
    </row>
    <row r="19" spans="1:6">
      <c r="A19">
        <v>9</v>
      </c>
      <c r="B19" t="s">
        <v>18</v>
      </c>
      <c r="C19" t="s">
        <v>15</v>
      </c>
      <c r="D19" t="s">
        <v>22</v>
      </c>
      <c r="E19" s="1">
        <v>0.52083333333333337</v>
      </c>
      <c r="F19" s="1">
        <v>0.57638888888888895</v>
      </c>
    </row>
    <row r="20" spans="1:6">
      <c r="A20">
        <v>10</v>
      </c>
      <c r="B20" t="s">
        <v>17</v>
      </c>
      <c r="C20" t="s">
        <v>15</v>
      </c>
      <c r="D20" t="s">
        <v>21</v>
      </c>
      <c r="E20" s="1">
        <v>0.45833333333333331</v>
      </c>
      <c r="F20" s="1">
        <v>0.51388888888888895</v>
      </c>
    </row>
    <row r="21" spans="1:6">
      <c r="A21">
        <v>10</v>
      </c>
      <c r="B21" t="s">
        <v>18</v>
      </c>
      <c r="C21" t="s">
        <v>15</v>
      </c>
      <c r="D21" t="s">
        <v>22</v>
      </c>
      <c r="E21" s="1">
        <v>0.52083333333333337</v>
      </c>
      <c r="F21" s="1">
        <v>0.57638888888888895</v>
      </c>
    </row>
    <row r="22" spans="1:6">
      <c r="A22">
        <v>11</v>
      </c>
      <c r="B22" t="s">
        <v>17</v>
      </c>
      <c r="C22" t="s">
        <v>15</v>
      </c>
      <c r="D22" t="s">
        <v>23</v>
      </c>
      <c r="E22" s="1">
        <v>0.58333333333333337</v>
      </c>
      <c r="F22" s="1">
        <v>0.55555555555555558</v>
      </c>
    </row>
    <row r="23" spans="1:6">
      <c r="A23">
        <v>11</v>
      </c>
      <c r="B23" t="s">
        <v>18</v>
      </c>
      <c r="C23" t="s">
        <v>15</v>
      </c>
      <c r="D23" t="s">
        <v>23</v>
      </c>
      <c r="E23" s="1">
        <v>0.58333333333333337</v>
      </c>
      <c r="F23" s="1">
        <v>0.55555555555555558</v>
      </c>
    </row>
    <row r="24" spans="1:6">
      <c r="A24">
        <v>12</v>
      </c>
      <c r="B24" t="s">
        <v>17</v>
      </c>
      <c r="C24" t="s">
        <v>15</v>
      </c>
      <c r="D24" t="s">
        <v>13</v>
      </c>
      <c r="E24" s="1">
        <v>0.64583333333333337</v>
      </c>
      <c r="F24" s="1">
        <v>0.70138888888888884</v>
      </c>
    </row>
    <row r="25" spans="1:6">
      <c r="A25">
        <v>12</v>
      </c>
      <c r="B25" t="s">
        <v>18</v>
      </c>
      <c r="C25" t="s">
        <v>15</v>
      </c>
      <c r="D25" t="s">
        <v>13</v>
      </c>
      <c r="E25" s="1">
        <v>0.64583333333333337</v>
      </c>
      <c r="F25" s="1">
        <v>0.70138888888888884</v>
      </c>
    </row>
    <row r="26" spans="1:6">
      <c r="A26">
        <v>13</v>
      </c>
      <c r="B26" t="s">
        <v>17</v>
      </c>
      <c r="C26" t="s">
        <v>15</v>
      </c>
      <c r="D26" t="s">
        <v>13</v>
      </c>
      <c r="E26" s="1">
        <v>0.64583333333333337</v>
      </c>
      <c r="F26" s="1">
        <v>0.70138888888888884</v>
      </c>
    </row>
    <row r="27" spans="1:6">
      <c r="A27">
        <v>13</v>
      </c>
      <c r="B27" t="s">
        <v>18</v>
      </c>
      <c r="C27" t="s">
        <v>15</v>
      </c>
      <c r="D27" t="s">
        <v>13</v>
      </c>
      <c r="E27" s="1">
        <v>0.64583333333333337</v>
      </c>
      <c r="F27" s="1">
        <v>0.70138888888888884</v>
      </c>
    </row>
    <row r="28" spans="1:6">
      <c r="A28">
        <v>14</v>
      </c>
      <c r="B28" t="s">
        <v>17</v>
      </c>
      <c r="C28" t="s">
        <v>15</v>
      </c>
      <c r="D28" t="s">
        <v>16</v>
      </c>
      <c r="E28" s="1">
        <v>0.70833333333333337</v>
      </c>
      <c r="F28" s="1">
        <v>0.76388888888888884</v>
      </c>
    </row>
    <row r="29" spans="1:6">
      <c r="A29">
        <v>14</v>
      </c>
      <c r="B29" t="s">
        <v>18</v>
      </c>
      <c r="C29" t="s">
        <v>15</v>
      </c>
      <c r="D29" t="s">
        <v>16</v>
      </c>
      <c r="E29" s="1">
        <v>0.70833333333333337</v>
      </c>
      <c r="F29" s="1">
        <v>0.76388888888888884</v>
      </c>
    </row>
    <row r="30" spans="1:6">
      <c r="A30">
        <v>15</v>
      </c>
      <c r="B30" t="s">
        <v>17</v>
      </c>
      <c r="C30" t="s">
        <v>15</v>
      </c>
      <c r="D30" t="s">
        <v>16</v>
      </c>
      <c r="E30" s="1">
        <v>0.70833333333333337</v>
      </c>
      <c r="F30" s="1">
        <v>0.76388888888888884</v>
      </c>
    </row>
    <row r="31" spans="1:6">
      <c r="A31">
        <v>15</v>
      </c>
      <c r="B31" t="s">
        <v>18</v>
      </c>
      <c r="C31" t="s">
        <v>15</v>
      </c>
      <c r="D31" t="s">
        <v>16</v>
      </c>
      <c r="E31" s="1">
        <v>0.70833333333333337</v>
      </c>
      <c r="F31" s="1">
        <v>0.76388888888888884</v>
      </c>
    </row>
    <row r="32" spans="1:6">
      <c r="A32">
        <v>16</v>
      </c>
      <c r="B32" t="s">
        <v>17</v>
      </c>
      <c r="C32" t="s">
        <v>15</v>
      </c>
      <c r="D32" t="s">
        <v>23</v>
      </c>
      <c r="E32" s="1">
        <v>0.58333333333333337</v>
      </c>
      <c r="F32" s="1">
        <v>0.55555555555555558</v>
      </c>
    </row>
    <row r="33" spans="1:6">
      <c r="A33">
        <v>16</v>
      </c>
      <c r="B33" t="s">
        <v>18</v>
      </c>
      <c r="C33" t="s">
        <v>15</v>
      </c>
      <c r="D33" t="s">
        <v>13</v>
      </c>
      <c r="E33" s="1">
        <v>0.64583333333333337</v>
      </c>
      <c r="F33" s="1">
        <v>0.70138888888888884</v>
      </c>
    </row>
    <row r="34" spans="1:6">
      <c r="A34">
        <v>17</v>
      </c>
      <c r="B34" t="s">
        <v>17</v>
      </c>
      <c r="C34" t="s">
        <v>15</v>
      </c>
      <c r="D34" t="s">
        <v>24</v>
      </c>
      <c r="E34" s="1">
        <v>0.70833333333333337</v>
      </c>
      <c r="F34" s="1">
        <v>0.76388888888888884</v>
      </c>
    </row>
    <row r="35" spans="1:6">
      <c r="A35">
        <v>18</v>
      </c>
      <c r="B35" t="s">
        <v>17</v>
      </c>
      <c r="C35" t="s">
        <v>15</v>
      </c>
      <c r="D35" t="s">
        <v>24</v>
      </c>
      <c r="E35" s="1">
        <v>0.70833333333333337</v>
      </c>
      <c r="F35" s="1">
        <v>0.76388888888888884</v>
      </c>
    </row>
    <row r="36" spans="1:6">
      <c r="A36">
        <v>19</v>
      </c>
      <c r="B36" t="s">
        <v>17</v>
      </c>
      <c r="C36" t="s">
        <v>15</v>
      </c>
      <c r="D36" t="s">
        <v>24</v>
      </c>
      <c r="E36" s="1">
        <v>0.70833333333333337</v>
      </c>
      <c r="F36" s="1">
        <v>0.76388888888888884</v>
      </c>
    </row>
    <row r="37" spans="1:6">
      <c r="A37">
        <v>20</v>
      </c>
      <c r="B37" t="s">
        <v>17</v>
      </c>
      <c r="C37" t="s">
        <v>15</v>
      </c>
      <c r="D37" t="s">
        <v>24</v>
      </c>
      <c r="E37" s="1">
        <v>0.70833333333333337</v>
      </c>
      <c r="F37" s="1">
        <v>0.76388888888888884</v>
      </c>
    </row>
    <row r="38" spans="1:6">
      <c r="A38">
        <v>21</v>
      </c>
      <c r="B38" t="s">
        <v>17</v>
      </c>
      <c r="C38" t="s">
        <v>16</v>
      </c>
      <c r="D38" t="s">
        <v>28</v>
      </c>
      <c r="E38" s="1">
        <v>0.70833333333333337</v>
      </c>
      <c r="F38" s="1">
        <v>0.80555555555555547</v>
      </c>
    </row>
    <row r="39" spans="1:6">
      <c r="A39">
        <v>22</v>
      </c>
      <c r="B39" t="s">
        <v>17</v>
      </c>
      <c r="C39" t="s">
        <v>16</v>
      </c>
      <c r="D39" t="s">
        <v>28</v>
      </c>
      <c r="E39" s="1">
        <v>0.70833333333333337</v>
      </c>
      <c r="F39" s="1">
        <v>0.80555555555555547</v>
      </c>
    </row>
    <row r="40" spans="1:6">
      <c r="A40">
        <v>23</v>
      </c>
      <c r="B40" t="s">
        <v>17</v>
      </c>
      <c r="C40" t="s">
        <v>16</v>
      </c>
      <c r="D40" t="s">
        <v>28</v>
      </c>
      <c r="E40" s="1">
        <v>0.70833333333333337</v>
      </c>
      <c r="F40" s="1">
        <v>0.80555555555555547</v>
      </c>
    </row>
    <row r="41" spans="1:6">
      <c r="A41">
        <v>24</v>
      </c>
      <c r="B41" t="s">
        <v>17</v>
      </c>
      <c r="C41" t="s">
        <v>16</v>
      </c>
      <c r="D41" t="s">
        <v>28</v>
      </c>
      <c r="E41" s="1">
        <v>0.70833333333333337</v>
      </c>
      <c r="F41" s="1">
        <v>0.80555555555555547</v>
      </c>
    </row>
    <row r="42" spans="1:6">
      <c r="A42">
        <v>25</v>
      </c>
      <c r="B42" t="s">
        <v>17</v>
      </c>
      <c r="C42" t="s">
        <v>16</v>
      </c>
      <c r="D42" t="s">
        <v>29</v>
      </c>
      <c r="E42" s="1">
        <v>0.8125</v>
      </c>
      <c r="F42" s="1">
        <v>0.90972222222222221</v>
      </c>
    </row>
    <row r="43" spans="1:6">
      <c r="A43">
        <v>26</v>
      </c>
      <c r="B43" t="s">
        <v>17</v>
      </c>
      <c r="C43" t="s">
        <v>16</v>
      </c>
      <c r="D43" t="s">
        <v>29</v>
      </c>
      <c r="E43" s="1">
        <v>0.8125</v>
      </c>
      <c r="F43" s="1">
        <v>0.90972222222222221</v>
      </c>
    </row>
    <row r="44" spans="1:6">
      <c r="A44">
        <v>27</v>
      </c>
      <c r="B44" t="s">
        <v>17</v>
      </c>
      <c r="C44" t="s">
        <v>16</v>
      </c>
      <c r="D44" t="s">
        <v>29</v>
      </c>
      <c r="E44" s="1">
        <v>0.8125</v>
      </c>
      <c r="F44" s="1">
        <v>0.90972222222222221</v>
      </c>
    </row>
    <row r="45" spans="1:6">
      <c r="A45">
        <v>28</v>
      </c>
      <c r="B45" t="s">
        <v>17</v>
      </c>
      <c r="C45" t="s">
        <v>16</v>
      </c>
      <c r="D45" t="s">
        <v>29</v>
      </c>
      <c r="E45" s="1">
        <v>0.8125</v>
      </c>
      <c r="F45" s="1">
        <v>0.90972222222222221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T37"/>
  <sheetViews>
    <sheetView topLeftCell="A16" workbookViewId="0">
      <selection activeCell="C21" sqref="C21:GS21"/>
    </sheetView>
  </sheetViews>
  <sheetFormatPr baseColWidth="10" defaultColWidth="8.83203125" defaultRowHeight="14" x14ac:dyDescent="0"/>
  <sheetData>
    <row r="1" spans="1:201">
      <c r="A1" t="s">
        <v>120</v>
      </c>
      <c r="B1" t="s">
        <v>1</v>
      </c>
      <c r="C1" t="s">
        <v>38</v>
      </c>
      <c r="D1" t="s">
        <v>39</v>
      </c>
      <c r="E1" t="s">
        <v>40</v>
      </c>
      <c r="F1" t="s">
        <v>91</v>
      </c>
      <c r="G1" t="s">
        <v>42</v>
      </c>
      <c r="H1" t="s">
        <v>41</v>
      </c>
      <c r="I1" t="s">
        <v>92</v>
      </c>
      <c r="J1" t="s">
        <v>93</v>
      </c>
      <c r="K1" t="s">
        <v>49</v>
      </c>
      <c r="L1" t="s">
        <v>94</v>
      </c>
      <c r="M1" t="s">
        <v>95</v>
      </c>
      <c r="N1" t="s">
        <v>96</v>
      </c>
      <c r="O1" t="s">
        <v>98</v>
      </c>
      <c r="P1" t="s">
        <v>99</v>
      </c>
      <c r="Q1" t="s">
        <v>88</v>
      </c>
      <c r="R1" t="s">
        <v>100</v>
      </c>
      <c r="S1" t="s">
        <v>90</v>
      </c>
      <c r="T1" t="s">
        <v>102</v>
      </c>
      <c r="U1" t="s">
        <v>103</v>
      </c>
      <c r="V1" t="s">
        <v>104</v>
      </c>
      <c r="W1" t="s">
        <v>106</v>
      </c>
      <c r="X1" t="s">
        <v>107</v>
      </c>
      <c r="Y1" t="s">
        <v>108</v>
      </c>
      <c r="Z1" t="s">
        <v>109</v>
      </c>
      <c r="AA1" t="s">
        <v>111</v>
      </c>
      <c r="AB1" t="s">
        <v>112</v>
      </c>
      <c r="AC1" t="s">
        <v>113</v>
      </c>
      <c r="AD1" t="s">
        <v>114</v>
      </c>
      <c r="AE1" t="s">
        <v>116</v>
      </c>
      <c r="AF1" t="s">
        <v>117</v>
      </c>
      <c r="AG1" t="s">
        <v>118</v>
      </c>
      <c r="AH1" t="s">
        <v>119</v>
      </c>
      <c r="AI1" t="s">
        <v>123</v>
      </c>
      <c r="AJ1" t="s">
        <v>124</v>
      </c>
      <c r="AK1" t="s">
        <v>125</v>
      </c>
      <c r="AL1" t="s">
        <v>126</v>
      </c>
      <c r="AM1" t="s">
        <v>127</v>
      </c>
      <c r="AN1" t="s">
        <v>128</v>
      </c>
      <c r="AO1" t="s">
        <v>129</v>
      </c>
      <c r="AP1" t="s">
        <v>130</v>
      </c>
      <c r="AQ1" t="s">
        <v>131</v>
      </c>
      <c r="AR1" t="s">
        <v>132</v>
      </c>
      <c r="AS1" t="s">
        <v>133</v>
      </c>
      <c r="AT1" t="s">
        <v>134</v>
      </c>
      <c r="AU1" t="s">
        <v>135</v>
      </c>
      <c r="AV1" t="s">
        <v>136</v>
      </c>
      <c r="AW1" t="s">
        <v>137</v>
      </c>
      <c r="AX1" t="s">
        <v>138</v>
      </c>
      <c r="AY1" t="s">
        <v>139</v>
      </c>
      <c r="AZ1" t="s">
        <v>140</v>
      </c>
      <c r="BA1" t="s">
        <v>141</v>
      </c>
      <c r="BB1" t="s">
        <v>142</v>
      </c>
      <c r="BC1" t="s">
        <v>143</v>
      </c>
      <c r="BD1" t="s">
        <v>144</v>
      </c>
      <c r="BE1" t="s">
        <v>145</v>
      </c>
      <c r="BF1" t="s">
        <v>146</v>
      </c>
      <c r="BG1" t="s">
        <v>147</v>
      </c>
      <c r="BH1" t="s">
        <v>148</v>
      </c>
      <c r="BI1" t="s">
        <v>149</v>
      </c>
      <c r="BJ1" t="s">
        <v>150</v>
      </c>
      <c r="BK1" t="s">
        <v>151</v>
      </c>
      <c r="BL1" t="s">
        <v>152</v>
      </c>
      <c r="BM1" t="s">
        <v>153</v>
      </c>
      <c r="BN1" t="s">
        <v>154</v>
      </c>
      <c r="BO1" t="s">
        <v>155</v>
      </c>
      <c r="BP1" t="s">
        <v>156</v>
      </c>
      <c r="BQ1" t="s">
        <v>157</v>
      </c>
      <c r="BR1" t="s">
        <v>158</v>
      </c>
      <c r="BS1" t="s">
        <v>159</v>
      </c>
      <c r="BT1" t="s">
        <v>160</v>
      </c>
      <c r="BU1" t="s">
        <v>161</v>
      </c>
      <c r="BV1" t="s">
        <v>162</v>
      </c>
      <c r="BW1" t="s">
        <v>163</v>
      </c>
      <c r="BX1" t="s">
        <v>164</v>
      </c>
      <c r="BY1" t="s">
        <v>165</v>
      </c>
      <c r="BZ1" t="s">
        <v>166</v>
      </c>
      <c r="CA1" t="s">
        <v>167</v>
      </c>
      <c r="CB1" t="s">
        <v>168</v>
      </c>
      <c r="CC1" t="s">
        <v>169</v>
      </c>
      <c r="CD1" t="s">
        <v>170</v>
      </c>
      <c r="CE1" t="s">
        <v>171</v>
      </c>
      <c r="CF1" t="s">
        <v>172</v>
      </c>
      <c r="CG1" t="s">
        <v>173</v>
      </c>
      <c r="CH1" t="s">
        <v>174</v>
      </c>
      <c r="CI1" t="s">
        <v>175</v>
      </c>
      <c r="CJ1" t="s">
        <v>176</v>
      </c>
      <c r="CK1" t="s">
        <v>177</v>
      </c>
      <c r="CL1" t="s">
        <v>178</v>
      </c>
      <c r="CM1" t="s">
        <v>179</v>
      </c>
      <c r="CN1" t="s">
        <v>180</v>
      </c>
      <c r="CO1" t="s">
        <v>181</v>
      </c>
      <c r="CP1" t="s">
        <v>182</v>
      </c>
      <c r="CQ1" t="s">
        <v>183</v>
      </c>
      <c r="CR1" t="s">
        <v>184</v>
      </c>
      <c r="CS1" t="s">
        <v>185</v>
      </c>
      <c r="CT1" t="s">
        <v>186</v>
      </c>
      <c r="CU1" t="s">
        <v>187</v>
      </c>
      <c r="CV1" t="s">
        <v>188</v>
      </c>
      <c r="CW1" t="s">
        <v>189</v>
      </c>
      <c r="CX1" t="s">
        <v>190</v>
      </c>
      <c r="CY1" t="s">
        <v>191</v>
      </c>
      <c r="CZ1" t="s">
        <v>192</v>
      </c>
      <c r="DA1" t="s">
        <v>193</v>
      </c>
      <c r="DB1" t="s">
        <v>194</v>
      </c>
      <c r="DC1" t="s">
        <v>195</v>
      </c>
      <c r="DD1" t="s">
        <v>196</v>
      </c>
      <c r="DE1" t="s">
        <v>197</v>
      </c>
      <c r="DF1" t="s">
        <v>198</v>
      </c>
      <c r="DG1" t="s">
        <v>199</v>
      </c>
      <c r="DH1" t="s">
        <v>200</v>
      </c>
      <c r="DI1" t="s">
        <v>201</v>
      </c>
      <c r="DJ1" t="s">
        <v>202</v>
      </c>
      <c r="DK1" t="s">
        <v>203</v>
      </c>
      <c r="DL1" t="s">
        <v>204</v>
      </c>
      <c r="DM1" t="s">
        <v>205</v>
      </c>
      <c r="DN1" t="s">
        <v>206</v>
      </c>
      <c r="DO1" t="s">
        <v>207</v>
      </c>
      <c r="DP1" t="s">
        <v>208</v>
      </c>
      <c r="DQ1" t="s">
        <v>209</v>
      </c>
      <c r="DR1" t="s">
        <v>210</v>
      </c>
      <c r="DS1" t="s">
        <v>211</v>
      </c>
      <c r="DT1" t="s">
        <v>212</v>
      </c>
      <c r="DU1" t="s">
        <v>213</v>
      </c>
      <c r="DV1" t="s">
        <v>214</v>
      </c>
      <c r="DW1" t="s">
        <v>215</v>
      </c>
      <c r="DX1" t="s">
        <v>216</v>
      </c>
      <c r="DY1" t="s">
        <v>217</v>
      </c>
      <c r="DZ1" t="s">
        <v>218</v>
      </c>
      <c r="EA1" t="s">
        <v>219</v>
      </c>
      <c r="EB1" t="s">
        <v>220</v>
      </c>
      <c r="EC1" t="s">
        <v>221</v>
      </c>
      <c r="ED1" t="s">
        <v>222</v>
      </c>
      <c r="EE1" t="s">
        <v>223</v>
      </c>
      <c r="EF1" t="s">
        <v>224</v>
      </c>
      <c r="EG1" t="s">
        <v>225</v>
      </c>
      <c r="EH1" t="s">
        <v>226</v>
      </c>
      <c r="EI1" t="s">
        <v>227</v>
      </c>
      <c r="EJ1" t="s">
        <v>228</v>
      </c>
      <c r="EK1" t="s">
        <v>229</v>
      </c>
      <c r="EL1" t="s">
        <v>230</v>
      </c>
      <c r="EM1" t="s">
        <v>231</v>
      </c>
      <c r="EN1" t="s">
        <v>232</v>
      </c>
      <c r="EO1" t="s">
        <v>233</v>
      </c>
      <c r="EP1" t="s">
        <v>234</v>
      </c>
      <c r="EQ1" t="s">
        <v>235</v>
      </c>
      <c r="ER1" t="s">
        <v>236</v>
      </c>
      <c r="ES1" t="s">
        <v>237</v>
      </c>
      <c r="ET1" t="s">
        <v>238</v>
      </c>
      <c r="EU1" t="s">
        <v>239</v>
      </c>
      <c r="EV1" t="s">
        <v>240</v>
      </c>
      <c r="EW1" t="s">
        <v>241</v>
      </c>
      <c r="EX1" t="s">
        <v>242</v>
      </c>
      <c r="EY1" t="s">
        <v>243</v>
      </c>
      <c r="EZ1" t="s">
        <v>244</v>
      </c>
      <c r="FA1" t="s">
        <v>245</v>
      </c>
      <c r="FB1" t="s">
        <v>246</v>
      </c>
      <c r="FC1" t="s">
        <v>247</v>
      </c>
      <c r="FD1" t="s">
        <v>248</v>
      </c>
      <c r="FE1" t="s">
        <v>249</v>
      </c>
      <c r="FF1" t="s">
        <v>250</v>
      </c>
      <c r="FG1" t="s">
        <v>251</v>
      </c>
      <c r="FH1" t="s">
        <v>252</v>
      </c>
      <c r="FI1" t="s">
        <v>253</v>
      </c>
      <c r="FJ1" t="s">
        <v>254</v>
      </c>
      <c r="FK1" t="s">
        <v>255</v>
      </c>
      <c r="FL1" t="s">
        <v>256</v>
      </c>
      <c r="FM1" t="s">
        <v>257</v>
      </c>
      <c r="FN1" t="s">
        <v>258</v>
      </c>
      <c r="FO1" t="s">
        <v>259</v>
      </c>
      <c r="FP1" t="s">
        <v>260</v>
      </c>
      <c r="FQ1" t="s">
        <v>261</v>
      </c>
      <c r="FR1" t="s">
        <v>262</v>
      </c>
      <c r="FS1" t="s">
        <v>263</v>
      </c>
      <c r="FT1" t="s">
        <v>264</v>
      </c>
      <c r="FU1" t="s">
        <v>265</v>
      </c>
      <c r="FV1" t="s">
        <v>266</v>
      </c>
      <c r="FW1" t="s">
        <v>267</v>
      </c>
      <c r="FX1" t="s">
        <v>268</v>
      </c>
      <c r="FY1" t="s">
        <v>269</v>
      </c>
      <c r="FZ1" t="s">
        <v>270</v>
      </c>
      <c r="GA1" t="s">
        <v>271</v>
      </c>
      <c r="GB1" t="s">
        <v>272</v>
      </c>
      <c r="GC1" t="s">
        <v>273</v>
      </c>
      <c r="GD1" t="s">
        <v>274</v>
      </c>
      <c r="GE1" t="s">
        <v>275</v>
      </c>
      <c r="GF1" t="s">
        <v>276</v>
      </c>
      <c r="GG1" t="s">
        <v>277</v>
      </c>
      <c r="GH1" t="s">
        <v>278</v>
      </c>
      <c r="GI1" t="s">
        <v>279</v>
      </c>
      <c r="GJ1" t="s">
        <v>280</v>
      </c>
      <c r="GK1" t="s">
        <v>281</v>
      </c>
      <c r="GL1" t="s">
        <v>282</v>
      </c>
      <c r="GM1" t="s">
        <v>283</v>
      </c>
      <c r="GN1" t="s">
        <v>284</v>
      </c>
      <c r="GO1" t="s">
        <v>285</v>
      </c>
      <c r="GP1" t="s">
        <v>286</v>
      </c>
      <c r="GQ1" t="s">
        <v>287</v>
      </c>
      <c r="GR1" t="s">
        <v>288</v>
      </c>
      <c r="GS1" t="s">
        <v>289</v>
      </c>
    </row>
    <row r="2" spans="1:201">
      <c r="A2" t="s">
        <v>10</v>
      </c>
      <c r="B2" t="s">
        <v>13</v>
      </c>
      <c r="C2">
        <v>4</v>
      </c>
      <c r="D2">
        <v>3</v>
      </c>
      <c r="E2">
        <v>2</v>
      </c>
      <c r="F2">
        <v>1</v>
      </c>
    </row>
    <row r="3" spans="1:201">
      <c r="A3" t="s">
        <v>11</v>
      </c>
      <c r="B3" t="s">
        <v>13</v>
      </c>
      <c r="G3">
        <v>4</v>
      </c>
      <c r="H3">
        <v>3</v>
      </c>
      <c r="I3">
        <v>2</v>
      </c>
      <c r="J3">
        <v>1</v>
      </c>
    </row>
    <row r="4" spans="1:201">
      <c r="A4" t="s">
        <v>12</v>
      </c>
      <c r="B4" t="s">
        <v>13</v>
      </c>
      <c r="K4">
        <v>4</v>
      </c>
      <c r="L4">
        <v>3</v>
      </c>
      <c r="M4">
        <v>2</v>
      </c>
      <c r="N4">
        <v>1</v>
      </c>
    </row>
    <row r="5" spans="1:201">
      <c r="A5" t="s">
        <v>89</v>
      </c>
      <c r="B5" t="s">
        <v>97</v>
      </c>
      <c r="O5">
        <v>4</v>
      </c>
      <c r="P5">
        <v>3</v>
      </c>
      <c r="Q5">
        <v>2</v>
      </c>
      <c r="R5">
        <v>1</v>
      </c>
    </row>
    <row r="6" spans="1:201">
      <c r="A6" t="s">
        <v>101</v>
      </c>
      <c r="B6" t="s">
        <v>13</v>
      </c>
      <c r="S6">
        <v>4</v>
      </c>
      <c r="T6">
        <v>3</v>
      </c>
      <c r="U6">
        <v>2</v>
      </c>
      <c r="V6">
        <v>1</v>
      </c>
    </row>
    <row r="7" spans="1:201">
      <c r="A7" t="s">
        <v>105</v>
      </c>
      <c r="B7" t="s">
        <v>13</v>
      </c>
      <c r="W7">
        <v>4</v>
      </c>
      <c r="X7">
        <v>3</v>
      </c>
      <c r="Y7">
        <v>2</v>
      </c>
      <c r="Z7">
        <v>1</v>
      </c>
    </row>
    <row r="8" spans="1:201">
      <c r="A8" t="s">
        <v>110</v>
      </c>
      <c r="B8" t="s">
        <v>97</v>
      </c>
      <c r="AA8">
        <v>4</v>
      </c>
      <c r="AB8">
        <v>3</v>
      </c>
      <c r="AC8">
        <v>2</v>
      </c>
      <c r="AD8">
        <v>1</v>
      </c>
    </row>
    <row r="9" spans="1:201">
      <c r="A9" t="s">
        <v>115</v>
      </c>
      <c r="B9" t="s">
        <v>13</v>
      </c>
      <c r="AE9">
        <v>4</v>
      </c>
      <c r="AF9">
        <v>3</v>
      </c>
      <c r="AG9">
        <v>2</v>
      </c>
      <c r="AH9">
        <v>1</v>
      </c>
    </row>
    <row r="11" spans="1:201">
      <c r="A11" t="s">
        <v>121</v>
      </c>
      <c r="B11" t="s">
        <v>1</v>
      </c>
      <c r="C11" t="s">
        <v>38</v>
      </c>
      <c r="D11" t="s">
        <v>39</v>
      </c>
      <c r="E11" t="s">
        <v>40</v>
      </c>
      <c r="F11" t="s">
        <v>91</v>
      </c>
      <c r="G11" t="s">
        <v>42</v>
      </c>
      <c r="H11" t="s">
        <v>41</v>
      </c>
      <c r="I11" t="s">
        <v>92</v>
      </c>
      <c r="J11" t="s">
        <v>93</v>
      </c>
      <c r="K11" t="s">
        <v>49</v>
      </c>
      <c r="L11" t="s">
        <v>94</v>
      </c>
      <c r="M11" t="s">
        <v>95</v>
      </c>
      <c r="N11" t="s">
        <v>96</v>
      </c>
      <c r="O11" t="s">
        <v>98</v>
      </c>
      <c r="P11" t="s">
        <v>99</v>
      </c>
      <c r="Q11" t="s">
        <v>88</v>
      </c>
      <c r="R11" t="s">
        <v>100</v>
      </c>
      <c r="S11" t="s">
        <v>90</v>
      </c>
      <c r="T11" t="s">
        <v>102</v>
      </c>
      <c r="U11" t="s">
        <v>103</v>
      </c>
      <c r="V11" t="s">
        <v>104</v>
      </c>
      <c r="W11" t="s">
        <v>106</v>
      </c>
      <c r="X11" t="s">
        <v>107</v>
      </c>
      <c r="Y11" t="s">
        <v>108</v>
      </c>
      <c r="Z11" t="s">
        <v>109</v>
      </c>
      <c r="AA11" t="s">
        <v>111</v>
      </c>
      <c r="AB11" t="s">
        <v>112</v>
      </c>
      <c r="AC11" t="s">
        <v>113</v>
      </c>
      <c r="AD11" t="s">
        <v>114</v>
      </c>
      <c r="AE11" t="s">
        <v>116</v>
      </c>
      <c r="AF11" t="s">
        <v>117</v>
      </c>
      <c r="AG11" t="s">
        <v>118</v>
      </c>
      <c r="AH11" t="s">
        <v>119</v>
      </c>
      <c r="AI11" t="s">
        <v>123</v>
      </c>
      <c r="AJ11" t="s">
        <v>124</v>
      </c>
      <c r="AK11" t="s">
        <v>125</v>
      </c>
      <c r="AL11" t="s">
        <v>126</v>
      </c>
      <c r="AM11" t="s">
        <v>127</v>
      </c>
      <c r="AN11" t="s">
        <v>128</v>
      </c>
      <c r="AO11" t="s">
        <v>129</v>
      </c>
      <c r="AP11" t="s">
        <v>130</v>
      </c>
      <c r="AQ11" t="s">
        <v>131</v>
      </c>
      <c r="AR11" t="s">
        <v>132</v>
      </c>
      <c r="AS11" t="s">
        <v>133</v>
      </c>
      <c r="AT11" t="s">
        <v>134</v>
      </c>
      <c r="AU11" t="s">
        <v>135</v>
      </c>
      <c r="AV11" t="s">
        <v>136</v>
      </c>
      <c r="AW11" t="s">
        <v>137</v>
      </c>
      <c r="AX11" t="s">
        <v>138</v>
      </c>
      <c r="AY11" t="s">
        <v>139</v>
      </c>
      <c r="AZ11" t="s">
        <v>140</v>
      </c>
      <c r="BA11" t="s">
        <v>141</v>
      </c>
      <c r="BB11" t="s">
        <v>142</v>
      </c>
      <c r="BC11" t="s">
        <v>143</v>
      </c>
      <c r="BD11" t="s">
        <v>144</v>
      </c>
      <c r="BE11" t="s">
        <v>145</v>
      </c>
      <c r="BF11" t="s">
        <v>146</v>
      </c>
      <c r="BG11" t="s">
        <v>147</v>
      </c>
      <c r="BH11" t="s">
        <v>148</v>
      </c>
      <c r="BI11" t="s">
        <v>149</v>
      </c>
      <c r="BJ11" t="s">
        <v>150</v>
      </c>
      <c r="BK11" t="s">
        <v>151</v>
      </c>
      <c r="BL11" t="s">
        <v>152</v>
      </c>
      <c r="BM11" t="s">
        <v>153</v>
      </c>
      <c r="BN11" t="s">
        <v>154</v>
      </c>
      <c r="BO11" t="s">
        <v>155</v>
      </c>
      <c r="BP11" t="s">
        <v>156</v>
      </c>
      <c r="BQ11" t="s">
        <v>157</v>
      </c>
      <c r="BR11" t="s">
        <v>158</v>
      </c>
      <c r="BS11" t="s">
        <v>159</v>
      </c>
      <c r="BT11" t="s">
        <v>160</v>
      </c>
      <c r="BU11" t="s">
        <v>161</v>
      </c>
      <c r="BV11" t="s">
        <v>162</v>
      </c>
      <c r="BW11" t="s">
        <v>163</v>
      </c>
      <c r="BX11" t="s">
        <v>164</v>
      </c>
      <c r="BY11" t="s">
        <v>165</v>
      </c>
      <c r="BZ11" t="s">
        <v>166</v>
      </c>
      <c r="CA11" t="s">
        <v>167</v>
      </c>
      <c r="CB11" t="s">
        <v>168</v>
      </c>
      <c r="CC11" t="s">
        <v>169</v>
      </c>
      <c r="CD11" t="s">
        <v>170</v>
      </c>
      <c r="CE11" t="s">
        <v>171</v>
      </c>
      <c r="CF11" t="s">
        <v>172</v>
      </c>
      <c r="CG11" t="s">
        <v>173</v>
      </c>
      <c r="CH11" t="s">
        <v>174</v>
      </c>
      <c r="CI11" t="s">
        <v>175</v>
      </c>
      <c r="CJ11" t="s">
        <v>176</v>
      </c>
      <c r="CK11" t="s">
        <v>177</v>
      </c>
      <c r="CL11" t="s">
        <v>178</v>
      </c>
      <c r="CM11" t="s">
        <v>179</v>
      </c>
      <c r="CN11" t="s">
        <v>180</v>
      </c>
      <c r="CO11" t="s">
        <v>181</v>
      </c>
      <c r="CP11" t="s">
        <v>182</v>
      </c>
      <c r="CQ11" t="s">
        <v>183</v>
      </c>
      <c r="CR11" t="s">
        <v>184</v>
      </c>
      <c r="CS11" t="s">
        <v>185</v>
      </c>
      <c r="CT11" t="s">
        <v>186</v>
      </c>
      <c r="CU11" t="s">
        <v>187</v>
      </c>
      <c r="CV11" t="s">
        <v>188</v>
      </c>
      <c r="CW11" t="s">
        <v>189</v>
      </c>
      <c r="CX11" t="s">
        <v>190</v>
      </c>
      <c r="CY11" t="s">
        <v>191</v>
      </c>
      <c r="CZ11" t="s">
        <v>192</v>
      </c>
      <c r="DA11" t="s">
        <v>193</v>
      </c>
      <c r="DB11" t="s">
        <v>194</v>
      </c>
      <c r="DC11" t="s">
        <v>195</v>
      </c>
      <c r="DD11" t="s">
        <v>196</v>
      </c>
      <c r="DE11" t="s">
        <v>197</v>
      </c>
      <c r="DF11" t="s">
        <v>198</v>
      </c>
      <c r="DG11" t="s">
        <v>199</v>
      </c>
      <c r="DH11" t="s">
        <v>200</v>
      </c>
      <c r="DI11" t="s">
        <v>201</v>
      </c>
      <c r="DJ11" t="s">
        <v>202</v>
      </c>
      <c r="DK11" t="s">
        <v>203</v>
      </c>
      <c r="DL11" t="s">
        <v>204</v>
      </c>
      <c r="DM11" t="s">
        <v>205</v>
      </c>
      <c r="DN11" t="s">
        <v>206</v>
      </c>
      <c r="DO11" t="s">
        <v>207</v>
      </c>
      <c r="DP11" t="s">
        <v>208</v>
      </c>
      <c r="DQ11" t="s">
        <v>209</v>
      </c>
      <c r="DR11" t="s">
        <v>210</v>
      </c>
      <c r="DS11" t="s">
        <v>211</v>
      </c>
      <c r="DT11" t="s">
        <v>212</v>
      </c>
      <c r="DU11" t="s">
        <v>213</v>
      </c>
      <c r="DV11" t="s">
        <v>214</v>
      </c>
      <c r="DW11" t="s">
        <v>215</v>
      </c>
      <c r="DX11" t="s">
        <v>216</v>
      </c>
      <c r="DY11" t="s">
        <v>217</v>
      </c>
      <c r="DZ11" t="s">
        <v>218</v>
      </c>
      <c r="EA11" t="s">
        <v>219</v>
      </c>
      <c r="EB11" t="s">
        <v>220</v>
      </c>
      <c r="EC11" t="s">
        <v>221</v>
      </c>
      <c r="ED11" t="s">
        <v>222</v>
      </c>
      <c r="EE11" t="s">
        <v>223</v>
      </c>
      <c r="EF11" t="s">
        <v>224</v>
      </c>
      <c r="EG11" t="s">
        <v>225</v>
      </c>
      <c r="EH11" t="s">
        <v>226</v>
      </c>
      <c r="EI11" t="s">
        <v>227</v>
      </c>
      <c r="EJ11" t="s">
        <v>228</v>
      </c>
      <c r="EK11" t="s">
        <v>229</v>
      </c>
      <c r="EL11" t="s">
        <v>230</v>
      </c>
      <c r="EM11" t="s">
        <v>231</v>
      </c>
      <c r="EN11" t="s">
        <v>232</v>
      </c>
      <c r="EO11" t="s">
        <v>233</v>
      </c>
      <c r="EP11" t="s">
        <v>234</v>
      </c>
      <c r="EQ11" t="s">
        <v>235</v>
      </c>
      <c r="ER11" t="s">
        <v>236</v>
      </c>
      <c r="ES11" t="s">
        <v>237</v>
      </c>
      <c r="ET11" t="s">
        <v>238</v>
      </c>
      <c r="EU11" t="s">
        <v>239</v>
      </c>
      <c r="EV11" t="s">
        <v>240</v>
      </c>
      <c r="EW11" t="s">
        <v>241</v>
      </c>
      <c r="EX11" t="s">
        <v>242</v>
      </c>
      <c r="EY11" t="s">
        <v>243</v>
      </c>
      <c r="EZ11" t="s">
        <v>244</v>
      </c>
      <c r="FA11" t="s">
        <v>245</v>
      </c>
      <c r="FB11" t="s">
        <v>246</v>
      </c>
      <c r="FC11" t="s">
        <v>247</v>
      </c>
      <c r="FD11" t="s">
        <v>248</v>
      </c>
      <c r="FE11" t="s">
        <v>249</v>
      </c>
      <c r="FF11" t="s">
        <v>250</v>
      </c>
      <c r="FG11" t="s">
        <v>251</v>
      </c>
      <c r="FH11" t="s">
        <v>252</v>
      </c>
      <c r="FI11" t="s">
        <v>253</v>
      </c>
      <c r="FJ11" t="s">
        <v>254</v>
      </c>
      <c r="FK11" t="s">
        <v>255</v>
      </c>
      <c r="FL11" t="s">
        <v>256</v>
      </c>
      <c r="FM11" t="s">
        <v>257</v>
      </c>
      <c r="FN11" t="s">
        <v>258</v>
      </c>
      <c r="FO11" t="s">
        <v>259</v>
      </c>
      <c r="FP11" t="s">
        <v>260</v>
      </c>
      <c r="FQ11" t="s">
        <v>261</v>
      </c>
      <c r="FR11" t="s">
        <v>262</v>
      </c>
      <c r="FS11" t="s">
        <v>263</v>
      </c>
      <c r="FT11" t="s">
        <v>264</v>
      </c>
      <c r="FU11" t="s">
        <v>265</v>
      </c>
      <c r="FV11" t="s">
        <v>266</v>
      </c>
      <c r="FW11" t="s">
        <v>267</v>
      </c>
      <c r="FX11" t="s">
        <v>268</v>
      </c>
      <c r="FY11" t="s">
        <v>269</v>
      </c>
      <c r="FZ11" t="s">
        <v>270</v>
      </c>
      <c r="GA11" t="s">
        <v>271</v>
      </c>
      <c r="GB11" t="s">
        <v>272</v>
      </c>
      <c r="GC11" t="s">
        <v>273</v>
      </c>
      <c r="GD11" t="s">
        <v>274</v>
      </c>
      <c r="GE11" t="s">
        <v>275</v>
      </c>
      <c r="GF11" t="s">
        <v>276</v>
      </c>
      <c r="GG11" t="s">
        <v>277</v>
      </c>
      <c r="GH11" t="s">
        <v>278</v>
      </c>
      <c r="GI11" t="s">
        <v>279</v>
      </c>
      <c r="GJ11" t="s">
        <v>280</v>
      </c>
      <c r="GK11" t="s">
        <v>281</v>
      </c>
      <c r="GL11" t="s">
        <v>282</v>
      </c>
      <c r="GM11" t="s">
        <v>283</v>
      </c>
      <c r="GN11" t="s">
        <v>284</v>
      </c>
      <c r="GO11" t="s">
        <v>285</v>
      </c>
      <c r="GP11" t="s">
        <v>286</v>
      </c>
      <c r="GQ11" t="s">
        <v>287</v>
      </c>
      <c r="GR11" t="s">
        <v>288</v>
      </c>
      <c r="GS11" t="s">
        <v>289</v>
      </c>
    </row>
    <row r="12" spans="1:201">
      <c r="A12" t="s">
        <v>10</v>
      </c>
      <c r="B12" t="s">
        <v>13</v>
      </c>
      <c r="C12">
        <v>0.40000000596046448</v>
      </c>
      <c r="D12">
        <v>0.30000001192092896</v>
      </c>
      <c r="E12">
        <v>0.20000000298023224</v>
      </c>
      <c r="F12">
        <v>0.10000000149011612</v>
      </c>
    </row>
    <row r="13" spans="1:201">
      <c r="A13" t="s">
        <v>11</v>
      </c>
      <c r="B13" t="s">
        <v>13</v>
      </c>
      <c r="G13">
        <v>0.40000000596046448</v>
      </c>
      <c r="H13">
        <v>0.30000001192092896</v>
      </c>
      <c r="I13">
        <v>0.20000000298023224</v>
      </c>
      <c r="J13">
        <v>0.10000000149011612</v>
      </c>
    </row>
    <row r="14" spans="1:201">
      <c r="A14" t="s">
        <v>12</v>
      </c>
      <c r="B14" t="s">
        <v>13</v>
      </c>
      <c r="K14">
        <v>0.40000000596046448</v>
      </c>
      <c r="L14">
        <v>0.30000001192092896</v>
      </c>
      <c r="M14">
        <v>0.20000000298023224</v>
      </c>
      <c r="N14">
        <v>0.10000000149011612</v>
      </c>
    </row>
    <row r="15" spans="1:201">
      <c r="A15" t="s">
        <v>89</v>
      </c>
      <c r="B15" t="s">
        <v>97</v>
      </c>
      <c r="O15">
        <v>0.40000000596046448</v>
      </c>
      <c r="P15">
        <v>0.30000001192092896</v>
      </c>
      <c r="Q15">
        <v>0.20000000298023224</v>
      </c>
      <c r="R15">
        <v>0.10000000149011612</v>
      </c>
    </row>
    <row r="16" spans="1:201">
      <c r="A16" t="s">
        <v>101</v>
      </c>
      <c r="B16" t="s">
        <v>13</v>
      </c>
      <c r="S16">
        <v>0.40000000596046448</v>
      </c>
      <c r="T16">
        <v>0.30000001192092896</v>
      </c>
      <c r="U16">
        <v>0.20000000298023224</v>
      </c>
      <c r="V16">
        <v>0.10000000149011612</v>
      </c>
    </row>
    <row r="17" spans="1:202">
      <c r="A17" t="s">
        <v>105</v>
      </c>
      <c r="B17" t="s">
        <v>13</v>
      </c>
      <c r="W17">
        <v>0.40000000596046448</v>
      </c>
      <c r="X17">
        <v>0.30000001192092896</v>
      </c>
      <c r="Y17">
        <v>0.20000000298023224</v>
      </c>
      <c r="Z17">
        <v>0.10000000149011612</v>
      </c>
    </row>
    <row r="18" spans="1:202">
      <c r="A18" t="s">
        <v>110</v>
      </c>
      <c r="B18" t="s">
        <v>97</v>
      </c>
      <c r="AA18">
        <v>0.40000000596046448</v>
      </c>
      <c r="AB18">
        <v>0.30000001192092896</v>
      </c>
      <c r="AC18">
        <v>0.20000000298023224</v>
      </c>
      <c r="AD18">
        <v>0.10000000149011612</v>
      </c>
    </row>
    <row r="19" spans="1:202">
      <c r="A19" t="s">
        <v>115</v>
      </c>
      <c r="B19" t="s">
        <v>13</v>
      </c>
      <c r="AE19">
        <v>0.40000000596046448</v>
      </c>
      <c r="AF19">
        <v>0.30000001192092896</v>
      </c>
      <c r="AG19">
        <v>0.20000000298023224</v>
      </c>
      <c r="AH19">
        <v>0.10000000149011612</v>
      </c>
    </row>
    <row r="21" spans="1:202">
      <c r="A21" t="s">
        <v>122</v>
      </c>
      <c r="B21" t="s">
        <v>1</v>
      </c>
      <c r="C21" t="s">
        <v>38</v>
      </c>
      <c r="D21" t="s">
        <v>39</v>
      </c>
      <c r="E21" t="s">
        <v>40</v>
      </c>
      <c r="F21" t="s">
        <v>91</v>
      </c>
      <c r="G21" t="s">
        <v>42</v>
      </c>
      <c r="H21" t="s">
        <v>41</v>
      </c>
      <c r="I21" t="s">
        <v>92</v>
      </c>
      <c r="J21" t="s">
        <v>93</v>
      </c>
      <c r="K21" t="s">
        <v>49</v>
      </c>
      <c r="L21" t="s">
        <v>94</v>
      </c>
      <c r="M21" t="s">
        <v>95</v>
      </c>
      <c r="N21" t="s">
        <v>96</v>
      </c>
      <c r="O21" t="s">
        <v>98</v>
      </c>
      <c r="P21" t="s">
        <v>99</v>
      </c>
      <c r="Q21" t="s">
        <v>88</v>
      </c>
      <c r="R21" t="s">
        <v>100</v>
      </c>
      <c r="S21" t="s">
        <v>90</v>
      </c>
      <c r="T21" t="s">
        <v>102</v>
      </c>
      <c r="U21" t="s">
        <v>103</v>
      </c>
      <c r="V21" t="s">
        <v>104</v>
      </c>
      <c r="W21" t="s">
        <v>106</v>
      </c>
      <c r="X21" t="s">
        <v>107</v>
      </c>
      <c r="Y21" t="s">
        <v>108</v>
      </c>
      <c r="Z21" t="s">
        <v>109</v>
      </c>
      <c r="AA21" t="s">
        <v>111</v>
      </c>
      <c r="AB21" t="s">
        <v>112</v>
      </c>
      <c r="AC21" t="s">
        <v>113</v>
      </c>
      <c r="AD21" t="s">
        <v>114</v>
      </c>
      <c r="AE21" t="s">
        <v>116</v>
      </c>
      <c r="AF21" t="s">
        <v>117</v>
      </c>
      <c r="AG21" t="s">
        <v>118</v>
      </c>
      <c r="AH21" t="s">
        <v>119</v>
      </c>
      <c r="AI21" t="s">
        <v>123</v>
      </c>
      <c r="AJ21" t="s">
        <v>124</v>
      </c>
      <c r="AK21" t="s">
        <v>125</v>
      </c>
      <c r="AL21" t="s">
        <v>126</v>
      </c>
      <c r="AM21" t="s">
        <v>127</v>
      </c>
      <c r="AN21" t="s">
        <v>128</v>
      </c>
      <c r="AO21" t="s">
        <v>129</v>
      </c>
      <c r="AP21" t="s">
        <v>130</v>
      </c>
      <c r="AQ21" t="s">
        <v>131</v>
      </c>
      <c r="AR21" t="s">
        <v>132</v>
      </c>
      <c r="AS21" t="s">
        <v>133</v>
      </c>
      <c r="AT21" t="s">
        <v>134</v>
      </c>
      <c r="AU21" t="s">
        <v>135</v>
      </c>
      <c r="AV21" t="s">
        <v>136</v>
      </c>
      <c r="AW21" t="s">
        <v>137</v>
      </c>
      <c r="AX21" t="s">
        <v>138</v>
      </c>
      <c r="AY21" t="s">
        <v>139</v>
      </c>
      <c r="AZ21" t="s">
        <v>140</v>
      </c>
      <c r="BA21" t="s">
        <v>141</v>
      </c>
      <c r="BB21" t="s">
        <v>142</v>
      </c>
      <c r="BC21" t="s">
        <v>143</v>
      </c>
      <c r="BD21" t="s">
        <v>144</v>
      </c>
      <c r="BE21" t="s">
        <v>145</v>
      </c>
      <c r="BF21" t="s">
        <v>146</v>
      </c>
      <c r="BG21" t="s">
        <v>147</v>
      </c>
      <c r="BH21" t="s">
        <v>148</v>
      </c>
      <c r="BI21" t="s">
        <v>149</v>
      </c>
      <c r="BJ21" t="s">
        <v>150</v>
      </c>
      <c r="BK21" t="s">
        <v>151</v>
      </c>
      <c r="BL21" t="s">
        <v>152</v>
      </c>
      <c r="BM21" t="s">
        <v>153</v>
      </c>
      <c r="BN21" t="s">
        <v>154</v>
      </c>
      <c r="BO21" t="s">
        <v>155</v>
      </c>
      <c r="BP21" t="s">
        <v>156</v>
      </c>
      <c r="BQ21" t="s">
        <v>157</v>
      </c>
      <c r="BR21" t="s">
        <v>158</v>
      </c>
      <c r="BS21" t="s">
        <v>159</v>
      </c>
      <c r="BT21" t="s">
        <v>160</v>
      </c>
      <c r="BU21" t="s">
        <v>161</v>
      </c>
      <c r="BV21" t="s">
        <v>162</v>
      </c>
      <c r="BW21" t="s">
        <v>163</v>
      </c>
      <c r="BX21" t="s">
        <v>164</v>
      </c>
      <c r="BY21" t="s">
        <v>165</v>
      </c>
      <c r="BZ21" t="s">
        <v>166</v>
      </c>
      <c r="CA21" t="s">
        <v>167</v>
      </c>
      <c r="CB21" t="s">
        <v>168</v>
      </c>
      <c r="CC21" t="s">
        <v>169</v>
      </c>
      <c r="CD21" t="s">
        <v>170</v>
      </c>
      <c r="CE21" t="s">
        <v>171</v>
      </c>
      <c r="CF21" t="s">
        <v>172</v>
      </c>
      <c r="CG21" t="s">
        <v>173</v>
      </c>
      <c r="CH21" t="s">
        <v>174</v>
      </c>
      <c r="CI21" t="s">
        <v>175</v>
      </c>
      <c r="CJ21" t="s">
        <v>176</v>
      </c>
      <c r="CK21" t="s">
        <v>177</v>
      </c>
      <c r="CL21" t="s">
        <v>178</v>
      </c>
      <c r="CM21" t="s">
        <v>179</v>
      </c>
      <c r="CN21" t="s">
        <v>180</v>
      </c>
      <c r="CO21" t="s">
        <v>181</v>
      </c>
      <c r="CP21" t="s">
        <v>182</v>
      </c>
      <c r="CQ21" t="s">
        <v>183</v>
      </c>
      <c r="CR21" t="s">
        <v>184</v>
      </c>
      <c r="CS21" t="s">
        <v>185</v>
      </c>
      <c r="CT21" t="s">
        <v>186</v>
      </c>
      <c r="CU21" t="s">
        <v>187</v>
      </c>
      <c r="CV21" t="s">
        <v>188</v>
      </c>
      <c r="CW21" t="s">
        <v>189</v>
      </c>
      <c r="CX21" t="s">
        <v>190</v>
      </c>
      <c r="CY21" t="s">
        <v>191</v>
      </c>
      <c r="CZ21" t="s">
        <v>192</v>
      </c>
      <c r="DA21" t="s">
        <v>193</v>
      </c>
      <c r="DB21" t="s">
        <v>194</v>
      </c>
      <c r="DC21" t="s">
        <v>195</v>
      </c>
      <c r="DD21" t="s">
        <v>196</v>
      </c>
      <c r="DE21" t="s">
        <v>197</v>
      </c>
      <c r="DF21" t="s">
        <v>198</v>
      </c>
      <c r="DG21" t="s">
        <v>199</v>
      </c>
      <c r="DH21" t="s">
        <v>200</v>
      </c>
      <c r="DI21" t="s">
        <v>201</v>
      </c>
      <c r="DJ21" t="s">
        <v>202</v>
      </c>
      <c r="DK21" t="s">
        <v>203</v>
      </c>
      <c r="DL21" t="s">
        <v>204</v>
      </c>
      <c r="DM21" t="s">
        <v>205</v>
      </c>
      <c r="DN21" t="s">
        <v>206</v>
      </c>
      <c r="DO21" t="s">
        <v>207</v>
      </c>
      <c r="DP21" t="s">
        <v>208</v>
      </c>
      <c r="DQ21" t="s">
        <v>209</v>
      </c>
      <c r="DR21" t="s">
        <v>210</v>
      </c>
      <c r="DS21" t="s">
        <v>211</v>
      </c>
      <c r="DT21" t="s">
        <v>212</v>
      </c>
      <c r="DU21" t="s">
        <v>213</v>
      </c>
      <c r="DV21" t="s">
        <v>214</v>
      </c>
      <c r="DW21" t="s">
        <v>215</v>
      </c>
      <c r="DX21" t="s">
        <v>216</v>
      </c>
      <c r="DY21" t="s">
        <v>217</v>
      </c>
      <c r="DZ21" t="s">
        <v>218</v>
      </c>
      <c r="EA21" t="s">
        <v>219</v>
      </c>
      <c r="EB21" t="s">
        <v>220</v>
      </c>
      <c r="EC21" t="s">
        <v>221</v>
      </c>
      <c r="ED21" t="s">
        <v>222</v>
      </c>
      <c r="EE21" t="s">
        <v>223</v>
      </c>
      <c r="EF21" t="s">
        <v>224</v>
      </c>
      <c r="EG21" t="s">
        <v>225</v>
      </c>
      <c r="EH21" t="s">
        <v>226</v>
      </c>
      <c r="EI21" t="s">
        <v>227</v>
      </c>
      <c r="EJ21" t="s">
        <v>228</v>
      </c>
      <c r="EK21" t="s">
        <v>229</v>
      </c>
      <c r="EL21" t="s">
        <v>230</v>
      </c>
      <c r="EM21" t="s">
        <v>231</v>
      </c>
      <c r="EN21" t="s">
        <v>232</v>
      </c>
      <c r="EO21" t="s">
        <v>233</v>
      </c>
      <c r="EP21" t="s">
        <v>234</v>
      </c>
      <c r="EQ21" t="s">
        <v>235</v>
      </c>
      <c r="ER21" t="s">
        <v>236</v>
      </c>
      <c r="ES21" t="s">
        <v>237</v>
      </c>
      <c r="ET21" t="s">
        <v>238</v>
      </c>
      <c r="EU21" t="s">
        <v>239</v>
      </c>
      <c r="EV21" t="s">
        <v>240</v>
      </c>
      <c r="EW21" t="s">
        <v>241</v>
      </c>
      <c r="EX21" t="s">
        <v>242</v>
      </c>
      <c r="EY21" t="s">
        <v>243</v>
      </c>
      <c r="EZ21" t="s">
        <v>244</v>
      </c>
      <c r="FA21" t="s">
        <v>245</v>
      </c>
      <c r="FB21" t="s">
        <v>246</v>
      </c>
      <c r="FC21" t="s">
        <v>247</v>
      </c>
      <c r="FD21" t="s">
        <v>248</v>
      </c>
      <c r="FE21" t="s">
        <v>249</v>
      </c>
      <c r="FF21" t="s">
        <v>250</v>
      </c>
      <c r="FG21" t="s">
        <v>251</v>
      </c>
      <c r="FH21" t="s">
        <v>252</v>
      </c>
      <c r="FI21" t="s">
        <v>253</v>
      </c>
      <c r="FJ21" t="s">
        <v>254</v>
      </c>
      <c r="FK21" t="s">
        <v>255</v>
      </c>
      <c r="FL21" t="s">
        <v>256</v>
      </c>
      <c r="FM21" t="s">
        <v>257</v>
      </c>
      <c r="FN21" t="s">
        <v>258</v>
      </c>
      <c r="FO21" t="s">
        <v>259</v>
      </c>
      <c r="FP21" t="s">
        <v>260</v>
      </c>
      <c r="FQ21" t="s">
        <v>261</v>
      </c>
      <c r="FR21" t="s">
        <v>262</v>
      </c>
      <c r="FS21" t="s">
        <v>263</v>
      </c>
      <c r="FT21" t="s">
        <v>264</v>
      </c>
      <c r="FU21" t="s">
        <v>265</v>
      </c>
      <c r="FV21" t="s">
        <v>266</v>
      </c>
      <c r="FW21" t="s">
        <v>267</v>
      </c>
      <c r="FX21" t="s">
        <v>268</v>
      </c>
      <c r="FY21" t="s">
        <v>269</v>
      </c>
      <c r="FZ21" t="s">
        <v>270</v>
      </c>
      <c r="GA21" t="s">
        <v>271</v>
      </c>
      <c r="GB21" t="s">
        <v>272</v>
      </c>
      <c r="GC21" t="s">
        <v>273</v>
      </c>
      <c r="GD21" t="s">
        <v>274</v>
      </c>
      <c r="GE21" t="s">
        <v>275</v>
      </c>
      <c r="GF21" t="s">
        <v>276</v>
      </c>
      <c r="GG21" t="s">
        <v>277</v>
      </c>
      <c r="GH21" t="s">
        <v>278</v>
      </c>
      <c r="GI21" t="s">
        <v>279</v>
      </c>
      <c r="GJ21" t="s">
        <v>280</v>
      </c>
      <c r="GK21" t="s">
        <v>281</v>
      </c>
      <c r="GL21" t="s">
        <v>282</v>
      </c>
      <c r="GM21" t="s">
        <v>283</v>
      </c>
      <c r="GN21" t="s">
        <v>284</v>
      </c>
      <c r="GO21" t="s">
        <v>285</v>
      </c>
      <c r="GP21" t="s">
        <v>286</v>
      </c>
      <c r="GQ21" t="s">
        <v>287</v>
      </c>
      <c r="GR21" t="s">
        <v>288</v>
      </c>
      <c r="GS21" t="s">
        <v>289</v>
      </c>
    </row>
    <row r="22" spans="1:202">
      <c r="A22" t="s">
        <v>10</v>
      </c>
      <c r="B22">
        <v>1</v>
      </c>
      <c r="C22">
        <v>0</v>
      </c>
      <c r="D22">
        <v>0</v>
      </c>
      <c r="E22">
        <v>0</v>
      </c>
      <c r="F22">
        <v>0</v>
      </c>
      <c r="GT22">
        <f>SUM($C$22:$GS$22)</f>
        <v>0</v>
      </c>
    </row>
    <row r="23" spans="1:202">
      <c r="A23" t="s">
        <v>11</v>
      </c>
      <c r="B23">
        <v>1</v>
      </c>
      <c r="G23">
        <v>0</v>
      </c>
      <c r="H23">
        <v>0</v>
      </c>
      <c r="I23">
        <v>0</v>
      </c>
      <c r="J23">
        <v>0</v>
      </c>
      <c r="GT23">
        <f>SUM($C$23:$GS$23)</f>
        <v>0</v>
      </c>
    </row>
    <row r="24" spans="1:202">
      <c r="A24" t="s">
        <v>12</v>
      </c>
      <c r="B24">
        <v>1</v>
      </c>
      <c r="K24">
        <v>0</v>
      </c>
      <c r="L24">
        <v>0</v>
      </c>
      <c r="M24">
        <v>0</v>
      </c>
      <c r="N24">
        <v>0</v>
      </c>
      <c r="GT24">
        <f>SUM($C$24:$GS$24)</f>
        <v>0</v>
      </c>
    </row>
    <row r="25" spans="1:202">
      <c r="A25" t="s">
        <v>89</v>
      </c>
      <c r="B25">
        <v>0</v>
      </c>
      <c r="O25">
        <v>0</v>
      </c>
      <c r="P25">
        <v>0</v>
      </c>
      <c r="Q25">
        <v>0</v>
      </c>
      <c r="R25">
        <v>0</v>
      </c>
      <c r="GT25">
        <f>SUM($C$25:$GS$25)</f>
        <v>0</v>
      </c>
    </row>
    <row r="26" spans="1:202">
      <c r="A26" t="s">
        <v>101</v>
      </c>
      <c r="B26">
        <v>1</v>
      </c>
      <c r="S26">
        <v>0</v>
      </c>
      <c r="T26">
        <v>0</v>
      </c>
      <c r="U26">
        <v>0</v>
      </c>
      <c r="V26">
        <v>0</v>
      </c>
      <c r="GT26">
        <f>SUM($C$26:$GS$26)</f>
        <v>0</v>
      </c>
    </row>
    <row r="27" spans="1:202">
      <c r="A27" t="s">
        <v>105</v>
      </c>
      <c r="B27">
        <v>1</v>
      </c>
      <c r="W27">
        <v>0</v>
      </c>
      <c r="X27">
        <v>0</v>
      </c>
      <c r="Y27">
        <v>0</v>
      </c>
      <c r="Z27">
        <v>0</v>
      </c>
      <c r="GT27">
        <f>SUM($C$27:$GS$27)</f>
        <v>0</v>
      </c>
    </row>
    <row r="28" spans="1:202">
      <c r="A28" t="s">
        <v>110</v>
      </c>
      <c r="B28">
        <v>0</v>
      </c>
      <c r="AA28">
        <v>0</v>
      </c>
      <c r="AB28">
        <v>0</v>
      </c>
      <c r="AC28">
        <v>0</v>
      </c>
      <c r="AD28">
        <v>0</v>
      </c>
      <c r="GT28">
        <f>SUM($C$28:$GS$28)</f>
        <v>0</v>
      </c>
    </row>
    <row r="29" spans="1:202">
      <c r="A29" t="s">
        <v>115</v>
      </c>
      <c r="B29">
        <v>1</v>
      </c>
      <c r="AE29">
        <v>0</v>
      </c>
      <c r="AF29">
        <v>0</v>
      </c>
      <c r="AG29">
        <v>0</v>
      </c>
      <c r="AH29">
        <v>0</v>
      </c>
      <c r="GT29">
        <f>SUM($C$29:$GS$29)</f>
        <v>0</v>
      </c>
    </row>
    <row r="30" spans="1:202">
      <c r="A30" t="s">
        <v>290</v>
      </c>
      <c r="C30">
        <f>SUMPRODUCT($C$12:$GS$19,$C$22:$GS$29)</f>
        <v>0</v>
      </c>
      <c r="D30" t="s">
        <v>291</v>
      </c>
    </row>
    <row r="32" spans="1:202">
      <c r="A32" t="s">
        <v>292</v>
      </c>
      <c r="C32" t="s">
        <v>293</v>
      </c>
      <c r="F32">
        <f>IF(SUM($GT$22:$GT$29)=0,0,SUMPRODUCT($B$22:$B$29,$GT$22:$GT$29)/SUM($GT$22:$GT$29))</f>
        <v>0</v>
      </c>
      <c r="G32" t="s">
        <v>294</v>
      </c>
      <c r="H32">
        <v>0.75</v>
      </c>
    </row>
    <row r="33" spans="3:201">
      <c r="C33" t="s">
        <v>295</v>
      </c>
    </row>
    <row r="34" spans="3:201">
      <c r="C34" t="s">
        <v>296</v>
      </c>
    </row>
    <row r="35" spans="3:201">
      <c r="C35">
        <f>SUM($C$22:$C$29)</f>
        <v>0</v>
      </c>
      <c r="D35">
        <f>SUM($D$22:$D$29)</f>
        <v>0</v>
      </c>
      <c r="E35">
        <f>SUM($E$22:$E$29)</f>
        <v>0</v>
      </c>
      <c r="F35">
        <f>SUM($F$22:$F$29)</f>
        <v>0</v>
      </c>
      <c r="G35">
        <f>SUM($G$22:$G$29)</f>
        <v>0</v>
      </c>
      <c r="H35">
        <f>SUM($H$22:$H$29)</f>
        <v>0</v>
      </c>
      <c r="I35">
        <f>SUM($I$22:$I$29)</f>
        <v>0</v>
      </c>
      <c r="J35">
        <f>SUM($J$22:$J$29)</f>
        <v>0</v>
      </c>
      <c r="K35">
        <f>SUM($K$22:$K$29)</f>
        <v>0</v>
      </c>
      <c r="L35">
        <f>SUM($L$22:$L$29)</f>
        <v>0</v>
      </c>
      <c r="M35">
        <f>SUM($M$22:$M$29)</f>
        <v>0</v>
      </c>
      <c r="N35">
        <f>SUM($N$22:$N$29)</f>
        <v>0</v>
      </c>
      <c r="O35">
        <f>SUM($O$22:$O$29)</f>
        <v>0</v>
      </c>
      <c r="P35">
        <f>SUM($P$22:$P$29)</f>
        <v>0</v>
      </c>
      <c r="Q35">
        <f>SUM($Q$22:$Q$29)</f>
        <v>0</v>
      </c>
      <c r="R35">
        <f>SUM($R$22:$R$29)</f>
        <v>0</v>
      </c>
      <c r="S35">
        <f>SUM($S$22:$S$29)</f>
        <v>0</v>
      </c>
      <c r="T35">
        <f>SUM($T$22:$T$29)</f>
        <v>0</v>
      </c>
      <c r="U35">
        <f>SUM($U$22:$U$29)</f>
        <v>0</v>
      </c>
      <c r="V35">
        <f>SUM($V$22:$V$29)</f>
        <v>0</v>
      </c>
      <c r="W35">
        <f>SUM($W$22:$W$29)</f>
        <v>0</v>
      </c>
      <c r="X35">
        <f>SUM($X$22:$X$29)</f>
        <v>0</v>
      </c>
      <c r="Y35">
        <f>SUM($Y$22:$Y$29)</f>
        <v>0</v>
      </c>
      <c r="Z35">
        <f>SUM($Z$22:$Z$29)</f>
        <v>0</v>
      </c>
      <c r="AA35">
        <f>SUM($AA$22:$AA$29)</f>
        <v>0</v>
      </c>
      <c r="AB35">
        <f>SUM($AB$22:$AB$29)</f>
        <v>0</v>
      </c>
      <c r="AC35">
        <f>SUM($AC$22:$AC$29)</f>
        <v>0</v>
      </c>
      <c r="AD35">
        <f>SUM($AD$22:$AD$29)</f>
        <v>0</v>
      </c>
      <c r="AE35">
        <f>SUM($AE$22:$AE$29)</f>
        <v>0</v>
      </c>
      <c r="AF35">
        <f>SUM($AF$22:$AF$29)</f>
        <v>0</v>
      </c>
      <c r="AG35">
        <f>SUM($AG$22:$AG$29)</f>
        <v>0</v>
      </c>
      <c r="AH35">
        <f>SUM($AH$22:$AH$29)</f>
        <v>0</v>
      </c>
      <c r="AI35">
        <f>SUM($AI$22:$AI$29)</f>
        <v>0</v>
      </c>
      <c r="AJ35">
        <f>SUM($AJ$22:$AJ$29)</f>
        <v>0</v>
      </c>
      <c r="AK35">
        <f>SUM($AK$22:$AK$29)</f>
        <v>0</v>
      </c>
      <c r="AL35">
        <f>SUM($AL$22:$AL$29)</f>
        <v>0</v>
      </c>
      <c r="AM35">
        <f>SUM($AM$22:$AM$29)</f>
        <v>0</v>
      </c>
      <c r="AN35">
        <f>SUM($AN$22:$AN$29)</f>
        <v>0</v>
      </c>
      <c r="AO35">
        <f>SUM($AO$22:$AO$29)</f>
        <v>0</v>
      </c>
      <c r="AP35">
        <f>SUM($AP$22:$AP$29)</f>
        <v>0</v>
      </c>
      <c r="AQ35">
        <f>SUM($AQ$22:$AQ$29)</f>
        <v>0</v>
      </c>
      <c r="AR35">
        <f>SUM($AR$22:$AR$29)</f>
        <v>0</v>
      </c>
      <c r="AS35">
        <f>SUM($AS$22:$AS$29)</f>
        <v>0</v>
      </c>
      <c r="AT35">
        <f>SUM($AT$22:$AT$29)</f>
        <v>0</v>
      </c>
      <c r="AU35">
        <f>SUM($AU$22:$AU$29)</f>
        <v>0</v>
      </c>
      <c r="AV35">
        <f>SUM($AV$22:$AV$29)</f>
        <v>0</v>
      </c>
      <c r="AW35">
        <f>SUM($AW$22:$AW$29)</f>
        <v>0</v>
      </c>
      <c r="AX35">
        <f>SUM($AX$22:$AX$29)</f>
        <v>0</v>
      </c>
      <c r="AY35">
        <f>SUM($AY$22:$AY$29)</f>
        <v>0</v>
      </c>
      <c r="AZ35">
        <f>SUM($AZ$22:$AZ$29)</f>
        <v>0</v>
      </c>
      <c r="BA35">
        <f>SUM($BA$22:$BA$29)</f>
        <v>0</v>
      </c>
      <c r="BB35">
        <f>SUM($BB$22:$BB$29)</f>
        <v>0</v>
      </c>
      <c r="BC35">
        <f>SUM($BC$22:$BC$29)</f>
        <v>0</v>
      </c>
      <c r="BD35">
        <f>SUM($BD$22:$BD$29)</f>
        <v>0</v>
      </c>
      <c r="BE35">
        <f>SUM($BE$22:$BE$29)</f>
        <v>0</v>
      </c>
      <c r="BF35">
        <f>SUM($BF$22:$BF$29)</f>
        <v>0</v>
      </c>
      <c r="BG35">
        <f>SUM($BG$22:$BG$29)</f>
        <v>0</v>
      </c>
      <c r="BH35">
        <f>SUM($BH$22:$BH$29)</f>
        <v>0</v>
      </c>
      <c r="BI35">
        <f>SUM($BI$22:$BI$29)</f>
        <v>0</v>
      </c>
      <c r="BJ35">
        <f>SUM($BJ$22:$BJ$29)</f>
        <v>0</v>
      </c>
      <c r="BK35">
        <f>SUM($BK$22:$BK$29)</f>
        <v>0</v>
      </c>
      <c r="BL35">
        <f>SUM($BL$22:$BL$29)</f>
        <v>0</v>
      </c>
      <c r="BM35">
        <f>SUM($BM$22:$BM$29)</f>
        <v>0</v>
      </c>
      <c r="BN35">
        <f>SUM($BN$22:$BN$29)</f>
        <v>0</v>
      </c>
      <c r="BO35">
        <f>SUM($BO$22:$BO$29)</f>
        <v>0</v>
      </c>
      <c r="BP35">
        <f>SUM($BP$22:$BP$29)</f>
        <v>0</v>
      </c>
      <c r="BQ35">
        <f>SUM($BQ$22:$BQ$29)</f>
        <v>0</v>
      </c>
      <c r="BR35">
        <f>SUM($BR$22:$BR$29)</f>
        <v>0</v>
      </c>
      <c r="BS35">
        <f>SUM($BS$22:$BS$29)</f>
        <v>0</v>
      </c>
      <c r="BT35">
        <f>SUM($BT$22:$BT$29)</f>
        <v>0</v>
      </c>
      <c r="BU35">
        <f>SUM($BU$22:$BU$29)</f>
        <v>0</v>
      </c>
      <c r="BV35">
        <f>SUM($BV$22:$BV$29)</f>
        <v>0</v>
      </c>
      <c r="BW35">
        <f>SUM($BW$22:$BW$29)</f>
        <v>0</v>
      </c>
      <c r="BX35">
        <f>SUM($BX$22:$BX$29)</f>
        <v>0</v>
      </c>
      <c r="BY35">
        <f>SUM($BY$22:$BY$29)</f>
        <v>0</v>
      </c>
      <c r="BZ35">
        <f>SUM($BZ$22:$BZ$29)</f>
        <v>0</v>
      </c>
      <c r="CA35">
        <f>SUM($CA$22:$CA$29)</f>
        <v>0</v>
      </c>
      <c r="CB35">
        <f>SUM($CB$22:$CB$29)</f>
        <v>0</v>
      </c>
      <c r="CC35">
        <f>SUM($CC$22:$CC$29)</f>
        <v>0</v>
      </c>
      <c r="CD35">
        <f>SUM($CD$22:$CD$29)</f>
        <v>0</v>
      </c>
      <c r="CE35">
        <f>SUM($CE$22:$CE$29)</f>
        <v>0</v>
      </c>
      <c r="CF35">
        <f>SUM($CF$22:$CF$29)</f>
        <v>0</v>
      </c>
      <c r="CG35">
        <f>SUM($CG$22:$CG$29)</f>
        <v>0</v>
      </c>
      <c r="CH35">
        <f>SUM($CH$22:$CH$29)</f>
        <v>0</v>
      </c>
      <c r="CI35">
        <f>SUM($CI$22:$CI$29)</f>
        <v>0</v>
      </c>
      <c r="CJ35">
        <f>SUM($CJ$22:$CJ$29)</f>
        <v>0</v>
      </c>
      <c r="CK35">
        <f>SUM($CK$22:$CK$29)</f>
        <v>0</v>
      </c>
      <c r="CL35">
        <f>SUM($CL$22:$CL$29)</f>
        <v>0</v>
      </c>
      <c r="CM35">
        <f>SUM($CM$22:$CM$29)</f>
        <v>0</v>
      </c>
      <c r="CN35">
        <f>SUM($CN$22:$CN$29)</f>
        <v>0</v>
      </c>
      <c r="CO35">
        <f>SUM($CO$22:$CO$29)</f>
        <v>0</v>
      </c>
      <c r="CP35">
        <f>SUM($CP$22:$CP$29)</f>
        <v>0</v>
      </c>
      <c r="CQ35">
        <f>SUM($CQ$22:$CQ$29)</f>
        <v>0</v>
      </c>
      <c r="CR35">
        <f>SUM($CR$22:$CR$29)</f>
        <v>0</v>
      </c>
      <c r="CS35">
        <f>SUM($CS$22:$CS$29)</f>
        <v>0</v>
      </c>
      <c r="CT35">
        <f>SUM($CT$22:$CT$29)</f>
        <v>0</v>
      </c>
      <c r="CU35">
        <f>SUM($CU$22:$CU$29)</f>
        <v>0</v>
      </c>
      <c r="CV35">
        <f>SUM($CV$22:$CV$29)</f>
        <v>0</v>
      </c>
      <c r="CW35">
        <f>SUM($CW$22:$CW$29)</f>
        <v>0</v>
      </c>
      <c r="CX35">
        <f>SUM($CX$22:$CX$29)</f>
        <v>0</v>
      </c>
      <c r="CY35">
        <f>SUM($CY$22:$CY$29)</f>
        <v>0</v>
      </c>
      <c r="CZ35">
        <f>SUM($CZ$22:$CZ$29)</f>
        <v>0</v>
      </c>
      <c r="DA35">
        <f>SUM($DA$22:$DA$29)</f>
        <v>0</v>
      </c>
      <c r="DB35">
        <f>SUM($DB$22:$DB$29)</f>
        <v>0</v>
      </c>
      <c r="DC35">
        <f>SUM($DC$22:$DC$29)</f>
        <v>0</v>
      </c>
      <c r="DD35">
        <f>SUM($DD$22:$DD$29)</f>
        <v>0</v>
      </c>
      <c r="DE35">
        <f>SUM($DE$22:$DE$29)</f>
        <v>0</v>
      </c>
      <c r="DF35">
        <f>SUM($DF$22:$DF$29)</f>
        <v>0</v>
      </c>
      <c r="DG35">
        <f>SUM($DG$22:$DG$29)</f>
        <v>0</v>
      </c>
      <c r="DH35">
        <f>SUM($DH$22:$DH$29)</f>
        <v>0</v>
      </c>
      <c r="DI35">
        <f>SUM($DI$22:$DI$29)</f>
        <v>0</v>
      </c>
      <c r="DJ35">
        <f>SUM($DJ$22:$DJ$29)</f>
        <v>0</v>
      </c>
      <c r="DK35">
        <f>SUM($DK$22:$DK$29)</f>
        <v>0</v>
      </c>
      <c r="DL35">
        <f>SUM($DL$22:$DL$29)</f>
        <v>0</v>
      </c>
      <c r="DM35">
        <f>SUM($DM$22:$DM$29)</f>
        <v>0</v>
      </c>
      <c r="DN35">
        <f>SUM($DN$22:$DN$29)</f>
        <v>0</v>
      </c>
      <c r="DO35">
        <f>SUM($DO$22:$DO$29)</f>
        <v>0</v>
      </c>
      <c r="DP35">
        <f>SUM($DP$22:$DP$29)</f>
        <v>0</v>
      </c>
      <c r="DQ35">
        <f>SUM($DQ$22:$DQ$29)</f>
        <v>0</v>
      </c>
      <c r="DR35">
        <f>SUM($DR$22:$DR$29)</f>
        <v>0</v>
      </c>
      <c r="DS35">
        <f>SUM($DS$22:$DS$29)</f>
        <v>0</v>
      </c>
      <c r="DT35">
        <f>SUM($DT$22:$DT$29)</f>
        <v>0</v>
      </c>
      <c r="DU35">
        <f>SUM($DU$22:$DU$29)</f>
        <v>0</v>
      </c>
      <c r="DV35">
        <f>SUM($DV$22:$DV$29)</f>
        <v>0</v>
      </c>
      <c r="DW35">
        <f>SUM($DW$22:$DW$29)</f>
        <v>0</v>
      </c>
      <c r="DX35">
        <f>SUM($DX$22:$DX$29)</f>
        <v>0</v>
      </c>
      <c r="DY35">
        <f>SUM($DY$22:$DY$29)</f>
        <v>0</v>
      </c>
      <c r="DZ35">
        <f>SUM($DZ$22:$DZ$29)</f>
        <v>0</v>
      </c>
      <c r="EA35">
        <f>SUM($EA$22:$EA$29)</f>
        <v>0</v>
      </c>
      <c r="EB35">
        <f>SUM($EB$22:$EB$29)</f>
        <v>0</v>
      </c>
      <c r="EC35">
        <f>SUM($EC$22:$EC$29)</f>
        <v>0</v>
      </c>
      <c r="ED35">
        <f>SUM($ED$22:$ED$29)</f>
        <v>0</v>
      </c>
      <c r="EE35">
        <f>SUM($EE$22:$EE$29)</f>
        <v>0</v>
      </c>
      <c r="EF35">
        <f>SUM($EF$22:$EF$29)</f>
        <v>0</v>
      </c>
      <c r="EG35">
        <f>SUM($EG$22:$EG$29)</f>
        <v>0</v>
      </c>
      <c r="EH35">
        <f>SUM($EH$22:$EH$29)</f>
        <v>0</v>
      </c>
      <c r="EI35">
        <f>SUM($EI$22:$EI$29)</f>
        <v>0</v>
      </c>
      <c r="EJ35">
        <f>SUM($EJ$22:$EJ$29)</f>
        <v>0</v>
      </c>
      <c r="EK35">
        <f>SUM($EK$22:$EK$29)</f>
        <v>0</v>
      </c>
      <c r="EL35">
        <f>SUM($EL$22:$EL$29)</f>
        <v>0</v>
      </c>
      <c r="EM35">
        <f>SUM($EM$22:$EM$29)</f>
        <v>0</v>
      </c>
      <c r="EN35">
        <f>SUM($EN$22:$EN$29)</f>
        <v>0</v>
      </c>
      <c r="EO35">
        <f>SUM($EO$22:$EO$29)</f>
        <v>0</v>
      </c>
      <c r="EP35">
        <f>SUM($EP$22:$EP$29)</f>
        <v>0</v>
      </c>
      <c r="EQ35">
        <f>SUM($EQ$22:$EQ$29)</f>
        <v>0</v>
      </c>
      <c r="ER35">
        <f>SUM($ER$22:$ER$29)</f>
        <v>0</v>
      </c>
      <c r="ES35">
        <f>SUM($ES$22:$ES$29)</f>
        <v>0</v>
      </c>
      <c r="ET35">
        <f>SUM($ET$22:$ET$29)</f>
        <v>0</v>
      </c>
      <c r="EU35">
        <f>SUM($EU$22:$EU$29)</f>
        <v>0</v>
      </c>
      <c r="EV35">
        <f>SUM($EV$22:$EV$29)</f>
        <v>0</v>
      </c>
      <c r="EW35">
        <f>SUM($EW$22:$EW$29)</f>
        <v>0</v>
      </c>
      <c r="EX35">
        <f>SUM($EX$22:$EX$29)</f>
        <v>0</v>
      </c>
      <c r="EY35">
        <f>SUM($EY$22:$EY$29)</f>
        <v>0</v>
      </c>
      <c r="EZ35">
        <f>SUM($EZ$22:$EZ$29)</f>
        <v>0</v>
      </c>
      <c r="FA35">
        <f>SUM($FA$22:$FA$29)</f>
        <v>0</v>
      </c>
      <c r="FB35">
        <f>SUM($FB$22:$FB$29)</f>
        <v>0</v>
      </c>
      <c r="FC35">
        <f>SUM($FC$22:$FC$29)</f>
        <v>0</v>
      </c>
      <c r="FD35">
        <f>SUM($FD$22:$FD$29)</f>
        <v>0</v>
      </c>
      <c r="FE35">
        <f>SUM($FE$22:$FE$29)</f>
        <v>0</v>
      </c>
      <c r="FF35">
        <f>SUM($FF$22:$FF$29)</f>
        <v>0</v>
      </c>
      <c r="FG35">
        <f>SUM($FG$22:$FG$29)</f>
        <v>0</v>
      </c>
      <c r="FH35">
        <f>SUM($FH$22:$FH$29)</f>
        <v>0</v>
      </c>
      <c r="FI35">
        <f>SUM($FI$22:$FI$29)</f>
        <v>0</v>
      </c>
      <c r="FJ35">
        <f>SUM($FJ$22:$FJ$29)</f>
        <v>0</v>
      </c>
      <c r="FK35">
        <f>SUM($FK$22:$FK$29)</f>
        <v>0</v>
      </c>
      <c r="FL35">
        <f>SUM($FL$22:$FL$29)</f>
        <v>0</v>
      </c>
      <c r="FM35">
        <f>SUM($FM$22:$FM$29)</f>
        <v>0</v>
      </c>
      <c r="FN35">
        <f>SUM($FN$22:$FN$29)</f>
        <v>0</v>
      </c>
      <c r="FO35">
        <f>SUM($FO$22:$FO$29)</f>
        <v>0</v>
      </c>
      <c r="FP35">
        <f>SUM($FP$22:$FP$29)</f>
        <v>0</v>
      </c>
      <c r="FQ35">
        <f>SUM($FQ$22:$FQ$29)</f>
        <v>0</v>
      </c>
      <c r="FR35">
        <f>SUM($FR$22:$FR$29)</f>
        <v>0</v>
      </c>
      <c r="FS35">
        <f>SUM($FS$22:$FS$29)</f>
        <v>0</v>
      </c>
      <c r="FT35">
        <f>SUM($FT$22:$FT$29)</f>
        <v>0</v>
      </c>
      <c r="FU35">
        <f>SUM($FU$22:$FU$29)</f>
        <v>0</v>
      </c>
      <c r="FV35">
        <f>SUM($FV$22:$FV$29)</f>
        <v>0</v>
      </c>
      <c r="FW35">
        <f>SUM($FW$22:$FW$29)</f>
        <v>0</v>
      </c>
      <c r="FX35">
        <f>SUM($FX$22:$FX$29)</f>
        <v>0</v>
      </c>
      <c r="FY35">
        <f>SUM($FY$22:$FY$29)</f>
        <v>0</v>
      </c>
      <c r="FZ35">
        <f>SUM($FZ$22:$FZ$29)</f>
        <v>0</v>
      </c>
      <c r="GA35">
        <f>SUM($GA$22:$GA$29)</f>
        <v>0</v>
      </c>
      <c r="GB35">
        <f>SUM($GB$22:$GB$29)</f>
        <v>0</v>
      </c>
      <c r="GC35">
        <f>SUM($GC$22:$GC$29)</f>
        <v>0</v>
      </c>
      <c r="GD35">
        <f>SUM($GD$22:$GD$29)</f>
        <v>0</v>
      </c>
      <c r="GE35">
        <f>SUM($GE$22:$GE$29)</f>
        <v>0</v>
      </c>
      <c r="GF35">
        <f>SUM($GF$22:$GF$29)</f>
        <v>0</v>
      </c>
      <c r="GG35">
        <f>SUM($GG$22:$GG$29)</f>
        <v>0</v>
      </c>
      <c r="GH35">
        <f>SUM($GH$22:$GH$29)</f>
        <v>0</v>
      </c>
      <c r="GI35">
        <f>SUM($GI$22:$GI$29)</f>
        <v>0</v>
      </c>
      <c r="GJ35">
        <f>SUM($GJ$22:$GJ$29)</f>
        <v>0</v>
      </c>
      <c r="GK35">
        <f>SUM($GK$22:$GK$29)</f>
        <v>0</v>
      </c>
      <c r="GL35">
        <f>SUM($GL$22:$GL$29)</f>
        <v>0</v>
      </c>
      <c r="GM35">
        <f>SUM($GM$22:$GM$29)</f>
        <v>0</v>
      </c>
      <c r="GN35">
        <f>SUM($GN$22:$GN$29)</f>
        <v>0</v>
      </c>
      <c r="GO35">
        <f>SUM($GO$22:$GO$29)</f>
        <v>0</v>
      </c>
      <c r="GP35">
        <f>SUM($GP$22:$GP$29)</f>
        <v>0</v>
      </c>
      <c r="GQ35">
        <f>SUM($GQ$22:$GQ$29)</f>
        <v>0</v>
      </c>
      <c r="GR35">
        <f>SUM($GR$22:$GR$29)</f>
        <v>0</v>
      </c>
      <c r="GS35">
        <f>SUM($GS$22:$GS$29)</f>
        <v>0</v>
      </c>
    </row>
    <row r="36" spans="3:201">
      <c r="C36" t="s">
        <v>297</v>
      </c>
      <c r="D36" t="s">
        <v>297</v>
      </c>
      <c r="E36" t="s">
        <v>297</v>
      </c>
      <c r="F36" t="s">
        <v>297</v>
      </c>
      <c r="G36" t="s">
        <v>297</v>
      </c>
      <c r="H36" t="s">
        <v>297</v>
      </c>
      <c r="I36" t="s">
        <v>297</v>
      </c>
      <c r="J36" t="s">
        <v>297</v>
      </c>
      <c r="K36" t="s">
        <v>297</v>
      </c>
      <c r="L36" t="s">
        <v>297</v>
      </c>
      <c r="M36" t="s">
        <v>297</v>
      </c>
      <c r="N36" t="s">
        <v>297</v>
      </c>
      <c r="O36" t="s">
        <v>297</v>
      </c>
      <c r="P36" t="s">
        <v>297</v>
      </c>
      <c r="Q36" t="s">
        <v>297</v>
      </c>
      <c r="R36" t="s">
        <v>297</v>
      </c>
      <c r="S36" t="s">
        <v>297</v>
      </c>
      <c r="T36" t="s">
        <v>297</v>
      </c>
      <c r="U36" t="s">
        <v>297</v>
      </c>
      <c r="V36" t="s">
        <v>297</v>
      </c>
      <c r="W36" t="s">
        <v>297</v>
      </c>
      <c r="X36" t="s">
        <v>297</v>
      </c>
      <c r="Y36" t="s">
        <v>297</v>
      </c>
      <c r="Z36" t="s">
        <v>297</v>
      </c>
      <c r="AA36" t="s">
        <v>297</v>
      </c>
      <c r="AB36" t="s">
        <v>297</v>
      </c>
      <c r="AC36" t="s">
        <v>297</v>
      </c>
      <c r="AD36" t="s">
        <v>297</v>
      </c>
      <c r="AE36" t="s">
        <v>297</v>
      </c>
      <c r="AF36" t="s">
        <v>297</v>
      </c>
      <c r="AG36" t="s">
        <v>297</v>
      </c>
      <c r="AH36" t="s">
        <v>297</v>
      </c>
      <c r="AI36" t="s">
        <v>297</v>
      </c>
      <c r="AJ36" t="s">
        <v>297</v>
      </c>
      <c r="AK36" t="s">
        <v>297</v>
      </c>
      <c r="AL36" t="s">
        <v>297</v>
      </c>
      <c r="AM36" t="s">
        <v>297</v>
      </c>
      <c r="AN36" t="s">
        <v>297</v>
      </c>
      <c r="AO36" t="s">
        <v>297</v>
      </c>
      <c r="AP36" t="s">
        <v>297</v>
      </c>
      <c r="AQ36" t="s">
        <v>297</v>
      </c>
      <c r="AR36" t="s">
        <v>297</v>
      </c>
      <c r="AS36" t="s">
        <v>297</v>
      </c>
      <c r="AT36" t="s">
        <v>297</v>
      </c>
      <c r="AU36" t="s">
        <v>297</v>
      </c>
      <c r="AV36" t="s">
        <v>297</v>
      </c>
      <c r="AW36" t="s">
        <v>297</v>
      </c>
      <c r="AX36" t="s">
        <v>297</v>
      </c>
      <c r="AY36" t="s">
        <v>297</v>
      </c>
      <c r="AZ36" t="s">
        <v>297</v>
      </c>
      <c r="BA36" t="s">
        <v>297</v>
      </c>
      <c r="BB36" t="s">
        <v>297</v>
      </c>
      <c r="BC36" t="s">
        <v>297</v>
      </c>
      <c r="BD36" t="s">
        <v>297</v>
      </c>
      <c r="BE36" t="s">
        <v>297</v>
      </c>
      <c r="BF36" t="s">
        <v>297</v>
      </c>
      <c r="BG36" t="s">
        <v>297</v>
      </c>
      <c r="BH36" t="s">
        <v>297</v>
      </c>
      <c r="BI36" t="s">
        <v>297</v>
      </c>
      <c r="BJ36" t="s">
        <v>297</v>
      </c>
      <c r="BK36" t="s">
        <v>297</v>
      </c>
      <c r="BL36" t="s">
        <v>297</v>
      </c>
      <c r="BM36" t="s">
        <v>297</v>
      </c>
      <c r="BN36" t="s">
        <v>297</v>
      </c>
      <c r="BO36" t="s">
        <v>297</v>
      </c>
      <c r="BP36" t="s">
        <v>297</v>
      </c>
      <c r="BQ36" t="s">
        <v>297</v>
      </c>
      <c r="BR36" t="s">
        <v>297</v>
      </c>
      <c r="BS36" t="s">
        <v>297</v>
      </c>
      <c r="BT36" t="s">
        <v>297</v>
      </c>
      <c r="BU36" t="s">
        <v>297</v>
      </c>
      <c r="BV36" t="s">
        <v>297</v>
      </c>
      <c r="BW36" t="s">
        <v>297</v>
      </c>
      <c r="BX36" t="s">
        <v>297</v>
      </c>
      <c r="BY36" t="s">
        <v>297</v>
      </c>
      <c r="BZ36" t="s">
        <v>297</v>
      </c>
      <c r="CA36" t="s">
        <v>297</v>
      </c>
      <c r="CB36" t="s">
        <v>297</v>
      </c>
      <c r="CC36" t="s">
        <v>297</v>
      </c>
      <c r="CD36" t="s">
        <v>297</v>
      </c>
      <c r="CE36" t="s">
        <v>297</v>
      </c>
      <c r="CF36" t="s">
        <v>297</v>
      </c>
      <c r="CG36" t="s">
        <v>297</v>
      </c>
      <c r="CH36" t="s">
        <v>297</v>
      </c>
      <c r="CI36" t="s">
        <v>297</v>
      </c>
      <c r="CJ36" t="s">
        <v>297</v>
      </c>
      <c r="CK36" t="s">
        <v>297</v>
      </c>
      <c r="CL36" t="s">
        <v>297</v>
      </c>
      <c r="CM36" t="s">
        <v>297</v>
      </c>
      <c r="CN36" t="s">
        <v>297</v>
      </c>
      <c r="CO36" t="s">
        <v>297</v>
      </c>
      <c r="CP36" t="s">
        <v>297</v>
      </c>
      <c r="CQ36" t="s">
        <v>297</v>
      </c>
      <c r="CR36" t="s">
        <v>297</v>
      </c>
      <c r="CS36" t="s">
        <v>297</v>
      </c>
      <c r="CT36" t="s">
        <v>297</v>
      </c>
      <c r="CU36" t="s">
        <v>297</v>
      </c>
      <c r="CV36" t="s">
        <v>297</v>
      </c>
      <c r="CW36" t="s">
        <v>297</v>
      </c>
      <c r="CX36" t="s">
        <v>297</v>
      </c>
      <c r="CY36" t="s">
        <v>297</v>
      </c>
      <c r="CZ36" t="s">
        <v>297</v>
      </c>
      <c r="DA36" t="s">
        <v>297</v>
      </c>
      <c r="DB36" t="s">
        <v>297</v>
      </c>
      <c r="DC36" t="s">
        <v>297</v>
      </c>
      <c r="DD36" t="s">
        <v>297</v>
      </c>
      <c r="DE36" t="s">
        <v>297</v>
      </c>
      <c r="DF36" t="s">
        <v>297</v>
      </c>
      <c r="DG36" t="s">
        <v>297</v>
      </c>
      <c r="DH36" t="s">
        <v>297</v>
      </c>
      <c r="DI36" t="s">
        <v>297</v>
      </c>
      <c r="DJ36" t="s">
        <v>297</v>
      </c>
      <c r="DK36" t="s">
        <v>297</v>
      </c>
      <c r="DL36" t="s">
        <v>297</v>
      </c>
      <c r="DM36" t="s">
        <v>297</v>
      </c>
      <c r="DN36" t="s">
        <v>297</v>
      </c>
      <c r="DO36" t="s">
        <v>297</v>
      </c>
      <c r="DP36" t="s">
        <v>297</v>
      </c>
      <c r="DQ36" t="s">
        <v>297</v>
      </c>
      <c r="DR36" t="s">
        <v>297</v>
      </c>
      <c r="DS36" t="s">
        <v>297</v>
      </c>
      <c r="DT36" t="s">
        <v>297</v>
      </c>
      <c r="DU36" t="s">
        <v>297</v>
      </c>
      <c r="DV36" t="s">
        <v>297</v>
      </c>
      <c r="DW36" t="s">
        <v>297</v>
      </c>
      <c r="DX36" t="s">
        <v>297</v>
      </c>
      <c r="DY36" t="s">
        <v>297</v>
      </c>
      <c r="DZ36" t="s">
        <v>297</v>
      </c>
      <c r="EA36" t="s">
        <v>297</v>
      </c>
      <c r="EB36" t="s">
        <v>297</v>
      </c>
      <c r="EC36" t="s">
        <v>297</v>
      </c>
      <c r="ED36" t="s">
        <v>297</v>
      </c>
      <c r="EE36" t="s">
        <v>297</v>
      </c>
      <c r="EF36" t="s">
        <v>297</v>
      </c>
      <c r="EG36" t="s">
        <v>297</v>
      </c>
      <c r="EH36" t="s">
        <v>297</v>
      </c>
      <c r="EI36" t="s">
        <v>297</v>
      </c>
      <c r="EJ36" t="s">
        <v>297</v>
      </c>
      <c r="EK36" t="s">
        <v>297</v>
      </c>
      <c r="EL36" t="s">
        <v>297</v>
      </c>
      <c r="EM36" t="s">
        <v>297</v>
      </c>
      <c r="EN36" t="s">
        <v>297</v>
      </c>
      <c r="EO36" t="s">
        <v>297</v>
      </c>
      <c r="EP36" t="s">
        <v>297</v>
      </c>
      <c r="EQ36" t="s">
        <v>297</v>
      </c>
      <c r="ER36" t="s">
        <v>297</v>
      </c>
      <c r="ES36" t="s">
        <v>297</v>
      </c>
      <c r="ET36" t="s">
        <v>297</v>
      </c>
      <c r="EU36" t="s">
        <v>297</v>
      </c>
      <c r="EV36" t="s">
        <v>297</v>
      </c>
      <c r="EW36" t="s">
        <v>297</v>
      </c>
      <c r="EX36" t="s">
        <v>297</v>
      </c>
      <c r="EY36" t="s">
        <v>297</v>
      </c>
      <c r="EZ36" t="s">
        <v>297</v>
      </c>
      <c r="FA36" t="s">
        <v>297</v>
      </c>
      <c r="FB36" t="s">
        <v>297</v>
      </c>
      <c r="FC36" t="s">
        <v>297</v>
      </c>
      <c r="FD36" t="s">
        <v>297</v>
      </c>
      <c r="FE36" t="s">
        <v>297</v>
      </c>
      <c r="FF36" t="s">
        <v>297</v>
      </c>
      <c r="FG36" t="s">
        <v>297</v>
      </c>
      <c r="FH36" t="s">
        <v>297</v>
      </c>
      <c r="FI36" t="s">
        <v>297</v>
      </c>
      <c r="FJ36" t="s">
        <v>297</v>
      </c>
      <c r="FK36" t="s">
        <v>297</v>
      </c>
      <c r="FL36" t="s">
        <v>297</v>
      </c>
      <c r="FM36" t="s">
        <v>297</v>
      </c>
      <c r="FN36" t="s">
        <v>297</v>
      </c>
      <c r="FO36" t="s">
        <v>297</v>
      </c>
      <c r="FP36" t="s">
        <v>297</v>
      </c>
      <c r="FQ36" t="s">
        <v>297</v>
      </c>
      <c r="FR36" t="s">
        <v>297</v>
      </c>
      <c r="FS36" t="s">
        <v>297</v>
      </c>
      <c r="FT36" t="s">
        <v>297</v>
      </c>
      <c r="FU36" t="s">
        <v>297</v>
      </c>
      <c r="FV36" t="s">
        <v>297</v>
      </c>
      <c r="FW36" t="s">
        <v>297</v>
      </c>
      <c r="FX36" t="s">
        <v>297</v>
      </c>
      <c r="FY36" t="s">
        <v>297</v>
      </c>
      <c r="FZ36" t="s">
        <v>297</v>
      </c>
      <c r="GA36" t="s">
        <v>297</v>
      </c>
      <c r="GB36" t="s">
        <v>297</v>
      </c>
      <c r="GC36" t="s">
        <v>297</v>
      </c>
      <c r="GD36" t="s">
        <v>297</v>
      </c>
      <c r="GE36" t="s">
        <v>297</v>
      </c>
      <c r="GF36" t="s">
        <v>297</v>
      </c>
      <c r="GG36" t="s">
        <v>297</v>
      </c>
      <c r="GH36" t="s">
        <v>297</v>
      </c>
      <c r="GI36" t="s">
        <v>297</v>
      </c>
      <c r="GJ36" t="s">
        <v>297</v>
      </c>
      <c r="GK36" t="s">
        <v>297</v>
      </c>
      <c r="GL36" t="s">
        <v>297</v>
      </c>
      <c r="GM36" t="s">
        <v>297</v>
      </c>
      <c r="GN36" t="s">
        <v>297</v>
      </c>
      <c r="GO36" t="s">
        <v>297</v>
      </c>
      <c r="GP36" t="s">
        <v>297</v>
      </c>
      <c r="GQ36" t="s">
        <v>297</v>
      </c>
      <c r="GR36" t="s">
        <v>297</v>
      </c>
      <c r="GS36" t="s">
        <v>297</v>
      </c>
    </row>
    <row r="37" spans="3:201"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>
        <v>1</v>
      </c>
      <c r="AH37">
        <v>1</v>
      </c>
      <c r="AI37">
        <v>1</v>
      </c>
      <c r="AJ37">
        <v>1</v>
      </c>
      <c r="AK37">
        <v>1</v>
      </c>
      <c r="AL37">
        <v>1</v>
      </c>
      <c r="AM37">
        <v>1</v>
      </c>
      <c r="AN37">
        <v>1</v>
      </c>
      <c r="AO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V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1</v>
      </c>
      <c r="CB37">
        <v>1</v>
      </c>
      <c r="CC37">
        <v>1</v>
      </c>
      <c r="CD37">
        <v>1</v>
      </c>
      <c r="CE37">
        <v>1</v>
      </c>
      <c r="CF37">
        <v>1</v>
      </c>
      <c r="CG37">
        <v>1</v>
      </c>
      <c r="CH37">
        <v>1</v>
      </c>
      <c r="CI37">
        <v>1</v>
      </c>
      <c r="CJ37">
        <v>1</v>
      </c>
      <c r="CK37">
        <v>1</v>
      </c>
      <c r="CL37">
        <v>1</v>
      </c>
      <c r="CM37">
        <v>1</v>
      </c>
      <c r="CN37">
        <v>1</v>
      </c>
      <c r="CO37">
        <v>1</v>
      </c>
      <c r="CP37">
        <v>1</v>
      </c>
      <c r="CQ37">
        <v>1</v>
      </c>
      <c r="CR37">
        <v>1</v>
      </c>
      <c r="CS37">
        <v>1</v>
      </c>
      <c r="CT37">
        <v>1</v>
      </c>
      <c r="CU37">
        <v>1</v>
      </c>
      <c r="CV37">
        <v>1</v>
      </c>
      <c r="CW37">
        <v>1</v>
      </c>
      <c r="CX37">
        <v>1</v>
      </c>
      <c r="CY37">
        <v>1</v>
      </c>
      <c r="CZ37">
        <v>1</v>
      </c>
      <c r="DA37">
        <v>1</v>
      </c>
      <c r="DB37">
        <v>1</v>
      </c>
      <c r="DC37">
        <v>1</v>
      </c>
      <c r="DD37">
        <v>1</v>
      </c>
      <c r="DE37">
        <v>1</v>
      </c>
      <c r="DF37">
        <v>1</v>
      </c>
      <c r="DG37">
        <v>1</v>
      </c>
      <c r="DH37">
        <v>1</v>
      </c>
      <c r="DI37">
        <v>1</v>
      </c>
      <c r="DJ37">
        <v>1</v>
      </c>
      <c r="DK37">
        <v>1</v>
      </c>
      <c r="DL37">
        <v>1</v>
      </c>
      <c r="DM37">
        <v>1</v>
      </c>
      <c r="DN37">
        <v>1</v>
      </c>
      <c r="DO37">
        <v>1</v>
      </c>
      <c r="DP37">
        <v>1</v>
      </c>
      <c r="DQ37">
        <v>1</v>
      </c>
      <c r="DR37">
        <v>1</v>
      </c>
      <c r="DS37">
        <v>1</v>
      </c>
      <c r="DT37">
        <v>1</v>
      </c>
      <c r="DU37">
        <v>1</v>
      </c>
      <c r="DV37">
        <v>1</v>
      </c>
      <c r="DW37">
        <v>1</v>
      </c>
      <c r="DX37">
        <v>1</v>
      </c>
      <c r="DY37">
        <v>1</v>
      </c>
      <c r="DZ37">
        <v>1</v>
      </c>
      <c r="EA37">
        <v>1</v>
      </c>
      <c r="EB37">
        <v>1</v>
      </c>
      <c r="EC37">
        <v>1</v>
      </c>
      <c r="ED37">
        <v>1</v>
      </c>
      <c r="EE37">
        <v>1</v>
      </c>
      <c r="EF37">
        <v>1</v>
      </c>
      <c r="EG37">
        <v>1</v>
      </c>
      <c r="EH37">
        <v>1</v>
      </c>
      <c r="EI37">
        <v>1</v>
      </c>
      <c r="EJ37">
        <v>1</v>
      </c>
      <c r="EK37">
        <v>1</v>
      </c>
      <c r="EL37">
        <v>1</v>
      </c>
      <c r="EM37">
        <v>1</v>
      </c>
      <c r="EN37">
        <v>1</v>
      </c>
      <c r="EO37">
        <v>1</v>
      </c>
      <c r="EP37">
        <v>1</v>
      </c>
      <c r="EQ37">
        <v>1</v>
      </c>
      <c r="ER37">
        <v>1</v>
      </c>
      <c r="ES37">
        <v>1</v>
      </c>
      <c r="ET37">
        <v>1</v>
      </c>
      <c r="EU37">
        <v>1</v>
      </c>
      <c r="EV37">
        <v>1</v>
      </c>
      <c r="EW37">
        <v>1</v>
      </c>
      <c r="EX37">
        <v>1</v>
      </c>
      <c r="EY37">
        <v>1</v>
      </c>
      <c r="EZ37">
        <v>1</v>
      </c>
      <c r="FA37">
        <v>1</v>
      </c>
      <c r="FB37">
        <v>1</v>
      </c>
      <c r="FC37">
        <v>1</v>
      </c>
      <c r="FD37">
        <v>1</v>
      </c>
      <c r="FE37">
        <v>1</v>
      </c>
      <c r="FF37">
        <v>1</v>
      </c>
      <c r="FG37">
        <v>1</v>
      </c>
      <c r="FH37">
        <v>1</v>
      </c>
      <c r="FI37">
        <v>1</v>
      </c>
      <c r="FJ37">
        <v>1</v>
      </c>
      <c r="FK37">
        <v>1</v>
      </c>
      <c r="FL37">
        <v>1</v>
      </c>
      <c r="FM37">
        <v>1</v>
      </c>
      <c r="FN37">
        <v>1</v>
      </c>
      <c r="FO37">
        <v>1</v>
      </c>
      <c r="FP37">
        <v>1</v>
      </c>
      <c r="FQ37">
        <v>1</v>
      </c>
      <c r="FR37">
        <v>1</v>
      </c>
      <c r="FS37">
        <v>1</v>
      </c>
      <c r="FT37">
        <v>1</v>
      </c>
      <c r="FU37">
        <v>1</v>
      </c>
      <c r="FV37">
        <v>1</v>
      </c>
      <c r="FW37">
        <v>1</v>
      </c>
      <c r="FX37">
        <v>1</v>
      </c>
      <c r="FY37">
        <v>1</v>
      </c>
      <c r="FZ37">
        <v>1</v>
      </c>
      <c r="GA37">
        <v>1</v>
      </c>
      <c r="GB37">
        <v>1</v>
      </c>
      <c r="GC37">
        <v>1</v>
      </c>
      <c r="GD37">
        <v>1</v>
      </c>
      <c r="GE37">
        <v>1</v>
      </c>
      <c r="GF37">
        <v>1</v>
      </c>
      <c r="GG37">
        <v>1</v>
      </c>
      <c r="GH37">
        <v>1</v>
      </c>
      <c r="GI37">
        <v>1</v>
      </c>
      <c r="GJ37">
        <v>1</v>
      </c>
      <c r="GK37">
        <v>1</v>
      </c>
      <c r="GL37">
        <v>1</v>
      </c>
      <c r="GM37">
        <v>1</v>
      </c>
      <c r="GN37">
        <v>1</v>
      </c>
      <c r="GO37">
        <v>1</v>
      </c>
      <c r="GP37">
        <v>1</v>
      </c>
      <c r="GQ37">
        <v>1</v>
      </c>
      <c r="GR37">
        <v>1</v>
      </c>
      <c r="GS37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R36"/>
  <sheetViews>
    <sheetView topLeftCell="A17" zoomScale="175" zoomScaleNormal="175" zoomScalePageLayoutView="175" workbookViewId="0">
      <selection activeCell="E23" sqref="E23"/>
    </sheetView>
  </sheetViews>
  <sheetFormatPr baseColWidth="10" defaultRowHeight="14" x14ac:dyDescent="0"/>
  <sheetData>
    <row r="1" spans="1:18">
      <c r="A1" s="55" t="s">
        <v>58</v>
      </c>
      <c r="Q1" t="s">
        <v>57</v>
      </c>
      <c r="R1" t="s">
        <v>58</v>
      </c>
    </row>
    <row r="2" spans="1:18">
      <c r="A2" s="55">
        <v>28</v>
      </c>
    </row>
    <row r="3" spans="1:18">
      <c r="A3" s="55">
        <v>28</v>
      </c>
    </row>
    <row r="4" spans="1:18">
      <c r="A4" s="55">
        <v>28</v>
      </c>
    </row>
    <row r="5" spans="1:18">
      <c r="A5" s="55">
        <v>28</v>
      </c>
    </row>
    <row r="6" spans="1:18">
      <c r="A6" s="55">
        <v>27</v>
      </c>
    </row>
    <row r="7" spans="1:18">
      <c r="A7" s="55">
        <v>27</v>
      </c>
    </row>
    <row r="8" spans="1:18">
      <c r="A8" s="55">
        <v>27</v>
      </c>
    </row>
    <row r="9" spans="1:18">
      <c r="A9" s="55">
        <v>27</v>
      </c>
    </row>
    <row r="10" spans="1:18">
      <c r="A10" s="55">
        <v>26</v>
      </c>
    </row>
    <row r="11" spans="1:18">
      <c r="A11" s="55">
        <v>26</v>
      </c>
    </row>
    <row r="12" spans="1:18">
      <c r="A12" s="55">
        <v>26</v>
      </c>
    </row>
    <row r="13" spans="1:18">
      <c r="A13" s="55">
        <v>26</v>
      </c>
    </row>
    <row r="14" spans="1:18">
      <c r="A14" s="55">
        <v>25</v>
      </c>
    </row>
    <row r="15" spans="1:18">
      <c r="A15" s="55">
        <v>25</v>
      </c>
    </row>
    <row r="16" spans="1:18">
      <c r="A16" s="55">
        <v>25</v>
      </c>
    </row>
    <row r="17" spans="1:1">
      <c r="A17" s="55">
        <v>25</v>
      </c>
    </row>
    <row r="18" spans="1:1">
      <c r="A18" s="55">
        <v>24</v>
      </c>
    </row>
    <row r="19" spans="1:1">
      <c r="A19" s="55">
        <v>24</v>
      </c>
    </row>
    <row r="20" spans="1:1">
      <c r="A20" s="55">
        <v>24</v>
      </c>
    </row>
    <row r="21" spans="1:1">
      <c r="A21" s="55">
        <v>24</v>
      </c>
    </row>
    <row r="22" spans="1:1">
      <c r="A22" s="55">
        <v>23</v>
      </c>
    </row>
    <row r="23" spans="1:1">
      <c r="A23" s="55">
        <v>23</v>
      </c>
    </row>
    <row r="24" spans="1:1">
      <c r="A24" s="55">
        <v>23</v>
      </c>
    </row>
    <row r="25" spans="1:1">
      <c r="A25" s="55">
        <v>23</v>
      </c>
    </row>
    <row r="26" spans="1:1">
      <c r="A26" s="55">
        <v>23</v>
      </c>
    </row>
    <row r="27" spans="1:1">
      <c r="A27" s="55">
        <v>22</v>
      </c>
    </row>
    <row r="28" spans="1:1">
      <c r="A28" s="55">
        <v>22</v>
      </c>
    </row>
    <row r="29" spans="1:1">
      <c r="A29" s="55">
        <v>22</v>
      </c>
    </row>
    <row r="30" spans="1:1">
      <c r="A30" s="55">
        <v>22</v>
      </c>
    </row>
    <row r="31" spans="1:1">
      <c r="A31" s="55">
        <v>22</v>
      </c>
    </row>
    <row r="32" spans="1:1">
      <c r="A32" s="55">
        <v>21</v>
      </c>
    </row>
    <row r="33" spans="1:1">
      <c r="A33" s="55">
        <v>21</v>
      </c>
    </row>
    <row r="34" spans="1:1">
      <c r="A34" s="55">
        <v>21</v>
      </c>
    </row>
    <row r="35" spans="1:1">
      <c r="A35" s="55">
        <v>21</v>
      </c>
    </row>
    <row r="36" spans="1:1">
      <c r="A36" s="55">
        <v>21</v>
      </c>
    </row>
  </sheetData>
  <sortState ref="A2:A36">
    <sortCondition descending="1" ref="A1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</vt:lpstr>
      <vt:lpstr>Input_Course</vt:lpstr>
      <vt:lpstr>Input_Professor</vt:lpstr>
      <vt:lpstr>PrintOut</vt:lpstr>
      <vt:lpstr>Block_Info</vt:lpstr>
      <vt:lpstr>Calculator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kelly chung</cp:lastModifiedBy>
  <cp:lastPrinted>2017-03-02T04:32:28Z</cp:lastPrinted>
  <dcterms:created xsi:type="dcterms:W3CDTF">2017-02-16T01:30:00Z</dcterms:created>
  <dcterms:modified xsi:type="dcterms:W3CDTF">2017-03-30T03:48:28Z</dcterms:modified>
</cp:coreProperties>
</file>