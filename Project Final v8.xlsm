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20160" windowHeight="8685" tabRatio="685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C$22,Calculator!$D$22,Calculator!$E$22,Calculator!$F$22,Calculator!$G$23,Calculator!$H$23,Calculator!$I$23,Calculator!$J$23,Calculator!$K$24,Calculator!$L$24,Calculator!$M$24,Calculator!$N$24,Calculator!$O$25,Calculator!$P$25,Calculator!$Q$25,Calculator!$R$25,Calculator!$S$26,Calculator!$T$26,Calculator!$U$26,Calculator!$V$26,Calculator!$W$27,Calculator!$X$27,Calculator!$Y$27,Calculator!$Z$27,Calculator!$AA$28,Calculator!$AB$28,Calculator!$AC$28,Calculator!$AD$28,Calculator!$AE$29,Calculator!$AF$29,Calculator!$AG$29,Calculator!$AH$29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Calculator!$C$35:$GS$35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34</definedName>
    <definedName name="solver_num" localSheetId="1" hidden="1">0</definedName>
    <definedName name="solver_num" localSheetId="3" hidden="1">0</definedName>
    <definedName name="solver_opt" localSheetId="5" hidden="1">Calculator!$C$30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Calculator!$C$37:$GS$37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S35" i="10" l="1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C30" i="10"/>
  <c r="GT29" i="10"/>
  <c r="GT28" i="10"/>
  <c r="GT27" i="10"/>
  <c r="GT26" i="10"/>
  <c r="GT25" i="10"/>
  <c r="GT24" i="10"/>
  <c r="GT23" i="10"/>
  <c r="GT22" i="10"/>
  <c r="F32" i="10" l="1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A176" i="2"/>
  <c r="B176" i="2"/>
  <c r="C176" i="2"/>
  <c r="H17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A116" i="2"/>
  <c r="B116" i="2"/>
  <c r="C116" i="2"/>
  <c r="H116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A101" i="2"/>
  <c r="B101" i="2"/>
  <c r="C101" i="2"/>
  <c r="H101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A34" i="2"/>
  <c r="B34" i="2"/>
  <c r="C34" i="2"/>
  <c r="H34" i="2"/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<sst xmlns="http://schemas.openxmlformats.org/spreadsheetml/2006/main" count="1758" uniqueCount="510">
  <si>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</si>
  <si>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</si>
  <si>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</si>
  <si>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</si>
  <si>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</si>
  <si>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</si>
  <si>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</si>
  <si>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</si>
  <si>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</si>
  <si>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</si>
  <si>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</si>
  <si>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</si>
  <si>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</si>
  <si>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</si>
  <si>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</si>
  <si>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</si>
  <si>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</si>
  <si>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</si>
  <si>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</si>
  <si>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</si>
  <si>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</si>
  <si>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</si>
  <si>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</si>
  <si>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</si>
  <si>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</si>
  <si>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</si>
  <si>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</si>
  <si>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</si>
  <si>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</si>
  <si>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</si>
  <si>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</si>
  <si>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</si>
  <si>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</si>
  <si>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</si>
  <si>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</si>
  <si>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</si>
  <si>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</si>
  <si>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</si>
  <si>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</si>
  <si>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</si>
  <si>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</si>
  <si>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</si>
  <si>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</si>
  <si>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</si>
  <si>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</si>
  <si>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</si>
  <si>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</si>
  <si>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</si>
  <si>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</si>
  <si>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</si>
  <si>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</si>
  <si>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</si>
  <si>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</si>
  <si>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</si>
  <si>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</si>
  <si>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</si>
  <si>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</si>
  <si>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</si>
  <si>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</si>
  <si>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</si>
  <si>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</si>
  <si>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</si>
  <si>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</si>
  <si>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</si>
  <si>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</si>
  <si>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</si>
  <si>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</si>
  <si>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</si>
  <si>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</si>
  <si>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</si>
  <si>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</si>
  <si>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</si>
  <si>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</si>
  <si>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</si>
  <si>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</si>
  <si>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</si>
  <si>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</si>
  <si>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</si>
  <si>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</si>
  <si>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</si>
  <si>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</si>
  <si>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</si>
  <si>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</si>
  <si>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</si>
  <si>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</si>
  <si>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</si>
  <si>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</si>
  <si>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</si>
  <si>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</si>
  <si>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</si>
  <si>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</si>
  <si>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</si>
  <si>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</si>
  <si>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</si>
  <si>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</si>
  <si>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</si>
  <si>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</si>
  <si>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</si>
  <si>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</si>
  <si>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</si>
  <si>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</si>
  <si>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</si>
  <si>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</si>
  <si>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</si>
  <si>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</si>
  <si>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</si>
  <si>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</si>
  <si>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</si>
  <si>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</si>
  <si>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</si>
  <si>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</si>
  <si>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</si>
  <si>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</si>
  <si>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</si>
  <si>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</si>
  <si>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</si>
  <si>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</si>
  <si>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</si>
  <si>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</si>
  <si>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</si>
  <si>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</si>
  <si>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</si>
  <si>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</si>
  <si>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</si>
  <si>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</si>
  <si>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</si>
  <si>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</si>
  <si>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</si>
  <si>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</si>
  <si>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</si>
  <si>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</si>
  <si>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</si>
  <si>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</si>
  <si>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</si>
  <si>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</si>
  <si>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</si>
  <si>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</si>
  <si>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</si>
  <si>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</si>
  <si>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</si>
  <si>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</si>
  <si>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</si>
  <si>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</si>
  <si>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</si>
  <si>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</si>
  <si>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</si>
  <si>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</si>
  <si>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</si>
  <si>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</si>
  <si>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</si>
  <si>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</si>
  <si>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</si>
  <si>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</si>
  <si>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</si>
  <si>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</si>
  <si>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</si>
  <si>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</si>
  <si>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</si>
  <si>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</si>
  <si>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</si>
  <si>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</si>
  <si>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</si>
  <si>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</si>
  <si>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</si>
  <si>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</si>
  <si>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</si>
  <si>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</si>
  <si>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</si>
  <si>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</si>
  <si>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</si>
  <si>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</si>
  <si>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</si>
  <si>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</si>
  <si>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</si>
  <si>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</si>
  <si>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CIS100</t>
  </si>
  <si>
    <t>CIS101</t>
  </si>
  <si>
    <t>CIS102</t>
  </si>
  <si>
    <t>CIS103</t>
  </si>
  <si>
    <t>CIS104</t>
  </si>
  <si>
    <t>CIS105</t>
  </si>
  <si>
    <t>CIS106</t>
  </si>
  <si>
    <t>CIS107</t>
  </si>
  <si>
    <t>CIS108</t>
  </si>
  <si>
    <t>CIS109</t>
  </si>
  <si>
    <t>CIS110</t>
  </si>
  <si>
    <t>CIS111</t>
  </si>
  <si>
    <t>CIS112</t>
  </si>
  <si>
    <t>CIS113</t>
  </si>
  <si>
    <t>CIS114</t>
  </si>
  <si>
    <t>HIS100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</si>
  <si>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</si>
  <si>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</si>
  <si>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</si>
  <si>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</si>
  <si>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</si>
  <si>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</si>
  <si>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</si>
  <si>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</si>
  <si>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</si>
  <si>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</si>
  <si>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</si>
  <si>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HIS112</t>
  </si>
  <si>
    <t>TBD</t>
  </si>
  <si>
    <t>LIT100</t>
  </si>
  <si>
    <t>LIT101</t>
  </si>
  <si>
    <t>LIT102</t>
  </si>
  <si>
    <t>LIT103</t>
  </si>
  <si>
    <t>LIT104</t>
  </si>
  <si>
    <t>LIT105</t>
  </si>
  <si>
    <t>LIT106</t>
  </si>
  <si>
    <t>LIT107</t>
  </si>
  <si>
    <t>LIT108</t>
  </si>
  <si>
    <t>LIT109</t>
  </si>
  <si>
    <t>LIT110</t>
  </si>
  <si>
    <t>LIT111</t>
  </si>
  <si>
    <t>LIT112</t>
  </si>
  <si>
    <t>LIT113</t>
  </si>
  <si>
    <t>LIT114</t>
  </si>
  <si>
    <t>HFD100</t>
  </si>
  <si>
    <t>HFD101</t>
  </si>
  <si>
    <t>HFD102</t>
  </si>
  <si>
    <t>HFD103</t>
  </si>
  <si>
    <t>HFD104</t>
  </si>
  <si>
    <t>HFD105</t>
  </si>
  <si>
    <t>HFD106</t>
  </si>
  <si>
    <t>HFD107</t>
  </si>
  <si>
    <t>HFD108</t>
  </si>
  <si>
    <t>HFD109</t>
  </si>
  <si>
    <t>HFD110</t>
  </si>
  <si>
    <t>HFD111</t>
  </si>
  <si>
    <t>HFD112</t>
  </si>
  <si>
    <t>HFD113</t>
  </si>
  <si>
    <t>HFD114</t>
  </si>
  <si>
    <t>HFD115</t>
  </si>
  <si>
    <t>HFD116</t>
  </si>
  <si>
    <t>HFD117</t>
  </si>
  <si>
    <t>HFD118</t>
  </si>
  <si>
    <t>HFD119</t>
  </si>
  <si>
    <t>HFD120</t>
  </si>
  <si>
    <t>HFD121</t>
  </si>
  <si>
    <t>HFD122</t>
  </si>
  <si>
    <t>HFD123</t>
  </si>
  <si>
    <t>HFD124</t>
  </si>
  <si>
    <t>HFD125</t>
  </si>
  <si>
    <t>HFD126</t>
  </si>
  <si>
    <t>HFD127</t>
  </si>
  <si>
    <t>HFD128</t>
  </si>
  <si>
    <t>HFD129</t>
  </si>
  <si>
    <t>HFD130</t>
  </si>
  <si>
    <t>HFD131</t>
  </si>
  <si>
    <t>HFD132</t>
  </si>
  <si>
    <t>HFD133</t>
  </si>
  <si>
    <t>HFD134</t>
  </si>
  <si>
    <t>HFD135</t>
  </si>
  <si>
    <t>HFD136</t>
  </si>
  <si>
    <t>HFD137</t>
  </si>
  <si>
    <t>HFD138</t>
  </si>
  <si>
    <t>HFD147</t>
  </si>
  <si>
    <t>HFD148</t>
  </si>
  <si>
    <t>HFD149</t>
  </si>
  <si>
    <t>HFD150</t>
  </si>
  <si>
    <t>HFD151</t>
  </si>
  <si>
    <t>HFD152</t>
  </si>
  <si>
    <t>HFD153</t>
  </si>
  <si>
    <t>HFD154</t>
  </si>
  <si>
    <t>HFD175</t>
  </si>
  <si>
    <t>HFD176</t>
  </si>
  <si>
    <t>HFD177</t>
  </si>
  <si>
    <t>HFD178</t>
  </si>
  <si>
    <t>HFD179</t>
  </si>
  <si>
    <t>HFD180</t>
  </si>
  <si>
    <t>HFD181</t>
  </si>
  <si>
    <t>HFD182</t>
  </si>
  <si>
    <t>HFD183</t>
  </si>
  <si>
    <t>HFD184</t>
  </si>
  <si>
    <t>HFD185</t>
  </si>
  <si>
    <t>HFD186</t>
  </si>
  <si>
    <t>HFD187</t>
  </si>
  <si>
    <t>ENG100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</si>
  <si>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</si>
  <si>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</si>
  <si>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</si>
  <si>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</si>
  <si>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</si>
  <si>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</si>
  <si>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</si>
  <si>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</si>
  <si>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</si>
  <si>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</si>
  <si>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</si>
  <si>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</si>
  <si>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ENG113</t>
  </si>
  <si>
    <t>ENG114</t>
  </si>
  <si>
    <t>ENG115</t>
  </si>
  <si>
    <t>ENG116</t>
  </si>
  <si>
    <t>ENG117</t>
  </si>
  <si>
    <t>ENG118</t>
  </si>
  <si>
    <t>ENG119</t>
  </si>
  <si>
    <t>ENG120</t>
  </si>
  <si>
    <t>ENG121</t>
  </si>
  <si>
    <t>ENG122</t>
  </si>
  <si>
    <t>ENG123</t>
  </si>
  <si>
    <t>ENG124</t>
  </si>
  <si>
    <t>Input</t>
  </si>
  <si>
    <t>Score</t>
  </si>
  <si>
    <t>Decision</t>
  </si>
  <si>
    <t>ACCT100 100</t>
  </si>
  <si>
    <t>ACCT101 100</t>
  </si>
  <si>
    <t>ACCT102 100</t>
  </si>
  <si>
    <t>ACCT103 100</t>
  </si>
  <si>
    <t>ACCT104 100</t>
  </si>
  <si>
    <t>ACCT105 100</t>
  </si>
  <si>
    <t>ACCT106 100</t>
  </si>
  <si>
    <t>ACCT107 100</t>
  </si>
  <si>
    <t>ACCT108 100</t>
  </si>
  <si>
    <t>ACCT109 100</t>
  </si>
  <si>
    <t>ACCT110 100</t>
  </si>
  <si>
    <t>ACCT111 100</t>
  </si>
  <si>
    <t>ACCT112 100</t>
  </si>
  <si>
    <t>ACCT113 100</t>
  </si>
  <si>
    <t>ACCT114 100</t>
  </si>
  <si>
    <t>ACCT115 100</t>
  </si>
  <si>
    <t>ACCT116 100</t>
  </si>
  <si>
    <t>ACCT117 100</t>
  </si>
  <si>
    <t>ACCT118 100</t>
  </si>
  <si>
    <t>ACCT119 100</t>
  </si>
  <si>
    <t>ACCT120 100</t>
  </si>
  <si>
    <t>ACCT121 100</t>
  </si>
  <si>
    <t>ACCT122 100</t>
  </si>
  <si>
    <t>ACCT123 100</t>
  </si>
  <si>
    <t>ACCT124 100</t>
  </si>
  <si>
    <t>ACCT125 100</t>
  </si>
  <si>
    <t>ACCT126 100</t>
  </si>
  <si>
    <t>MGT100 100</t>
  </si>
  <si>
    <t>MGT101 100</t>
  </si>
  <si>
    <t>MGT102 100</t>
  </si>
  <si>
    <t>MGT103 100</t>
  </si>
  <si>
    <t>MGT104 100</t>
  </si>
  <si>
    <t>MGT105 100</t>
  </si>
  <si>
    <t>MGT106 100</t>
  </si>
  <si>
    <t>MGT107 100</t>
  </si>
  <si>
    <t>MGT108 100</t>
  </si>
  <si>
    <t>MGT109 100</t>
  </si>
  <si>
    <t>MGT110 100</t>
  </si>
  <si>
    <t>MGT111 100</t>
  </si>
  <si>
    <t>CIS100 100</t>
  </si>
  <si>
    <t>CIS101 100</t>
  </si>
  <si>
    <t>CIS102 100</t>
  </si>
  <si>
    <t>CIS103 100</t>
  </si>
  <si>
    <t>CIS104 100</t>
  </si>
  <si>
    <t>CIS105 100</t>
  </si>
  <si>
    <t>CIS106 100</t>
  </si>
  <si>
    <t>CIS107 100</t>
  </si>
  <si>
    <t>CIS108 100</t>
  </si>
  <si>
    <t>CIS109 100</t>
  </si>
  <si>
    <t>CIS110 100</t>
  </si>
  <si>
    <t>CIS111 100</t>
  </si>
  <si>
    <t>CIS112 100</t>
  </si>
  <si>
    <t>CIS113 100</t>
  </si>
  <si>
    <t>CIS114 100</t>
  </si>
  <si>
    <t>HIS100 100</t>
  </si>
  <si>
    <t>HIS101 100</t>
  </si>
  <si>
    <t>HIS102 100</t>
  </si>
  <si>
    <t>HIS103 100</t>
  </si>
  <si>
    <t>HIS104 100</t>
  </si>
  <si>
    <t>HIS105 100</t>
  </si>
  <si>
    <t>HIS106 100</t>
  </si>
  <si>
    <t>HIS107 100</t>
  </si>
  <si>
    <t>HIS108 100</t>
  </si>
  <si>
    <t>HIS109 100</t>
  </si>
  <si>
    <t>HIS110 100</t>
  </si>
  <si>
    <t>HIS111 100</t>
  </si>
  <si>
    <t>HIS112 100</t>
  </si>
  <si>
    <t>LIT100 100</t>
  </si>
  <si>
    <t>LIT101 100</t>
  </si>
  <si>
    <t>LIT102 100</t>
  </si>
  <si>
    <t>LIT103 100</t>
  </si>
  <si>
    <t>LIT104 100</t>
  </si>
  <si>
    <t>LIT105 100</t>
  </si>
  <si>
    <t>LIT106 100</t>
  </si>
  <si>
    <t>LIT107 100</t>
  </si>
  <si>
    <t>LIT108 100</t>
  </si>
  <si>
    <t>LIT109 100</t>
  </si>
  <si>
    <t>LIT110 100</t>
  </si>
  <si>
    <t>LIT111 100</t>
  </si>
  <si>
    <t>LIT112 100</t>
  </si>
  <si>
    <t>LIT113 100</t>
  </si>
  <si>
    <t>LIT114 100</t>
  </si>
  <si>
    <t>HFD100 100</t>
  </si>
  <si>
    <t>HFD101 100</t>
  </si>
  <si>
    <t>HFD102 100</t>
  </si>
  <si>
    <t>HFD103 100</t>
  </si>
  <si>
    <t>HFD104 100</t>
  </si>
  <si>
    <t>HFD105 100</t>
  </si>
  <si>
    <t>HFD106 100</t>
  </si>
  <si>
    <t>HFD107 100</t>
  </si>
  <si>
    <t>HFD108 100</t>
  </si>
  <si>
    <t>HFD109 100</t>
  </si>
  <si>
    <t>HFD110 100</t>
  </si>
  <si>
    <t>HFD111 100</t>
  </si>
  <si>
    <t>HFD112 100</t>
  </si>
  <si>
    <t>HFD113 100</t>
  </si>
  <si>
    <t>HFD114 100</t>
  </si>
  <si>
    <t>HFD115 100</t>
  </si>
  <si>
    <t>HFD116 100</t>
  </si>
  <si>
    <t>HFD117 100</t>
  </si>
  <si>
    <t>HFD118 100</t>
  </si>
  <si>
    <t>HFD119 100</t>
  </si>
  <si>
    <t>HFD120 100</t>
  </si>
  <si>
    <t>HFD121 100</t>
  </si>
  <si>
    <t>HFD122 100</t>
  </si>
  <si>
    <t>HFD123 100</t>
  </si>
  <si>
    <t>HFD124 100</t>
  </si>
  <si>
    <t>HFD125 100</t>
  </si>
  <si>
    <t>HFD126 100</t>
  </si>
  <si>
    <t>HFD127 100</t>
  </si>
  <si>
    <t>HFD128 100</t>
  </si>
  <si>
    <t>HFD129 100</t>
  </si>
  <si>
    <t>HFD130 100</t>
  </si>
  <si>
    <t>HFD131 100</t>
  </si>
  <si>
    <t>HFD132 100</t>
  </si>
  <si>
    <t>HFD133 100</t>
  </si>
  <si>
    <t>HFD134 100</t>
  </si>
  <si>
    <t>HFD135 100</t>
  </si>
  <si>
    <t>HFD136 100</t>
  </si>
  <si>
    <t>HFD137 100</t>
  </si>
  <si>
    <t>HFD138 100</t>
  </si>
  <si>
    <t>HFD147 100</t>
  </si>
  <si>
    <t>HFD148 100</t>
  </si>
  <si>
    <t>HFD149 100</t>
  </si>
  <si>
    <t>HFD150 100</t>
  </si>
  <si>
    <t>HFD151 100</t>
  </si>
  <si>
    <t>HFD152 100</t>
  </si>
  <si>
    <t>HFD153 100</t>
  </si>
  <si>
    <t>HFD154 100</t>
  </si>
  <si>
    <t>HFD175 100</t>
  </si>
  <si>
    <t>HFD176 100</t>
  </si>
  <si>
    <t>HFD177 100</t>
  </si>
  <si>
    <t>HFD178 100</t>
  </si>
  <si>
    <t>HFD179 100</t>
  </si>
  <si>
    <t>HFD180 100</t>
  </si>
  <si>
    <t>HFD181 100</t>
  </si>
  <si>
    <t>HFD182 100</t>
  </si>
  <si>
    <t>HFD183 100</t>
  </si>
  <si>
    <t>HFD184 100</t>
  </si>
  <si>
    <t>HFD185 100</t>
  </si>
  <si>
    <t>HFD186 100</t>
  </si>
  <si>
    <t>HFD187 100</t>
  </si>
  <si>
    <t>ENG100 100</t>
  </si>
  <si>
    <t>ENG101 100</t>
  </si>
  <si>
    <t>ENG102 100</t>
  </si>
  <si>
    <t>ENG103 100</t>
  </si>
  <si>
    <t>ENG104 100</t>
  </si>
  <si>
    <t>ENG105 100</t>
  </si>
  <si>
    <t>ENG106 100</t>
  </si>
  <si>
    <t>ENG107 100</t>
  </si>
  <si>
    <t>ENG108 100</t>
  </si>
  <si>
    <t>ENG109 100</t>
  </si>
  <si>
    <t>ENG110 100</t>
  </si>
  <si>
    <t>ENG111 100</t>
  </si>
  <si>
    <t>ENG112 100</t>
  </si>
  <si>
    <t>ENG113 100</t>
  </si>
  <si>
    <t>ENG114 100</t>
  </si>
  <si>
    <t>ENG115 100</t>
  </si>
  <si>
    <t>ENG116 100</t>
  </si>
  <si>
    <t>ENG117 100</t>
  </si>
  <si>
    <t>ENG118 100</t>
  </si>
  <si>
    <t>ENG119 100</t>
  </si>
  <si>
    <t>ENG120 100</t>
  </si>
  <si>
    <t>ENG121 100</t>
  </si>
  <si>
    <t>ENG122 100</t>
  </si>
  <si>
    <t>ENG123 100</t>
  </si>
  <si>
    <t>ENG124 100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</si>
  <si>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</si>
  <si>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</si>
  <si>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</si>
  <si>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</si>
  <si>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</si>
  <si>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</si>
  <si>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</si>
  <si>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</si>
  <si>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1_x000D_
FIN100 100 - A, B_x000D_
ACCT100 100 - TBD_x000D_
ACCT101 100 - TBD_x000D_
ACCT102 100 - TBD_x000D_
ACCT103 100 - TBD_x000D_
ENG113 100 - TBD</t>
  </si>
  <si>
    <t>2_x000D_
ACCT104 100 - TBD_x000D_
ACCT105 100 - TBD_x000D_
ACCT106 100 - TBD_x000D_
ACCT107 100 - TBD_x000D_
ACCT108 100 - TBD_x000D_
ENG114 100 - TBD</t>
  </si>
  <si>
    <t>3_x000D_
ACCT109 100 - TBD_x000D_
ACCT110 100 - TBD_x000D_
ACCT111 100 - TBD_x000D_
ACCT112 100 - TBD_x000D_
ACCT113 100 - TBD_x000D_
ENG115 100 - TBD</t>
  </si>
  <si>
    <t>4_x000D_
FIN400 100 - G, H_x000D_
ACCT114 100 - TBD_x000D_
ACCT115 100 - TBD_x000D_
ACCT116 100 - TBD_x000D_
ACCT117 100 - TBD_x000D_
ENG116 100 - TBD</t>
  </si>
  <si>
    <t>5_x000D_
ACCT118 100 - TBD_x000D_
ACCT119 100 - TBD_x000D_
ACCT120 100 - TBD_x000D_
ACCT121 100 - TBD_x000D_
ACCT122 100 - TBD_x000D_
ENG117 100 - TBD</t>
  </si>
  <si>
    <t>6_x000D_
FIN200 100 - C, D_x000D_
ACCT123 100 - TBD_x000D_
ACCT124 100 - TBD_x000D_
ACCT125 100 - TBD_x000D_
ACCT126 100 - TBD_x000D_
ENG118 100 - TBD</t>
  </si>
  <si>
    <t>7_x000D_
FIN300 100 - E, F_x000D_
FIN500 100 - I, J_x000D_
MGT100 100 - TBD_x000D_
MGT101 100 - TBD_x000D_
MGT102 100 - TBD_x000D_
ENG119 100 - TBD</t>
  </si>
  <si>
    <t>8_x000D_
MGT103 100 - TBD_x000D_
MGT104 100 - TBD_x000D_
MGT105 100 - TBD_x000D_
MGT106 100 - TBD_x000D_
MGT107 100 - TBD_x000D_
ENG120 100 - TBD</t>
  </si>
  <si>
    <t>9_x000D_
FIN200 300 - C, D_x000D_
FIN500 400 - I, J_x000D_
MGT108 100 - TBD_x000D_
MGT109 100 - TBD_x000D_
MGT110 100 - TBD_x000D_
ENG121 100 - TBD</t>
  </si>
  <si>
    <t>10_x000D_
FIN300 300 - E, F_x000D_
FIN500 200 - I, J_x000D_
MGT111 100 - TBD_x000D_
CIS100 100 - TBD_x000D_
CIS101 100 - TBD_x000D_
ENG122 100 - TBD</t>
  </si>
  <si>
    <t>11_x000D_
CIS102 100 - TBD_x000D_
CIS103 100 - TBD_x000D_
CIS104 100 - TBD_x000D_
CIS105 100 - TBD_x000D_
CIS106 100 - TBD_x000D_
ENG123 100 - TBD</t>
  </si>
  <si>
    <t>12_x000D_
FIN400 300 - G, H_x000D_
CIS107 100 - TBD_x000D_
CIS108 100 - TBD_x000D_
CIS109 100 - TBD_x000D_
CIS110 100 - TBD_x000D_
ENG124 100 - TBD</t>
  </si>
  <si>
    <t>13_x000D_
FIN300 200 - E, F_x000D_
CIS111 100 - TBD_x000D_
CIS112 100 - TBD_x000D_
CIS113 100 - TBD_x000D_
CIS114 100 - TBD</t>
  </si>
  <si>
    <t>14_x000D_
FIN100 300 - A, B_x000D_
FIN200 400 - C, D_x000D_
HIS100 100 - TBD_x000D_
HIS101 100 - TBD_x000D_
HIS102 100 - TBD</t>
  </si>
  <si>
    <t>15_x000D_
HIS103 100 - TBD_x000D_
HIS104 100 - TBD_x000D_
HIS105 100 - TBD_x000D_
HIS106 100 - TBD_x000D_
HIS107 100 - TBD</t>
  </si>
  <si>
    <t>16_x000D_
HIS108 100 - TBD_x000D_
HIS109 100 - TBD_x000D_
HIS110 100 - TBD_x000D_
HIS111 100 - TBD_x000D_
HIS112 100 - TBD</t>
  </si>
  <si>
    <t>17_x000D_
ENG100 100 - TBD_x000D_
ENG101 100 - TBD_x000D_
ENG102 100 - TBD_x000D_
ENG103 100 - TBD_x000D_
ENG104 100 - TBD</t>
  </si>
  <si>
    <t>18_x000D_
ENG105 100 - TBD_x000D_
ENG106 100 - TBD_x000D_
ENG107 100 - TBD_x000D_
ENG108 100 - TBD_x000D_
ENG109 100 - TBD</t>
  </si>
  <si>
    <t>19_x000D_
FIN100 200 - A, B_x000D_
FIN100 400 - A, B_x000D_
FIN200 200 - C, D_x000D_
FIN400 200 - G, H_x000D_
ENG110 100 - TBD</t>
  </si>
  <si>
    <t>20_x000D_
FIN300 400 - E, F_x000D_
FIN400 400 - G, H_x000D_
FIN500 300 - I, J_x000D_
ENG111 100 - TBD_x000D_
ENG112 100 - TBD</t>
  </si>
  <si>
    <t>21_x000D_
CS100 100 - K, L_x000D_
CS200 100 - K, L_x000D_
CS300 100 - K, L_x000D_
CS400 100 - K, L_x000D_
CS500 100 - M, N_x000D_
CS902 100 - O, P_x000D_
CS903 100 - O, P_x000D_
LIT100 100 - TBD_x000D_
LIT101 100 - TBD_x000D_
LIT102 100 - TBD_x000D_
LIT103 100 - TBD</t>
  </si>
  <si>
    <t>22_x000D_
LIT104 100 - TBD_x000D_
LIT105 100 - TBD_x000D_
LIT106 100 - TBD_x000D_
LIT107 100 - TBD_x000D_
LIT108 100 - TBD_x000D_
LIT109 100 - TBD_x000D_
LIT110 100 - TBD_x000D_
LIT111 100 - TBD_x000D_
LIT112 100 - TBD_x000D_
LIT113 100 - TBD_x000D_
LIT114 100 - TBD</t>
  </si>
  <si>
    <t>23_x000D_
CS700 100 - M, N_x000D_
HFD100 100 - TBD_x000D_
HFD101 100 - TBD_x000D_
HFD102 100 - TBD_x000D_
HFD103 100 - TBD_x000D_
HFD104 100 - TBD_x000D_
HFD105 100 - TBD_x000D_
HFD106 100 - TBD_x000D_
HFD107 100 - TBD_x000D_
HFD108 100 - TBD_x000D_
HFD109 100 - TBD</t>
  </si>
  <si>
    <t>24_x000D_
CS600 100 - M, N_x000D_
CS800 100 - M, N_x000D_
HFD110 100 - TBD_x000D_
HFD111 100 - TBD_x000D_
HFD112 100 - TBD_x000D_
HFD113 100 - TBD_x000D_
HFD114 100 - TBD_x000D_
HFD115 100 - TBD_x000D_
HFD116 100 - TBD_x000D_
HFD117 100 - TBD_x000D_
HFD118 100 - TBD</t>
  </si>
  <si>
    <t>25_x000D_
HFD119 100 - TBD_x000D_
HFD120 100 - TBD_x000D_
HFD121 100 - TBD_x000D_
HFD122 100 - TBD_x000D_
HFD123 100 - TBD_x000D_
HFD124 100 - TBD_x000D_
HFD125 100 - TBD_x000D_
HFD126 100 - TBD_x000D_
HFD127 100 - TBD_x000D_
HFD128 100 - TBD_x000D_
HFD129 100 - TBD</t>
  </si>
  <si>
    <t>26_x000D_
CS901 100 - O, P_x000D_
HFD130 100 - TBD_x000D_
HFD131 100 - TBD_x000D_
HFD132 100 - TBD_x000D_
HFD133 100 - TBD_x000D_
HFD134 100 - TBD_x000D_
HFD135 100 - TBD_x000D_
HFD136 100 - TBD_x000D_
HFD137 100 - TBD_x000D_
HFD138 100 - TBD_x000D_
HFD147 100 - TBD</t>
  </si>
  <si>
    <t>27_x000D_
CS900 100 - O, P_x000D_
HFD148 100 - TBD_x000D_
HFD149 100 - TBD_x000D_
HFD150 100 - TBD_x000D_
HFD151 100 - TBD_x000D_
HFD152 100 - TBD_x000D_
HFD153 100 - TBD_x000D_
HFD154 100 - TBD_x000D_
HFD175 100 - TBD_x000D_
HFD176 100 - TBD_x000D_
HFD177 100 - TBD</t>
  </si>
  <si>
    <t>28_x000D_
HFD178 100 - TBD_x000D_
HFD179 100 - TBD_x000D_
HFD180 100 - TBD_x000D_
HFD181 100 - TBD_x000D_
HFD182 100 - TBD_x000D_
HFD183 100 - TBD_x000D_
HFD184 100 - TBD_x000D_
HFD185 100 - TBD_x000D_
HFD186 100 - TBD_x000D_
HFD187 100 - 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</si>
</sst>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229225" y="190500"/>
              <a:ext cx="1371600" cy="70485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200" totalsRowShown="0" headerRowDxfId="20" dataDxfId="19">
  <autoFilter ref="A1:S200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ID]])&gt;1,"S","")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9" totalsRowShown="0" dataDxfId="27">
  <autoFilter ref="A1:F9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tabSelected="1" workbookViewId="0"/>
  </sheetViews>
  <sheetFormatPr defaultRowHeight="15" x14ac:dyDescent="0.25"/>
  <sheetData>
    <row r="1" spans="1:1" x14ac:dyDescent="0.25">
      <c r="A1" s="19" t="s">
        <v>73</v>
      </c>
    </row>
    <row r="2" spans="1:1" x14ac:dyDescent="0.25">
      <c r="A2" s="20" t="s">
        <v>64</v>
      </c>
    </row>
    <row r="3" spans="1:1" x14ac:dyDescent="0.25">
      <c r="A3" s="20" t="s">
        <v>72</v>
      </c>
    </row>
    <row r="4" spans="1:1" x14ac:dyDescent="0.25">
      <c r="A4" s="20" t="s">
        <v>65</v>
      </c>
    </row>
    <row r="5" spans="1:1" x14ac:dyDescent="0.25">
      <c r="A5" s="20" t="s">
        <v>66</v>
      </c>
    </row>
    <row r="6" spans="1:1" x14ac:dyDescent="0.25">
      <c r="A6" s="20" t="s">
        <v>68</v>
      </c>
    </row>
    <row r="7" spans="1:1" x14ac:dyDescent="0.25">
      <c r="A7" s="21" t="s">
        <v>67</v>
      </c>
    </row>
    <row r="8" spans="1:1" x14ac:dyDescent="0.25">
      <c r="A8" s="22" t="s">
        <v>74</v>
      </c>
    </row>
    <row r="9" spans="1:1" x14ac:dyDescent="0.25">
      <c r="A9" s="20" t="s">
        <v>69</v>
      </c>
    </row>
    <row r="10" spans="1:1" x14ac:dyDescent="0.25">
      <c r="A10" s="21" t="s">
        <v>67</v>
      </c>
    </row>
    <row r="11" spans="1:1" x14ac:dyDescent="0.25">
      <c r="A11" s="22" t="s">
        <v>75</v>
      </c>
    </row>
    <row r="12" spans="1:1" x14ac:dyDescent="0.25">
      <c r="A12" s="22" t="s">
        <v>70</v>
      </c>
    </row>
    <row r="13" spans="1:1" x14ac:dyDescent="0.25">
      <c r="A13" s="22" t="s">
        <v>71</v>
      </c>
    </row>
    <row r="14" spans="1:1" x14ac:dyDescent="0.25">
      <c r="A14" s="20" t="s">
        <v>86</v>
      </c>
    </row>
    <row r="15" spans="1:1" x14ac:dyDescent="0.25">
      <c r="A15" s="20" t="s">
        <v>87</v>
      </c>
    </row>
    <row r="16" spans="1:1" x14ac:dyDescent="0.25">
      <c r="A16" s="20" t="s">
        <v>88</v>
      </c>
    </row>
    <row r="17" spans="1:1" x14ac:dyDescent="0.25">
      <c r="A17" s="2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200"/>
  <sheetViews>
    <sheetView topLeftCell="D1" zoomScaleNormal="100" zoomScalePageLayoutView="115" workbookViewId="0">
      <pane ySplit="1" topLeftCell="A2" activePane="bottomLeft" state="frozen"/>
      <selection activeCell="F22" sqref="F22"/>
      <selection pane="bottomLeft" activeCell="R192" sqref="R192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5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43</v>
      </c>
      <c r="J1" s="6" t="s">
        <v>44</v>
      </c>
      <c r="K1" s="6" t="s">
        <v>45</v>
      </c>
      <c r="L1" s="6" t="s">
        <v>46</v>
      </c>
      <c r="M1" s="6" t="s">
        <v>47</v>
      </c>
      <c r="N1" s="6" t="s">
        <v>48</v>
      </c>
      <c r="O1" s="6" t="s">
        <v>49</v>
      </c>
      <c r="P1" s="6" t="s">
        <v>50</v>
      </c>
      <c r="Q1" t="s">
        <v>59</v>
      </c>
      <c r="R1" t="s">
        <v>60</v>
      </c>
      <c r="S1" s="10" t="s">
        <v>37</v>
      </c>
      <c r="Z1"/>
      <c r="AA1"/>
      <c r="AB1"/>
    </row>
    <row r="2" spans="1:28" x14ac:dyDescent="0.25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1</v>
      </c>
      <c r="S2" s="8" t="s">
        <v>10</v>
      </c>
      <c r="Z2" s="18"/>
      <c r="AA2"/>
      <c r="AB2"/>
    </row>
    <row r="3" spans="1:28" x14ac:dyDescent="0.25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19</v>
      </c>
      <c r="S3" s="8" t="s">
        <v>10</v>
      </c>
      <c r="Z3" s="18"/>
      <c r="AA3"/>
      <c r="AB3"/>
    </row>
    <row r="4" spans="1:28" x14ac:dyDescent="0.25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14</v>
      </c>
      <c r="S4" s="8" t="s">
        <v>10</v>
      </c>
      <c r="Z4" s="18"/>
      <c r="AA4"/>
      <c r="AB4"/>
    </row>
    <row r="5" spans="1:28" x14ac:dyDescent="0.25">
      <c r="A5" s="9" t="b">
        <f t="shared" si="0"/>
        <v>0</v>
      </c>
      <c r="B5" s="9" t="b">
        <f t="shared" si="1"/>
        <v>0</v>
      </c>
      <c r="C5" s="8" t="str">
        <f t="shared" si="2"/>
        <v>FIN100 400</v>
      </c>
      <c r="D5" s="13" t="s">
        <v>33</v>
      </c>
      <c r="E5" s="13">
        <v>400</v>
      </c>
      <c r="F5" s="14" t="s">
        <v>15</v>
      </c>
      <c r="G5" s="14"/>
      <c r="H5" s="9" t="str">
        <f>IF(COUNTIF(Course[Course ID],Course[[#This Row],[Course ID]])&gt;1,"S","")</f>
        <v>S</v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19</v>
      </c>
      <c r="S5" s="8" t="s">
        <v>10</v>
      </c>
      <c r="Z5"/>
      <c r="AA5"/>
      <c r="AB5"/>
    </row>
    <row r="6" spans="1:28" x14ac:dyDescent="0.25">
      <c r="A6" s="9" t="b">
        <f t="shared" si="0"/>
        <v>0</v>
      </c>
      <c r="B6" s="9" t="b">
        <f t="shared" si="1"/>
        <v>0</v>
      </c>
      <c r="C6" s="8" t="str">
        <f t="shared" si="2"/>
        <v>FIN200 100</v>
      </c>
      <c r="D6" s="13" t="s">
        <v>34</v>
      </c>
      <c r="E6" s="13">
        <v>100</v>
      </c>
      <c r="F6" s="14" t="s">
        <v>15</v>
      </c>
      <c r="G6" s="14"/>
      <c r="H6" s="9" t="str">
        <f>IF(COUNTIF(Course[Course ID],Course[[#This Row],[Course ID]])&gt;1,"S","")</f>
        <v>S</v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6</v>
      </c>
      <c r="S6" s="8" t="s">
        <v>11</v>
      </c>
      <c r="Z6"/>
      <c r="AA6"/>
      <c r="AB6"/>
    </row>
    <row r="7" spans="1:28" x14ac:dyDescent="0.25">
      <c r="A7" s="9" t="b">
        <f t="shared" si="0"/>
        <v>0</v>
      </c>
      <c r="B7" s="9" t="b">
        <f t="shared" si="1"/>
        <v>0</v>
      </c>
      <c r="C7" s="8" t="str">
        <f t="shared" si="2"/>
        <v>FIN200 200</v>
      </c>
      <c r="D7" s="13" t="s">
        <v>34</v>
      </c>
      <c r="E7" s="13">
        <v>200</v>
      </c>
      <c r="F7" s="14" t="s">
        <v>15</v>
      </c>
      <c r="G7" s="14"/>
      <c r="H7" s="9" t="str">
        <f>IF(COUNTIF(Course[Course ID],Course[[#This Row],[Course ID]])&gt;1,"S","")</f>
        <v>S</v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19</v>
      </c>
      <c r="S7" s="8" t="s">
        <v>11</v>
      </c>
      <c r="Z7"/>
      <c r="AA7"/>
      <c r="AB7"/>
    </row>
    <row r="8" spans="1:28" s="3" customFormat="1" x14ac:dyDescent="0.25">
      <c r="A8" s="11" t="b">
        <f t="shared" si="0"/>
        <v>0</v>
      </c>
      <c r="B8" s="11" t="b">
        <f t="shared" si="1"/>
        <v>0</v>
      </c>
      <c r="C8" s="12" t="str">
        <f>CONCATENATE(D8," ",E8)</f>
        <v>FIN200 300</v>
      </c>
      <c r="D8" s="15" t="s">
        <v>34</v>
      </c>
      <c r="E8" s="15">
        <v>300</v>
      </c>
      <c r="F8" s="16" t="s">
        <v>15</v>
      </c>
      <c r="G8" s="16"/>
      <c r="H8" s="11" t="str">
        <f>IF(COUNTIF(Course[Course ID],Course[[#This Row],[Course ID]])&gt;1,"S","")</f>
        <v>S</v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9</v>
      </c>
      <c r="S8" s="12" t="s">
        <v>11</v>
      </c>
      <c r="Z8"/>
      <c r="AA8"/>
      <c r="AB8"/>
    </row>
    <row r="9" spans="1:28" s="3" customFormat="1" x14ac:dyDescent="0.25">
      <c r="A9" s="39" t="b">
        <f>IF(F9="G", TRUE,FALSE)</f>
        <v>0</v>
      </c>
      <c r="B9" s="39" t="b">
        <f>IF(ISBLANK(G9),FALSE,TRUE)</f>
        <v>0</v>
      </c>
      <c r="C9" s="12" t="str">
        <f>CONCATENATE(D9," ",E9)</f>
        <v>FIN200 400</v>
      </c>
      <c r="D9" s="15" t="s">
        <v>34</v>
      </c>
      <c r="E9" s="15">
        <v>400</v>
      </c>
      <c r="F9" s="16" t="s">
        <v>15</v>
      </c>
      <c r="G9" s="16"/>
      <c r="H9" s="39" t="str">
        <f>IF(COUNTIF(Course[Course ID],Course[[#This Row],[Course ID]])&gt;1,"S","")</f>
        <v>S</v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14</v>
      </c>
      <c r="S9" s="12" t="s">
        <v>11</v>
      </c>
      <c r="Z9"/>
      <c r="AA9"/>
      <c r="AB9"/>
    </row>
    <row r="10" spans="1:28" x14ac:dyDescent="0.25">
      <c r="A10" s="40" t="b">
        <f>IF(F10="G", TRUE,FALSE)</f>
        <v>0</v>
      </c>
      <c r="B10" s="40" t="b">
        <f>IF(ISBLANK(G10),FALSE,TRUE)</f>
        <v>1</v>
      </c>
      <c r="C10" s="8" t="str">
        <f>CONCATENATE(D10," ",E10)</f>
        <v>FIN300 100</v>
      </c>
      <c r="D10" s="13" t="s">
        <v>52</v>
      </c>
      <c r="E10" s="13">
        <v>100</v>
      </c>
      <c r="F10" s="14" t="s">
        <v>15</v>
      </c>
      <c r="G10" s="14" t="s">
        <v>33</v>
      </c>
      <c r="H10" s="40" t="str">
        <f>IF(COUNTIF(Course[Course ID],Course[[#This Row],[Course ID]])&gt;1,"S","")</f>
        <v>S</v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7</v>
      </c>
      <c r="S10" s="8" t="s">
        <v>12</v>
      </c>
      <c r="Z10"/>
      <c r="AA10"/>
      <c r="AB10"/>
    </row>
    <row r="11" spans="1:28" s="3" customFormat="1" x14ac:dyDescent="0.25">
      <c r="A11" s="39" t="b">
        <f t="shared" ref="A11:A33" si="3">IF(F11="G", TRUE,FALSE)</f>
        <v>0</v>
      </c>
      <c r="B11" s="39" t="b">
        <f t="shared" ref="B11:B33" si="4">IF(ISBLANK(G11),FALSE,TRUE)</f>
        <v>1</v>
      </c>
      <c r="C11" s="12" t="str">
        <f t="shared" ref="C11:C33" si="5">CONCATENATE(D11," ",E11)</f>
        <v>FIN300 200</v>
      </c>
      <c r="D11" s="15" t="s">
        <v>52</v>
      </c>
      <c r="E11" s="15">
        <v>200</v>
      </c>
      <c r="F11" s="16" t="s">
        <v>15</v>
      </c>
      <c r="G11" s="16" t="s">
        <v>33</v>
      </c>
      <c r="H11" s="39" t="str">
        <f>IF(COUNTIF(Course[Course ID],Course[[#This Row],[Course ID]])&gt;1,"S","")</f>
        <v>S</v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13</v>
      </c>
      <c r="S11" s="12" t="s">
        <v>12</v>
      </c>
      <c r="Z11"/>
      <c r="AA11"/>
      <c r="AB11"/>
    </row>
    <row r="12" spans="1:28" s="3" customFormat="1" x14ac:dyDescent="0.25">
      <c r="A12" s="39" t="b">
        <f t="shared" si="3"/>
        <v>0</v>
      </c>
      <c r="B12" s="39" t="b">
        <f t="shared" si="4"/>
        <v>1</v>
      </c>
      <c r="C12" s="12" t="str">
        <f t="shared" si="5"/>
        <v>FIN300 300</v>
      </c>
      <c r="D12" s="15" t="s">
        <v>52</v>
      </c>
      <c r="E12" s="15">
        <v>300</v>
      </c>
      <c r="F12" s="16" t="s">
        <v>15</v>
      </c>
      <c r="G12" s="16" t="s">
        <v>33</v>
      </c>
      <c r="H12" s="39" t="str">
        <f>IF(COUNTIF(Course[Course ID],Course[[#This Row],[Course ID]])&gt;1,"S","")</f>
        <v>S</v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10</v>
      </c>
      <c r="S12" s="12" t="s">
        <v>12</v>
      </c>
      <c r="Z12"/>
      <c r="AA12"/>
      <c r="AB12"/>
    </row>
    <row r="13" spans="1:28" x14ac:dyDescent="0.25">
      <c r="A13" s="40" t="b">
        <f t="shared" si="3"/>
        <v>0</v>
      </c>
      <c r="B13" s="40" t="b">
        <f t="shared" si="4"/>
        <v>1</v>
      </c>
      <c r="C13" s="8" t="str">
        <f t="shared" si="5"/>
        <v>FIN300 400</v>
      </c>
      <c r="D13" s="13" t="s">
        <v>52</v>
      </c>
      <c r="E13" s="13">
        <v>400</v>
      </c>
      <c r="F13" s="14" t="s">
        <v>15</v>
      </c>
      <c r="G13" s="14" t="s">
        <v>33</v>
      </c>
      <c r="H13" s="40" t="str">
        <f>IF(COUNTIF(Course[Course ID],Course[[#This Row],[Course ID]])&gt;1,"S","")</f>
        <v>S</v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20</v>
      </c>
      <c r="S13" s="8" t="s">
        <v>12</v>
      </c>
      <c r="Z13"/>
      <c r="AA13"/>
      <c r="AB13"/>
    </row>
    <row r="14" spans="1:28" x14ac:dyDescent="0.25">
      <c r="A14" s="40" t="b">
        <f t="shared" si="3"/>
        <v>0</v>
      </c>
      <c r="B14" s="40" t="b">
        <f t="shared" si="4"/>
        <v>0</v>
      </c>
      <c r="C14" s="8" t="str">
        <f t="shared" si="5"/>
        <v>FIN400 100</v>
      </c>
      <c r="D14" s="13" t="s">
        <v>90</v>
      </c>
      <c r="E14" s="13">
        <v>100</v>
      </c>
      <c r="F14" s="14" t="s">
        <v>15</v>
      </c>
      <c r="G14" s="14"/>
      <c r="H14" s="40" t="str">
        <f>IF(COUNTIF(Course[Course ID],Course[[#This Row],[Course ID]])&gt;1,"S","")</f>
        <v>S</v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4</v>
      </c>
      <c r="S14" s="8" t="s">
        <v>93</v>
      </c>
      <c r="Z14"/>
      <c r="AA14"/>
      <c r="AB14"/>
    </row>
    <row r="15" spans="1:28" s="3" customFormat="1" x14ac:dyDescent="0.25">
      <c r="A15" s="39" t="b">
        <f t="shared" si="3"/>
        <v>0</v>
      </c>
      <c r="B15" s="39" t="b">
        <f t="shared" si="4"/>
        <v>0</v>
      </c>
      <c r="C15" s="12" t="str">
        <f t="shared" si="5"/>
        <v>FIN400 200</v>
      </c>
      <c r="D15" s="15" t="s">
        <v>90</v>
      </c>
      <c r="E15" s="15">
        <v>200</v>
      </c>
      <c r="F15" s="16" t="s">
        <v>15</v>
      </c>
      <c r="G15" s="16"/>
      <c r="H15" s="39" t="str">
        <f>IF(COUNTIF(Course[Course ID],Course[[#This Row],[Course ID]])&gt;1,"S","")</f>
        <v>S</v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19</v>
      </c>
      <c r="S15" s="12" t="s">
        <v>93</v>
      </c>
      <c r="Z15"/>
      <c r="AA15"/>
      <c r="AB15"/>
    </row>
    <row r="16" spans="1:28" s="3" customFormat="1" x14ac:dyDescent="0.25">
      <c r="A16" s="39" t="b">
        <f t="shared" si="3"/>
        <v>0</v>
      </c>
      <c r="B16" s="39" t="b">
        <f t="shared" si="4"/>
        <v>0</v>
      </c>
      <c r="C16" s="12" t="str">
        <f t="shared" si="5"/>
        <v>FIN400 300</v>
      </c>
      <c r="D16" s="15" t="s">
        <v>90</v>
      </c>
      <c r="E16" s="15">
        <v>300</v>
      </c>
      <c r="F16" s="16" t="s">
        <v>15</v>
      </c>
      <c r="G16" s="16"/>
      <c r="H16" s="39" t="str">
        <f>IF(COUNTIF(Course[Course ID],Course[[#This Row],[Course ID]])&gt;1,"S","")</f>
        <v>S</v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12</v>
      </c>
      <c r="S16" s="12" t="s">
        <v>93</v>
      </c>
      <c r="Z16"/>
      <c r="AA16"/>
      <c r="AB16"/>
    </row>
    <row r="17" spans="1:28" x14ac:dyDescent="0.25">
      <c r="A17" s="40" t="b">
        <f t="shared" si="3"/>
        <v>0</v>
      </c>
      <c r="B17" s="40" t="b">
        <f t="shared" si="4"/>
        <v>0</v>
      </c>
      <c r="C17" s="8" t="str">
        <f t="shared" si="5"/>
        <v>FIN400 400</v>
      </c>
      <c r="D17" s="13" t="s">
        <v>90</v>
      </c>
      <c r="E17" s="13">
        <v>400</v>
      </c>
      <c r="F17" s="14" t="s">
        <v>15</v>
      </c>
      <c r="G17" s="14"/>
      <c r="H17" s="40" t="str">
        <f>IF(COUNTIF(Course[Course ID],Course[[#This Row],[Course ID]])&gt;1,"S","")</f>
        <v>S</v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20</v>
      </c>
      <c r="S17" s="8" t="s">
        <v>93</v>
      </c>
      <c r="Z17"/>
      <c r="AA17"/>
      <c r="AB17"/>
    </row>
    <row r="18" spans="1:28" x14ac:dyDescent="0.25">
      <c r="A18" s="40" t="b">
        <f t="shared" si="3"/>
        <v>0</v>
      </c>
      <c r="B18" s="40" t="b">
        <f t="shared" si="4"/>
        <v>1</v>
      </c>
      <c r="C18" s="8" t="str">
        <f t="shared" si="5"/>
        <v>FIN500 100</v>
      </c>
      <c r="D18" s="13" t="s">
        <v>92</v>
      </c>
      <c r="E18" s="13">
        <v>100</v>
      </c>
      <c r="F18" s="14" t="s">
        <v>15</v>
      </c>
      <c r="G18" s="14" t="s">
        <v>52</v>
      </c>
      <c r="H18" s="40" t="str">
        <f>IF(COUNTIF(Course[Course ID],Course[[#This Row],[Course ID]])&gt;1,"S","")</f>
        <v>S</v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7</v>
      </c>
      <c r="S18" s="8" t="s">
        <v>117</v>
      </c>
      <c r="Z18"/>
      <c r="AA18"/>
      <c r="AB18"/>
    </row>
    <row r="19" spans="1:28" x14ac:dyDescent="0.25">
      <c r="A19" s="40" t="b">
        <f t="shared" si="3"/>
        <v>0</v>
      </c>
      <c r="B19" s="40" t="b">
        <f t="shared" si="4"/>
        <v>1</v>
      </c>
      <c r="C19" s="8" t="str">
        <f t="shared" si="5"/>
        <v>FIN500 200</v>
      </c>
      <c r="D19" s="13" t="s">
        <v>92</v>
      </c>
      <c r="E19" s="13">
        <v>200</v>
      </c>
      <c r="F19" s="14" t="s">
        <v>15</v>
      </c>
      <c r="G19" s="14" t="s">
        <v>52</v>
      </c>
      <c r="H19" s="40" t="str">
        <f>IF(COUNTIF(Course[Course ID],Course[[#This Row],[Course ID]])&gt;1,"S","")</f>
        <v>S</v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10</v>
      </c>
      <c r="S19" s="8" t="s">
        <v>117</v>
      </c>
    </row>
    <row r="20" spans="1:28" x14ac:dyDescent="0.25">
      <c r="A20" s="40" t="b">
        <f t="shared" si="3"/>
        <v>0</v>
      </c>
      <c r="B20" s="40" t="b">
        <f t="shared" si="4"/>
        <v>1</v>
      </c>
      <c r="C20" s="8" t="str">
        <f t="shared" si="5"/>
        <v>FIN500 300</v>
      </c>
      <c r="D20" s="13" t="s">
        <v>92</v>
      </c>
      <c r="E20" s="13">
        <v>300</v>
      </c>
      <c r="F20" s="14" t="s">
        <v>15</v>
      </c>
      <c r="G20" s="14" t="s">
        <v>52</v>
      </c>
      <c r="H20" s="40" t="str">
        <f>IF(COUNTIF(Course[Course ID],Course[[#This Row],[Course ID]])&gt;1,"S","")</f>
        <v>S</v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20</v>
      </c>
      <c r="S20" s="8" t="s">
        <v>117</v>
      </c>
    </row>
    <row r="21" spans="1:28" x14ac:dyDescent="0.25">
      <c r="A21" s="40" t="b">
        <f t="shared" si="3"/>
        <v>0</v>
      </c>
      <c r="B21" s="40" t="b">
        <f t="shared" si="4"/>
        <v>1</v>
      </c>
      <c r="C21" s="8" t="str">
        <f t="shared" si="5"/>
        <v>FIN500 400</v>
      </c>
      <c r="D21" s="13" t="s">
        <v>92</v>
      </c>
      <c r="E21" s="13">
        <v>400</v>
      </c>
      <c r="F21" s="14" t="s">
        <v>15</v>
      </c>
      <c r="G21" s="14" t="s">
        <v>52</v>
      </c>
      <c r="H21" s="40" t="str">
        <f>IF(COUNTIF(Course[Course ID],Course[[#This Row],[Course ID]])&gt;1,"S","")</f>
        <v>S</v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9</v>
      </c>
      <c r="S21" s="8" t="s">
        <v>117</v>
      </c>
    </row>
    <row r="22" spans="1:28" x14ac:dyDescent="0.25">
      <c r="A22" s="40" t="b">
        <f t="shared" si="3"/>
        <v>1</v>
      </c>
      <c r="B22" s="40" t="b">
        <f t="shared" si="4"/>
        <v>0</v>
      </c>
      <c r="C22" s="8" t="str">
        <f t="shared" si="5"/>
        <v>CS100 100</v>
      </c>
      <c r="D22" s="13" t="s">
        <v>95</v>
      </c>
      <c r="E22" s="13">
        <v>100</v>
      </c>
      <c r="F22" s="14" t="s">
        <v>16</v>
      </c>
      <c r="G22" s="14"/>
      <c r="H22" s="40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21</v>
      </c>
      <c r="S22" s="8" t="s">
        <v>121</v>
      </c>
    </row>
    <row r="23" spans="1:28" x14ac:dyDescent="0.25">
      <c r="A23" s="40" t="b">
        <f t="shared" si="3"/>
        <v>1</v>
      </c>
      <c r="B23" s="40" t="b">
        <f t="shared" si="4"/>
        <v>0</v>
      </c>
      <c r="C23" s="8" t="str">
        <f t="shared" si="5"/>
        <v>CS200 100</v>
      </c>
      <c r="D23" s="13" t="s">
        <v>96</v>
      </c>
      <c r="E23" s="13">
        <v>100</v>
      </c>
      <c r="F23" s="14" t="s">
        <v>16</v>
      </c>
      <c r="G23" s="14"/>
      <c r="H23" s="40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21</v>
      </c>
      <c r="S23" s="8" t="s">
        <v>121</v>
      </c>
    </row>
    <row r="24" spans="1:28" x14ac:dyDescent="0.25">
      <c r="A24" s="40" t="b">
        <f t="shared" si="3"/>
        <v>1</v>
      </c>
      <c r="B24" s="40" t="b">
        <f t="shared" si="4"/>
        <v>0</v>
      </c>
      <c r="C24" s="8" t="str">
        <f t="shared" si="5"/>
        <v>CS300 100</v>
      </c>
      <c r="D24" s="13" t="s">
        <v>97</v>
      </c>
      <c r="E24" s="13">
        <v>100</v>
      </c>
      <c r="F24" s="14" t="s">
        <v>16</v>
      </c>
      <c r="G24" s="14"/>
      <c r="H24" s="40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21</v>
      </c>
      <c r="S24" s="8" t="s">
        <v>121</v>
      </c>
    </row>
    <row r="25" spans="1:28" x14ac:dyDescent="0.25">
      <c r="A25" s="40" t="b">
        <f t="shared" si="3"/>
        <v>1</v>
      </c>
      <c r="B25" s="40" t="b">
        <f t="shared" si="4"/>
        <v>0</v>
      </c>
      <c r="C25" s="8" t="str">
        <f t="shared" si="5"/>
        <v>CS400 100</v>
      </c>
      <c r="D25" s="13" t="s">
        <v>98</v>
      </c>
      <c r="E25" s="13">
        <v>100</v>
      </c>
      <c r="F25" s="14" t="s">
        <v>16</v>
      </c>
      <c r="G25" s="14"/>
      <c r="H25" s="40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21</v>
      </c>
      <c r="S25" s="8" t="s">
        <v>121</v>
      </c>
    </row>
    <row r="26" spans="1:28" x14ac:dyDescent="0.25">
      <c r="A26" s="40" t="b">
        <f t="shared" si="3"/>
        <v>1</v>
      </c>
      <c r="B26" s="40" t="b">
        <f t="shared" si="4"/>
        <v>0</v>
      </c>
      <c r="C26" s="8" t="str">
        <f t="shared" si="5"/>
        <v>CS500 100</v>
      </c>
      <c r="D26" s="13" t="s">
        <v>99</v>
      </c>
      <c r="E26" s="13">
        <v>100</v>
      </c>
      <c r="F26" s="14" t="s">
        <v>16</v>
      </c>
      <c r="G26" s="14"/>
      <c r="H26" s="40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21</v>
      </c>
      <c r="S26" s="8" t="s">
        <v>126</v>
      </c>
    </row>
    <row r="27" spans="1:28" x14ac:dyDescent="0.25">
      <c r="A27" s="40" t="b">
        <f t="shared" si="3"/>
        <v>1</v>
      </c>
      <c r="B27" s="40" t="b">
        <f t="shared" si="4"/>
        <v>0</v>
      </c>
      <c r="C27" s="8" t="str">
        <f t="shared" si="5"/>
        <v>CS600 100</v>
      </c>
      <c r="D27" s="13" t="s">
        <v>100</v>
      </c>
      <c r="E27" s="13">
        <v>100</v>
      </c>
      <c r="F27" s="14" t="s">
        <v>16</v>
      </c>
      <c r="G27" s="14"/>
      <c r="H27" s="40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24</v>
      </c>
      <c r="S27" s="8" t="s">
        <v>126</v>
      </c>
    </row>
    <row r="28" spans="1:28" x14ac:dyDescent="0.25">
      <c r="A28" s="40" t="b">
        <f t="shared" si="3"/>
        <v>1</v>
      </c>
      <c r="B28" s="40" t="b">
        <f t="shared" si="4"/>
        <v>1</v>
      </c>
      <c r="C28" s="8" t="str">
        <f t="shared" si="5"/>
        <v>CS700 100</v>
      </c>
      <c r="D28" s="13" t="s">
        <v>101</v>
      </c>
      <c r="E28" s="13">
        <v>100</v>
      </c>
      <c r="F28" s="14" t="s">
        <v>16</v>
      </c>
      <c r="G28" s="14" t="s">
        <v>100</v>
      </c>
      <c r="H28" s="40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23</v>
      </c>
      <c r="S28" s="8" t="s">
        <v>126</v>
      </c>
    </row>
    <row r="29" spans="1:28" x14ac:dyDescent="0.25">
      <c r="A29" s="40" t="b">
        <f t="shared" si="3"/>
        <v>1</v>
      </c>
      <c r="B29" s="40" t="b">
        <f t="shared" si="4"/>
        <v>1</v>
      </c>
      <c r="C29" s="8" t="str">
        <f t="shared" si="5"/>
        <v>CS800 100</v>
      </c>
      <c r="D29" s="13" t="s">
        <v>102</v>
      </c>
      <c r="E29" s="13">
        <v>100</v>
      </c>
      <c r="F29" s="14" t="s">
        <v>16</v>
      </c>
      <c r="G29" s="14" t="s">
        <v>100</v>
      </c>
      <c r="H29" s="40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24</v>
      </c>
      <c r="S29" s="8" t="s">
        <v>126</v>
      </c>
    </row>
    <row r="30" spans="1:28" x14ac:dyDescent="0.25">
      <c r="A30" s="40" t="b">
        <f t="shared" si="3"/>
        <v>1</v>
      </c>
      <c r="B30" s="40" t="b">
        <f t="shared" si="4"/>
        <v>1</v>
      </c>
      <c r="C30" s="8" t="str">
        <f t="shared" si="5"/>
        <v>CS900 100</v>
      </c>
      <c r="D30" s="13" t="s">
        <v>103</v>
      </c>
      <c r="E30" s="13">
        <v>100</v>
      </c>
      <c r="F30" s="14" t="s">
        <v>16</v>
      </c>
      <c r="G30" s="14" t="s">
        <v>100</v>
      </c>
      <c r="H30" s="40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27</v>
      </c>
      <c r="S30" s="8" t="s">
        <v>131</v>
      </c>
    </row>
    <row r="31" spans="1:28" x14ac:dyDescent="0.25">
      <c r="A31" s="40" t="b">
        <f t="shared" si="3"/>
        <v>1</v>
      </c>
      <c r="B31" s="40" t="b">
        <f t="shared" si="4"/>
        <v>1</v>
      </c>
      <c r="C31" s="8" t="str">
        <f t="shared" si="5"/>
        <v>CS901 100</v>
      </c>
      <c r="D31" s="13" t="s">
        <v>104</v>
      </c>
      <c r="E31" s="13">
        <v>100</v>
      </c>
      <c r="F31" s="14" t="s">
        <v>16</v>
      </c>
      <c r="G31" s="14" t="s">
        <v>100</v>
      </c>
      <c r="H31" s="40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26</v>
      </c>
      <c r="S31" s="8" t="s">
        <v>131</v>
      </c>
    </row>
    <row r="32" spans="1:28" x14ac:dyDescent="0.25">
      <c r="A32" s="40" t="b">
        <f t="shared" si="3"/>
        <v>1</v>
      </c>
      <c r="B32" s="40" t="b">
        <f t="shared" si="4"/>
        <v>0</v>
      </c>
      <c r="C32" s="8" t="str">
        <f t="shared" si="5"/>
        <v>CS902 100</v>
      </c>
      <c r="D32" s="13" t="s">
        <v>105</v>
      </c>
      <c r="E32" s="13">
        <v>100</v>
      </c>
      <c r="F32" s="14" t="s">
        <v>16</v>
      </c>
      <c r="G32" s="14"/>
      <c r="H32" s="40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21</v>
      </c>
      <c r="S32" s="8" t="s">
        <v>131</v>
      </c>
    </row>
    <row r="33" spans="1:19" x14ac:dyDescent="0.25">
      <c r="A33" s="40" t="b">
        <f t="shared" si="3"/>
        <v>1</v>
      </c>
      <c r="B33" s="40" t="b">
        <f t="shared" si="4"/>
        <v>0</v>
      </c>
      <c r="C33" s="8" t="str">
        <f t="shared" si="5"/>
        <v>CS903 100</v>
      </c>
      <c r="D33" s="13" t="s">
        <v>106</v>
      </c>
      <c r="E33" s="13">
        <v>100</v>
      </c>
      <c r="F33" s="14" t="s">
        <v>16</v>
      </c>
      <c r="G33" s="14"/>
      <c r="H33" s="40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21</v>
      </c>
      <c r="S33" s="8" t="s">
        <v>131</v>
      </c>
    </row>
    <row r="34" spans="1:19" x14ac:dyDescent="0.25">
      <c r="A34" s="40" t="b">
        <f>IF(F34="G", TRUE,FALSE)</f>
        <v>0</v>
      </c>
      <c r="B34" s="40" t="b">
        <f>IF(ISBLANK(G34),FALSE,TRUE)</f>
        <v>0</v>
      </c>
      <c r="C34" s="8" t="str">
        <f>CONCATENATE(D34," ",E34)</f>
        <v>ACCT100 100</v>
      </c>
      <c r="D34" s="13" t="s">
        <v>136</v>
      </c>
      <c r="E34" s="13">
        <v>100</v>
      </c>
      <c r="F34" s="14" t="s">
        <v>15</v>
      </c>
      <c r="G34" s="14"/>
      <c r="H34" s="40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1</v>
      </c>
      <c r="S34" s="8" t="s">
        <v>203</v>
      </c>
    </row>
    <row r="35" spans="1:19" x14ac:dyDescent="0.25">
      <c r="A35" s="40" t="b">
        <f t="shared" ref="A35:A66" si="6">IF(F35="G", TRUE,FALSE)</f>
        <v>0</v>
      </c>
      <c r="B35" s="40" t="b">
        <f t="shared" ref="B35:B66" si="7">IF(ISBLANK(G35),FALSE,TRUE)</f>
        <v>0</v>
      </c>
      <c r="C35" s="8" t="str">
        <f t="shared" ref="C35:C66" si="8">CONCATENATE(D35," ",E35)</f>
        <v>ACCT101 100</v>
      </c>
      <c r="D35" s="13" t="s">
        <v>137</v>
      </c>
      <c r="E35" s="13">
        <v>100</v>
      </c>
      <c r="F35" s="14" t="s">
        <v>15</v>
      </c>
      <c r="G35" s="14"/>
      <c r="H35" s="40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1</v>
      </c>
      <c r="S35" s="8" t="s">
        <v>203</v>
      </c>
    </row>
    <row r="36" spans="1:19" x14ac:dyDescent="0.25">
      <c r="A36" s="40" t="b">
        <f t="shared" si="6"/>
        <v>0</v>
      </c>
      <c r="B36" s="40" t="b">
        <f t="shared" si="7"/>
        <v>0</v>
      </c>
      <c r="C36" s="8" t="str">
        <f t="shared" si="8"/>
        <v>ACCT102 100</v>
      </c>
      <c r="D36" s="13" t="s">
        <v>138</v>
      </c>
      <c r="E36" s="13">
        <v>100</v>
      </c>
      <c r="F36" s="14" t="s">
        <v>15</v>
      </c>
      <c r="G36" s="14"/>
      <c r="H36" s="40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1</v>
      </c>
      <c r="S36" s="8" t="s">
        <v>203</v>
      </c>
    </row>
    <row r="37" spans="1:19" x14ac:dyDescent="0.25">
      <c r="A37" s="40" t="b">
        <f t="shared" si="6"/>
        <v>0</v>
      </c>
      <c r="B37" s="40" t="b">
        <f t="shared" si="7"/>
        <v>0</v>
      </c>
      <c r="C37" s="8" t="str">
        <f t="shared" si="8"/>
        <v>ACCT103 100</v>
      </c>
      <c r="D37" s="13" t="s">
        <v>139</v>
      </c>
      <c r="E37" s="13">
        <v>100</v>
      </c>
      <c r="F37" s="14" t="s">
        <v>15</v>
      </c>
      <c r="G37" s="14"/>
      <c r="H37" s="40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1</v>
      </c>
      <c r="S37" s="8" t="s">
        <v>203</v>
      </c>
    </row>
    <row r="38" spans="1:19" x14ac:dyDescent="0.25">
      <c r="A38" s="40" t="b">
        <f t="shared" si="6"/>
        <v>0</v>
      </c>
      <c r="B38" s="40" t="b">
        <f t="shared" si="7"/>
        <v>0</v>
      </c>
      <c r="C38" s="8" t="str">
        <f t="shared" si="8"/>
        <v>ACCT104 100</v>
      </c>
      <c r="D38" s="13" t="s">
        <v>140</v>
      </c>
      <c r="E38" s="13">
        <v>100</v>
      </c>
      <c r="F38" s="14" t="s">
        <v>15</v>
      </c>
      <c r="G38" s="14"/>
      <c r="H38" s="40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2</v>
      </c>
      <c r="S38" s="8" t="s">
        <v>203</v>
      </c>
    </row>
    <row r="39" spans="1:19" x14ac:dyDescent="0.25">
      <c r="A39" s="40" t="b">
        <f t="shared" si="6"/>
        <v>0</v>
      </c>
      <c r="B39" s="40" t="b">
        <f t="shared" si="7"/>
        <v>0</v>
      </c>
      <c r="C39" s="8" t="str">
        <f t="shared" si="8"/>
        <v>ACCT105 100</v>
      </c>
      <c r="D39" s="13" t="s">
        <v>141</v>
      </c>
      <c r="E39" s="13">
        <v>100</v>
      </c>
      <c r="F39" s="14" t="s">
        <v>15</v>
      </c>
      <c r="G39" s="14"/>
      <c r="H39" s="40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2</v>
      </c>
      <c r="S39" s="8" t="s">
        <v>203</v>
      </c>
    </row>
    <row r="40" spans="1:19" x14ac:dyDescent="0.25">
      <c r="A40" s="40" t="b">
        <f t="shared" si="6"/>
        <v>0</v>
      </c>
      <c r="B40" s="40" t="b">
        <f t="shared" si="7"/>
        <v>0</v>
      </c>
      <c r="C40" s="8" t="str">
        <f t="shared" si="8"/>
        <v>ACCT106 100</v>
      </c>
      <c r="D40" s="13" t="s">
        <v>142</v>
      </c>
      <c r="E40" s="13">
        <v>100</v>
      </c>
      <c r="F40" s="14" t="s">
        <v>15</v>
      </c>
      <c r="G40" s="14"/>
      <c r="H40" s="40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2</v>
      </c>
      <c r="S40" s="8" t="s">
        <v>203</v>
      </c>
    </row>
    <row r="41" spans="1:19" x14ac:dyDescent="0.25">
      <c r="A41" s="40" t="b">
        <f t="shared" si="6"/>
        <v>0</v>
      </c>
      <c r="B41" s="40" t="b">
        <f t="shared" si="7"/>
        <v>0</v>
      </c>
      <c r="C41" s="8" t="str">
        <f t="shared" si="8"/>
        <v>ACCT107 100</v>
      </c>
      <c r="D41" s="13" t="s">
        <v>143</v>
      </c>
      <c r="E41" s="13">
        <v>100</v>
      </c>
      <c r="F41" s="14" t="s">
        <v>15</v>
      </c>
      <c r="G41" s="14"/>
      <c r="H41" s="40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2</v>
      </c>
      <c r="S41" s="8" t="s">
        <v>203</v>
      </c>
    </row>
    <row r="42" spans="1:19" x14ac:dyDescent="0.25">
      <c r="A42" s="40" t="b">
        <f t="shared" si="6"/>
        <v>0</v>
      </c>
      <c r="B42" s="40" t="b">
        <f t="shared" si="7"/>
        <v>0</v>
      </c>
      <c r="C42" s="8" t="str">
        <f t="shared" si="8"/>
        <v>ACCT108 100</v>
      </c>
      <c r="D42" s="13" t="s">
        <v>144</v>
      </c>
      <c r="E42" s="13">
        <v>100</v>
      </c>
      <c r="F42" s="14" t="s">
        <v>15</v>
      </c>
      <c r="G42" s="14"/>
      <c r="H42" s="40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2</v>
      </c>
      <c r="S42" s="8" t="s">
        <v>203</v>
      </c>
    </row>
    <row r="43" spans="1:19" x14ac:dyDescent="0.25">
      <c r="A43" s="40" t="b">
        <f t="shared" si="6"/>
        <v>0</v>
      </c>
      <c r="B43" s="40" t="b">
        <f t="shared" si="7"/>
        <v>0</v>
      </c>
      <c r="C43" s="8" t="str">
        <f t="shared" si="8"/>
        <v>ACCT109 100</v>
      </c>
      <c r="D43" s="13" t="s">
        <v>145</v>
      </c>
      <c r="E43" s="13">
        <v>100</v>
      </c>
      <c r="F43" s="14" t="s">
        <v>15</v>
      </c>
      <c r="G43" s="14"/>
      <c r="H43" s="40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3</v>
      </c>
      <c r="S43" s="8" t="s">
        <v>203</v>
      </c>
    </row>
    <row r="44" spans="1:19" x14ac:dyDescent="0.25">
      <c r="A44" s="40" t="b">
        <f t="shared" si="6"/>
        <v>0</v>
      </c>
      <c r="B44" s="40" t="b">
        <f t="shared" si="7"/>
        <v>0</v>
      </c>
      <c r="C44" s="8" t="str">
        <f t="shared" si="8"/>
        <v>ACCT110 100</v>
      </c>
      <c r="D44" s="13" t="s">
        <v>146</v>
      </c>
      <c r="E44" s="13">
        <v>100</v>
      </c>
      <c r="F44" s="14" t="s">
        <v>15</v>
      </c>
      <c r="G44" s="14"/>
      <c r="H44" s="40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3</v>
      </c>
      <c r="S44" s="8" t="s">
        <v>203</v>
      </c>
    </row>
    <row r="45" spans="1:19" x14ac:dyDescent="0.25">
      <c r="A45" s="40" t="b">
        <f t="shared" si="6"/>
        <v>0</v>
      </c>
      <c r="B45" s="40" t="b">
        <f t="shared" si="7"/>
        <v>0</v>
      </c>
      <c r="C45" s="8" t="str">
        <f t="shared" si="8"/>
        <v>ACCT111 100</v>
      </c>
      <c r="D45" s="13" t="s">
        <v>147</v>
      </c>
      <c r="E45" s="13">
        <v>100</v>
      </c>
      <c r="F45" s="14" t="s">
        <v>15</v>
      </c>
      <c r="G45" s="14"/>
      <c r="H45" s="40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3</v>
      </c>
      <c r="S45" s="8" t="s">
        <v>203</v>
      </c>
    </row>
    <row r="46" spans="1:19" x14ac:dyDescent="0.25">
      <c r="A46" s="40" t="b">
        <f t="shared" si="6"/>
        <v>0</v>
      </c>
      <c r="B46" s="40" t="b">
        <f t="shared" si="7"/>
        <v>0</v>
      </c>
      <c r="C46" s="8" t="str">
        <f t="shared" si="8"/>
        <v>ACCT112 100</v>
      </c>
      <c r="D46" s="13" t="s">
        <v>148</v>
      </c>
      <c r="E46" s="13">
        <v>100</v>
      </c>
      <c r="F46" s="14" t="s">
        <v>15</v>
      </c>
      <c r="G46" s="14"/>
      <c r="H46" s="40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3</v>
      </c>
      <c r="S46" s="8" t="s">
        <v>203</v>
      </c>
    </row>
    <row r="47" spans="1:19" x14ac:dyDescent="0.25">
      <c r="A47" s="40" t="b">
        <f t="shared" si="6"/>
        <v>0</v>
      </c>
      <c r="B47" s="40" t="b">
        <f t="shared" si="7"/>
        <v>0</v>
      </c>
      <c r="C47" s="8" t="str">
        <f t="shared" si="8"/>
        <v>ACCT113 100</v>
      </c>
      <c r="D47" s="13" t="s">
        <v>149</v>
      </c>
      <c r="E47" s="13">
        <v>100</v>
      </c>
      <c r="F47" s="14" t="s">
        <v>15</v>
      </c>
      <c r="G47" s="14"/>
      <c r="H47" s="40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3</v>
      </c>
      <c r="S47" s="8" t="s">
        <v>203</v>
      </c>
    </row>
    <row r="48" spans="1:19" x14ac:dyDescent="0.25">
      <c r="A48" s="40" t="b">
        <f t="shared" si="6"/>
        <v>0</v>
      </c>
      <c r="B48" s="40" t="b">
        <f t="shared" si="7"/>
        <v>0</v>
      </c>
      <c r="C48" s="8" t="str">
        <f t="shared" si="8"/>
        <v>ACCT114 100</v>
      </c>
      <c r="D48" s="13" t="s">
        <v>150</v>
      </c>
      <c r="E48" s="13">
        <v>100</v>
      </c>
      <c r="F48" s="14" t="s">
        <v>15</v>
      </c>
      <c r="G48" s="14"/>
      <c r="H48" s="40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4</v>
      </c>
      <c r="S48" s="8" t="s">
        <v>203</v>
      </c>
    </row>
    <row r="49" spans="1:19" x14ac:dyDescent="0.25">
      <c r="A49" s="40" t="b">
        <f t="shared" si="6"/>
        <v>0</v>
      </c>
      <c r="B49" s="40" t="b">
        <f t="shared" si="7"/>
        <v>0</v>
      </c>
      <c r="C49" s="8" t="str">
        <f t="shared" si="8"/>
        <v>ACCT115 100</v>
      </c>
      <c r="D49" s="13" t="s">
        <v>151</v>
      </c>
      <c r="E49" s="13">
        <v>100</v>
      </c>
      <c r="F49" s="14" t="s">
        <v>15</v>
      </c>
      <c r="G49" s="14"/>
      <c r="H49" s="40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4</v>
      </c>
      <c r="S49" s="8" t="s">
        <v>203</v>
      </c>
    </row>
    <row r="50" spans="1:19" x14ac:dyDescent="0.25">
      <c r="A50" s="40" t="b">
        <f t="shared" si="6"/>
        <v>0</v>
      </c>
      <c r="B50" s="40" t="b">
        <f t="shared" si="7"/>
        <v>0</v>
      </c>
      <c r="C50" s="8" t="str">
        <f t="shared" si="8"/>
        <v>ACCT116 100</v>
      </c>
      <c r="D50" s="13" t="s">
        <v>152</v>
      </c>
      <c r="E50" s="13">
        <v>100</v>
      </c>
      <c r="F50" s="14" t="s">
        <v>15</v>
      </c>
      <c r="G50" s="14"/>
      <c r="H50" s="40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4</v>
      </c>
      <c r="S50" s="8" t="s">
        <v>203</v>
      </c>
    </row>
    <row r="51" spans="1:19" x14ac:dyDescent="0.25">
      <c r="A51" s="40" t="b">
        <f t="shared" si="6"/>
        <v>0</v>
      </c>
      <c r="B51" s="40" t="b">
        <f t="shared" si="7"/>
        <v>0</v>
      </c>
      <c r="C51" s="8" t="str">
        <f t="shared" si="8"/>
        <v>ACCT117 100</v>
      </c>
      <c r="D51" s="13" t="s">
        <v>153</v>
      </c>
      <c r="E51" s="13">
        <v>100</v>
      </c>
      <c r="F51" s="14" t="s">
        <v>15</v>
      </c>
      <c r="G51" s="14"/>
      <c r="H51" s="40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4</v>
      </c>
      <c r="S51" s="8" t="s">
        <v>203</v>
      </c>
    </row>
    <row r="52" spans="1:19" x14ac:dyDescent="0.25">
      <c r="A52" s="40" t="b">
        <f t="shared" si="6"/>
        <v>0</v>
      </c>
      <c r="B52" s="40" t="b">
        <f t="shared" si="7"/>
        <v>0</v>
      </c>
      <c r="C52" s="8" t="str">
        <f t="shared" si="8"/>
        <v>ACCT118 100</v>
      </c>
      <c r="D52" s="13" t="s">
        <v>154</v>
      </c>
      <c r="E52" s="13">
        <v>100</v>
      </c>
      <c r="F52" s="14" t="s">
        <v>15</v>
      </c>
      <c r="G52" s="14"/>
      <c r="H52" s="40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5</v>
      </c>
      <c r="S52" s="8" t="s">
        <v>203</v>
      </c>
    </row>
    <row r="53" spans="1:19" x14ac:dyDescent="0.25">
      <c r="A53" s="40" t="b">
        <f t="shared" si="6"/>
        <v>0</v>
      </c>
      <c r="B53" s="40" t="b">
        <f t="shared" si="7"/>
        <v>0</v>
      </c>
      <c r="C53" s="8" t="str">
        <f t="shared" si="8"/>
        <v>ACCT119 100</v>
      </c>
      <c r="D53" s="13" t="s">
        <v>155</v>
      </c>
      <c r="E53" s="13">
        <v>100</v>
      </c>
      <c r="F53" s="14" t="s">
        <v>15</v>
      </c>
      <c r="G53" s="14"/>
      <c r="H53" s="40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5</v>
      </c>
      <c r="S53" s="8" t="s">
        <v>203</v>
      </c>
    </row>
    <row r="54" spans="1:19" x14ac:dyDescent="0.25">
      <c r="A54" s="40" t="b">
        <f t="shared" si="6"/>
        <v>0</v>
      </c>
      <c r="B54" s="40" t="b">
        <f t="shared" si="7"/>
        <v>0</v>
      </c>
      <c r="C54" s="8" t="str">
        <f t="shared" si="8"/>
        <v>ACCT120 100</v>
      </c>
      <c r="D54" s="13" t="s">
        <v>156</v>
      </c>
      <c r="E54" s="13">
        <v>100</v>
      </c>
      <c r="F54" s="14" t="s">
        <v>15</v>
      </c>
      <c r="G54" s="14"/>
      <c r="H54" s="40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5</v>
      </c>
      <c r="S54" s="8" t="s">
        <v>203</v>
      </c>
    </row>
    <row r="55" spans="1:19" x14ac:dyDescent="0.25">
      <c r="A55" s="40" t="b">
        <f t="shared" si="6"/>
        <v>0</v>
      </c>
      <c r="B55" s="40" t="b">
        <f t="shared" si="7"/>
        <v>0</v>
      </c>
      <c r="C55" s="8" t="str">
        <f t="shared" si="8"/>
        <v>ACCT121 100</v>
      </c>
      <c r="D55" s="13" t="s">
        <v>157</v>
      </c>
      <c r="E55" s="13">
        <v>100</v>
      </c>
      <c r="F55" s="14" t="s">
        <v>15</v>
      </c>
      <c r="G55" s="14"/>
      <c r="H55" s="40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5</v>
      </c>
      <c r="S55" s="8" t="s">
        <v>203</v>
      </c>
    </row>
    <row r="56" spans="1:19" x14ac:dyDescent="0.25">
      <c r="A56" s="40" t="b">
        <f t="shared" si="6"/>
        <v>0</v>
      </c>
      <c r="B56" s="40" t="b">
        <f t="shared" si="7"/>
        <v>0</v>
      </c>
      <c r="C56" s="8" t="str">
        <f t="shared" si="8"/>
        <v>ACCT122 100</v>
      </c>
      <c r="D56" s="13" t="s">
        <v>158</v>
      </c>
      <c r="E56" s="13">
        <v>100</v>
      </c>
      <c r="F56" s="14" t="s">
        <v>15</v>
      </c>
      <c r="G56" s="14"/>
      <c r="H56" s="40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5</v>
      </c>
      <c r="S56" s="8" t="s">
        <v>203</v>
      </c>
    </row>
    <row r="57" spans="1:19" x14ac:dyDescent="0.25">
      <c r="A57" s="40" t="b">
        <f t="shared" si="6"/>
        <v>0</v>
      </c>
      <c r="B57" s="40" t="b">
        <f t="shared" si="7"/>
        <v>0</v>
      </c>
      <c r="C57" s="8" t="str">
        <f t="shared" si="8"/>
        <v>ACCT123 100</v>
      </c>
      <c r="D57" s="13" t="s">
        <v>159</v>
      </c>
      <c r="E57" s="13">
        <v>100</v>
      </c>
      <c r="F57" s="14" t="s">
        <v>15</v>
      </c>
      <c r="G57" s="14"/>
      <c r="H57" s="40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6</v>
      </c>
      <c r="S57" s="8" t="s">
        <v>203</v>
      </c>
    </row>
    <row r="58" spans="1:19" x14ac:dyDescent="0.25">
      <c r="A58" s="40" t="b">
        <f t="shared" si="6"/>
        <v>0</v>
      </c>
      <c r="B58" s="40" t="b">
        <f t="shared" si="7"/>
        <v>0</v>
      </c>
      <c r="C58" s="8" t="str">
        <f t="shared" si="8"/>
        <v>ACCT124 100</v>
      </c>
      <c r="D58" s="13" t="s">
        <v>160</v>
      </c>
      <c r="E58" s="13">
        <v>100</v>
      </c>
      <c r="F58" s="14" t="s">
        <v>15</v>
      </c>
      <c r="G58" s="14"/>
      <c r="H58" s="40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6</v>
      </c>
      <c r="S58" s="8" t="s">
        <v>203</v>
      </c>
    </row>
    <row r="59" spans="1:19" x14ac:dyDescent="0.25">
      <c r="A59" s="40" t="b">
        <f t="shared" si="6"/>
        <v>0</v>
      </c>
      <c r="B59" s="40" t="b">
        <f t="shared" si="7"/>
        <v>0</v>
      </c>
      <c r="C59" s="8" t="str">
        <f t="shared" si="8"/>
        <v>ACCT125 100</v>
      </c>
      <c r="D59" s="13" t="s">
        <v>161</v>
      </c>
      <c r="E59" s="13">
        <v>100</v>
      </c>
      <c r="F59" s="14" t="s">
        <v>15</v>
      </c>
      <c r="G59" s="14"/>
      <c r="H59" s="40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6</v>
      </c>
      <c r="S59" s="8" t="s">
        <v>203</v>
      </c>
    </row>
    <row r="60" spans="1:19" x14ac:dyDescent="0.25">
      <c r="A60" s="40" t="b">
        <f t="shared" si="6"/>
        <v>0</v>
      </c>
      <c r="B60" s="40" t="b">
        <f t="shared" si="7"/>
        <v>0</v>
      </c>
      <c r="C60" s="8" t="str">
        <f t="shared" si="8"/>
        <v>ACCT126 100</v>
      </c>
      <c r="D60" s="13" t="s">
        <v>162</v>
      </c>
      <c r="E60" s="13">
        <v>100</v>
      </c>
      <c r="F60" s="14" t="s">
        <v>15</v>
      </c>
      <c r="G60" s="14"/>
      <c r="H60" s="40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6</v>
      </c>
      <c r="S60" s="8" t="s">
        <v>203</v>
      </c>
    </row>
    <row r="61" spans="1:19" x14ac:dyDescent="0.25">
      <c r="A61" s="40" t="b">
        <f t="shared" si="6"/>
        <v>0</v>
      </c>
      <c r="B61" s="40" t="b">
        <f t="shared" si="7"/>
        <v>0</v>
      </c>
      <c r="C61" s="8" t="str">
        <f t="shared" si="8"/>
        <v>MGT100 100</v>
      </c>
      <c r="D61" s="13" t="s">
        <v>163</v>
      </c>
      <c r="E61" s="13">
        <v>100</v>
      </c>
      <c r="F61" s="14" t="s">
        <v>15</v>
      </c>
      <c r="G61" s="14"/>
      <c r="H61" s="40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7</v>
      </c>
      <c r="S61" s="8" t="s">
        <v>203</v>
      </c>
    </row>
    <row r="62" spans="1:19" x14ac:dyDescent="0.25">
      <c r="A62" s="40" t="b">
        <f t="shared" si="6"/>
        <v>0</v>
      </c>
      <c r="B62" s="40" t="b">
        <f t="shared" si="7"/>
        <v>0</v>
      </c>
      <c r="C62" s="8" t="str">
        <f t="shared" si="8"/>
        <v>MGT101 100</v>
      </c>
      <c r="D62" s="13" t="s">
        <v>164</v>
      </c>
      <c r="E62" s="13">
        <v>100</v>
      </c>
      <c r="F62" s="14" t="s">
        <v>15</v>
      </c>
      <c r="G62" s="14"/>
      <c r="H62" s="40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7</v>
      </c>
      <c r="S62" s="8" t="s">
        <v>203</v>
      </c>
    </row>
    <row r="63" spans="1:19" x14ac:dyDescent="0.25">
      <c r="A63" s="40" t="b">
        <f t="shared" si="6"/>
        <v>0</v>
      </c>
      <c r="B63" s="40" t="b">
        <f t="shared" si="7"/>
        <v>0</v>
      </c>
      <c r="C63" s="8" t="str">
        <f t="shared" si="8"/>
        <v>MGT102 100</v>
      </c>
      <c r="D63" s="13" t="s">
        <v>165</v>
      </c>
      <c r="E63" s="13">
        <v>100</v>
      </c>
      <c r="F63" s="14" t="s">
        <v>15</v>
      </c>
      <c r="G63" s="14"/>
      <c r="H63" s="40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7</v>
      </c>
      <c r="S63" s="8" t="s">
        <v>203</v>
      </c>
    </row>
    <row r="64" spans="1:19" x14ac:dyDescent="0.25">
      <c r="A64" s="40" t="b">
        <f t="shared" si="6"/>
        <v>0</v>
      </c>
      <c r="B64" s="40" t="b">
        <f t="shared" si="7"/>
        <v>0</v>
      </c>
      <c r="C64" s="8" t="str">
        <f t="shared" si="8"/>
        <v>MGT103 100</v>
      </c>
      <c r="D64" s="13" t="s">
        <v>166</v>
      </c>
      <c r="E64" s="13">
        <v>100</v>
      </c>
      <c r="F64" s="14" t="s">
        <v>15</v>
      </c>
      <c r="G64" s="14"/>
      <c r="H64" s="40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8</v>
      </c>
      <c r="S64" s="8" t="s">
        <v>203</v>
      </c>
    </row>
    <row r="65" spans="1:19" x14ac:dyDescent="0.25">
      <c r="A65" s="40" t="b">
        <f t="shared" si="6"/>
        <v>0</v>
      </c>
      <c r="B65" s="40" t="b">
        <f t="shared" si="7"/>
        <v>0</v>
      </c>
      <c r="C65" s="8" t="str">
        <f t="shared" si="8"/>
        <v>MGT104 100</v>
      </c>
      <c r="D65" s="13" t="s">
        <v>167</v>
      </c>
      <c r="E65" s="13">
        <v>100</v>
      </c>
      <c r="F65" s="14" t="s">
        <v>15</v>
      </c>
      <c r="G65" s="14"/>
      <c r="H65" s="40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8</v>
      </c>
      <c r="S65" s="8" t="s">
        <v>203</v>
      </c>
    </row>
    <row r="66" spans="1:19" x14ac:dyDescent="0.25">
      <c r="A66" s="40" t="b">
        <f t="shared" si="6"/>
        <v>0</v>
      </c>
      <c r="B66" s="40" t="b">
        <f t="shared" si="7"/>
        <v>0</v>
      </c>
      <c r="C66" s="8" t="str">
        <f t="shared" si="8"/>
        <v>MGT105 100</v>
      </c>
      <c r="D66" s="13" t="s">
        <v>168</v>
      </c>
      <c r="E66" s="13">
        <v>100</v>
      </c>
      <c r="F66" s="14" t="s">
        <v>15</v>
      </c>
      <c r="G66" s="14"/>
      <c r="H66" s="40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8</v>
      </c>
      <c r="S66" s="8" t="s">
        <v>203</v>
      </c>
    </row>
    <row r="67" spans="1:19" x14ac:dyDescent="0.25">
      <c r="A67" s="40" t="b">
        <f t="shared" ref="A67:A100" si="9">IF(F67="G", TRUE,FALSE)</f>
        <v>0</v>
      </c>
      <c r="B67" s="40" t="b">
        <f t="shared" ref="B67:B100" si="10">IF(ISBLANK(G67),FALSE,TRUE)</f>
        <v>0</v>
      </c>
      <c r="C67" s="8" t="str">
        <f t="shared" ref="C67:C98" si="11">CONCATENATE(D67," ",E67)</f>
        <v>MGT106 100</v>
      </c>
      <c r="D67" s="13" t="s">
        <v>169</v>
      </c>
      <c r="E67" s="13">
        <v>100</v>
      </c>
      <c r="F67" s="14" t="s">
        <v>15</v>
      </c>
      <c r="G67" s="14"/>
      <c r="H67" s="40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8</v>
      </c>
      <c r="S67" s="8" t="s">
        <v>203</v>
      </c>
    </row>
    <row r="68" spans="1:19" x14ac:dyDescent="0.25">
      <c r="A68" s="40" t="b">
        <f t="shared" si="9"/>
        <v>0</v>
      </c>
      <c r="B68" s="40" t="b">
        <f t="shared" si="10"/>
        <v>0</v>
      </c>
      <c r="C68" s="8" t="str">
        <f t="shared" si="11"/>
        <v>MGT107 100</v>
      </c>
      <c r="D68" s="13" t="s">
        <v>170</v>
      </c>
      <c r="E68" s="13">
        <v>100</v>
      </c>
      <c r="F68" s="14" t="s">
        <v>15</v>
      </c>
      <c r="G68" s="14"/>
      <c r="H68" s="40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8</v>
      </c>
      <c r="S68" s="8" t="s">
        <v>203</v>
      </c>
    </row>
    <row r="69" spans="1:19" x14ac:dyDescent="0.25">
      <c r="A69" s="40" t="b">
        <f t="shared" si="9"/>
        <v>0</v>
      </c>
      <c r="B69" s="40" t="b">
        <f t="shared" si="10"/>
        <v>0</v>
      </c>
      <c r="C69" s="8" t="str">
        <f t="shared" si="11"/>
        <v>MGT108 100</v>
      </c>
      <c r="D69" s="13" t="s">
        <v>171</v>
      </c>
      <c r="E69" s="13">
        <v>100</v>
      </c>
      <c r="F69" s="14" t="s">
        <v>15</v>
      </c>
      <c r="G69" s="14"/>
      <c r="H69" s="40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9</v>
      </c>
      <c r="S69" s="8" t="s">
        <v>203</v>
      </c>
    </row>
    <row r="70" spans="1:19" x14ac:dyDescent="0.25">
      <c r="A70" s="40" t="b">
        <f t="shared" si="9"/>
        <v>0</v>
      </c>
      <c r="B70" s="40" t="b">
        <f t="shared" si="10"/>
        <v>0</v>
      </c>
      <c r="C70" s="8" t="str">
        <f t="shared" si="11"/>
        <v>MGT109 100</v>
      </c>
      <c r="D70" s="13" t="s">
        <v>172</v>
      </c>
      <c r="E70" s="13">
        <v>100</v>
      </c>
      <c r="F70" s="14" t="s">
        <v>15</v>
      </c>
      <c r="G70" s="14"/>
      <c r="H70" s="40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9</v>
      </c>
      <c r="S70" s="8" t="s">
        <v>203</v>
      </c>
    </row>
    <row r="71" spans="1:19" x14ac:dyDescent="0.25">
      <c r="A71" s="40" t="b">
        <f t="shared" si="9"/>
        <v>0</v>
      </c>
      <c r="B71" s="40" t="b">
        <f t="shared" si="10"/>
        <v>0</v>
      </c>
      <c r="C71" s="8" t="str">
        <f t="shared" si="11"/>
        <v>MGT110 100</v>
      </c>
      <c r="D71" s="13" t="s">
        <v>173</v>
      </c>
      <c r="E71" s="13">
        <v>100</v>
      </c>
      <c r="F71" s="14" t="s">
        <v>15</v>
      </c>
      <c r="G71" s="14"/>
      <c r="H71" s="40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9</v>
      </c>
      <c r="S71" s="8" t="s">
        <v>203</v>
      </c>
    </row>
    <row r="72" spans="1:19" x14ac:dyDescent="0.25">
      <c r="A72" s="40" t="b">
        <f t="shared" si="9"/>
        <v>0</v>
      </c>
      <c r="B72" s="40" t="b">
        <f t="shared" si="10"/>
        <v>0</v>
      </c>
      <c r="C72" s="8" t="str">
        <f t="shared" si="11"/>
        <v>MGT111 100</v>
      </c>
      <c r="D72" s="13" t="s">
        <v>174</v>
      </c>
      <c r="E72" s="13">
        <v>100</v>
      </c>
      <c r="F72" s="14" t="s">
        <v>15</v>
      </c>
      <c r="G72" s="14"/>
      <c r="H72" s="40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10</v>
      </c>
      <c r="S72" s="8" t="s">
        <v>203</v>
      </c>
    </row>
    <row r="73" spans="1:19" x14ac:dyDescent="0.25">
      <c r="A73" s="40" t="b">
        <f t="shared" si="9"/>
        <v>0</v>
      </c>
      <c r="B73" s="40" t="b">
        <f t="shared" si="10"/>
        <v>0</v>
      </c>
      <c r="C73" s="8" t="str">
        <f t="shared" si="11"/>
        <v>CIS100 100</v>
      </c>
      <c r="D73" s="13" t="s">
        <v>175</v>
      </c>
      <c r="E73" s="13">
        <v>100</v>
      </c>
      <c r="F73" s="14" t="s">
        <v>15</v>
      </c>
      <c r="G73" s="14"/>
      <c r="H73" s="40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10</v>
      </c>
      <c r="S73" s="8" t="s">
        <v>203</v>
      </c>
    </row>
    <row r="74" spans="1:19" x14ac:dyDescent="0.25">
      <c r="A74" s="40" t="b">
        <f t="shared" si="9"/>
        <v>0</v>
      </c>
      <c r="B74" s="40" t="b">
        <f t="shared" si="10"/>
        <v>0</v>
      </c>
      <c r="C74" s="8" t="str">
        <f t="shared" si="11"/>
        <v>CIS101 100</v>
      </c>
      <c r="D74" s="13" t="s">
        <v>176</v>
      </c>
      <c r="E74" s="13">
        <v>100</v>
      </c>
      <c r="F74" s="14" t="s">
        <v>15</v>
      </c>
      <c r="G74" s="14"/>
      <c r="H74" s="40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10</v>
      </c>
      <c r="S74" s="8" t="s">
        <v>203</v>
      </c>
    </row>
    <row r="75" spans="1:19" x14ac:dyDescent="0.25">
      <c r="A75" s="40" t="b">
        <f t="shared" si="9"/>
        <v>0</v>
      </c>
      <c r="B75" s="40" t="b">
        <f t="shared" si="10"/>
        <v>0</v>
      </c>
      <c r="C75" s="8" t="str">
        <f t="shared" si="11"/>
        <v>CIS102 100</v>
      </c>
      <c r="D75" s="13" t="s">
        <v>177</v>
      </c>
      <c r="E75" s="13">
        <v>100</v>
      </c>
      <c r="F75" s="14" t="s">
        <v>15</v>
      </c>
      <c r="G75" s="14"/>
      <c r="H75" s="40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11</v>
      </c>
      <c r="S75" s="8" t="s">
        <v>203</v>
      </c>
    </row>
    <row r="76" spans="1:19" x14ac:dyDescent="0.25">
      <c r="A76" s="40" t="b">
        <f t="shared" si="9"/>
        <v>0</v>
      </c>
      <c r="B76" s="40" t="b">
        <f t="shared" si="10"/>
        <v>0</v>
      </c>
      <c r="C76" s="8" t="str">
        <f t="shared" si="11"/>
        <v>CIS103 100</v>
      </c>
      <c r="D76" s="13" t="s">
        <v>178</v>
      </c>
      <c r="E76" s="13">
        <v>100</v>
      </c>
      <c r="F76" s="14" t="s">
        <v>15</v>
      </c>
      <c r="G76" s="14"/>
      <c r="H76" s="40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11</v>
      </c>
      <c r="S76" s="8" t="s">
        <v>203</v>
      </c>
    </row>
    <row r="77" spans="1:19" x14ac:dyDescent="0.25">
      <c r="A77" s="40" t="b">
        <f t="shared" si="9"/>
        <v>0</v>
      </c>
      <c r="B77" s="40" t="b">
        <f t="shared" si="10"/>
        <v>0</v>
      </c>
      <c r="C77" s="8" t="str">
        <f t="shared" si="11"/>
        <v>CIS104 100</v>
      </c>
      <c r="D77" s="13" t="s">
        <v>179</v>
      </c>
      <c r="E77" s="13">
        <v>100</v>
      </c>
      <c r="F77" s="14" t="s">
        <v>15</v>
      </c>
      <c r="G77" s="14"/>
      <c r="H77" s="40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11</v>
      </c>
      <c r="S77" s="8" t="s">
        <v>203</v>
      </c>
    </row>
    <row r="78" spans="1:19" x14ac:dyDescent="0.25">
      <c r="A78" s="40" t="b">
        <f t="shared" si="9"/>
        <v>0</v>
      </c>
      <c r="B78" s="40" t="b">
        <f t="shared" si="10"/>
        <v>0</v>
      </c>
      <c r="C78" s="8" t="str">
        <f t="shared" si="11"/>
        <v>CIS105 100</v>
      </c>
      <c r="D78" s="13" t="s">
        <v>180</v>
      </c>
      <c r="E78" s="13">
        <v>100</v>
      </c>
      <c r="F78" s="14" t="s">
        <v>15</v>
      </c>
      <c r="G78" s="14"/>
      <c r="H78" s="40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11</v>
      </c>
      <c r="S78" s="8" t="s">
        <v>203</v>
      </c>
    </row>
    <row r="79" spans="1:19" x14ac:dyDescent="0.25">
      <c r="A79" s="40" t="b">
        <f t="shared" si="9"/>
        <v>0</v>
      </c>
      <c r="B79" s="40" t="b">
        <f t="shared" si="10"/>
        <v>0</v>
      </c>
      <c r="C79" s="8" t="str">
        <f t="shared" si="11"/>
        <v>CIS106 100</v>
      </c>
      <c r="D79" s="13" t="s">
        <v>181</v>
      </c>
      <c r="E79" s="13">
        <v>100</v>
      </c>
      <c r="F79" s="14" t="s">
        <v>15</v>
      </c>
      <c r="G79" s="14"/>
      <c r="H79" s="40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11</v>
      </c>
      <c r="S79" s="8" t="s">
        <v>203</v>
      </c>
    </row>
    <row r="80" spans="1:19" x14ac:dyDescent="0.25">
      <c r="A80" s="40" t="b">
        <f t="shared" si="9"/>
        <v>0</v>
      </c>
      <c r="B80" s="40" t="b">
        <f t="shared" si="10"/>
        <v>0</v>
      </c>
      <c r="C80" s="8" t="str">
        <f t="shared" si="11"/>
        <v>CIS107 100</v>
      </c>
      <c r="D80" s="13" t="s">
        <v>182</v>
      </c>
      <c r="E80" s="13">
        <v>100</v>
      </c>
      <c r="F80" s="14" t="s">
        <v>15</v>
      </c>
      <c r="G80" s="14"/>
      <c r="H80" s="40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12</v>
      </c>
      <c r="S80" s="8" t="s">
        <v>203</v>
      </c>
    </row>
    <row r="81" spans="1:19" x14ac:dyDescent="0.25">
      <c r="A81" s="40" t="b">
        <f t="shared" si="9"/>
        <v>0</v>
      </c>
      <c r="B81" s="40" t="b">
        <f t="shared" si="10"/>
        <v>0</v>
      </c>
      <c r="C81" s="8" t="str">
        <f t="shared" si="11"/>
        <v>CIS108 100</v>
      </c>
      <c r="D81" s="13" t="s">
        <v>183</v>
      </c>
      <c r="E81" s="13">
        <v>100</v>
      </c>
      <c r="F81" s="14" t="s">
        <v>15</v>
      </c>
      <c r="G81" s="14"/>
      <c r="H81" s="40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12</v>
      </c>
      <c r="S81" s="8" t="s">
        <v>203</v>
      </c>
    </row>
    <row r="82" spans="1:19" x14ac:dyDescent="0.25">
      <c r="A82" s="40" t="b">
        <f t="shared" si="9"/>
        <v>0</v>
      </c>
      <c r="B82" s="40" t="b">
        <f t="shared" si="10"/>
        <v>0</v>
      </c>
      <c r="C82" s="8" t="str">
        <f t="shared" si="11"/>
        <v>CIS109 100</v>
      </c>
      <c r="D82" s="13" t="s">
        <v>184</v>
      </c>
      <c r="E82" s="13">
        <v>100</v>
      </c>
      <c r="F82" s="14" t="s">
        <v>15</v>
      </c>
      <c r="G82" s="14"/>
      <c r="H82" s="40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12</v>
      </c>
      <c r="S82" s="8" t="s">
        <v>203</v>
      </c>
    </row>
    <row r="83" spans="1:19" x14ac:dyDescent="0.25">
      <c r="A83" s="40" t="b">
        <f t="shared" si="9"/>
        <v>0</v>
      </c>
      <c r="B83" s="40" t="b">
        <f t="shared" si="10"/>
        <v>0</v>
      </c>
      <c r="C83" s="8" t="str">
        <f t="shared" si="11"/>
        <v>CIS110 100</v>
      </c>
      <c r="D83" s="13" t="s">
        <v>185</v>
      </c>
      <c r="E83" s="13">
        <v>100</v>
      </c>
      <c r="F83" s="14" t="s">
        <v>15</v>
      </c>
      <c r="G83" s="14"/>
      <c r="H83" s="40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12</v>
      </c>
      <c r="S83" s="8" t="s">
        <v>203</v>
      </c>
    </row>
    <row r="84" spans="1:19" x14ac:dyDescent="0.25">
      <c r="A84" s="40" t="b">
        <f t="shared" si="9"/>
        <v>0</v>
      </c>
      <c r="B84" s="40" t="b">
        <f t="shared" si="10"/>
        <v>0</v>
      </c>
      <c r="C84" s="8" t="str">
        <f t="shared" si="11"/>
        <v>CIS111 100</v>
      </c>
      <c r="D84" s="13" t="s">
        <v>186</v>
      </c>
      <c r="E84" s="13">
        <v>100</v>
      </c>
      <c r="F84" s="14" t="s">
        <v>15</v>
      </c>
      <c r="G84" s="14"/>
      <c r="H84" s="40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13</v>
      </c>
      <c r="S84" s="8" t="s">
        <v>203</v>
      </c>
    </row>
    <row r="85" spans="1:19" x14ac:dyDescent="0.25">
      <c r="A85" s="40" t="b">
        <f t="shared" si="9"/>
        <v>0</v>
      </c>
      <c r="B85" s="40" t="b">
        <f t="shared" si="10"/>
        <v>0</v>
      </c>
      <c r="C85" s="8" t="str">
        <f t="shared" si="11"/>
        <v>CIS112 100</v>
      </c>
      <c r="D85" s="13" t="s">
        <v>187</v>
      </c>
      <c r="E85" s="13">
        <v>100</v>
      </c>
      <c r="F85" s="14" t="s">
        <v>15</v>
      </c>
      <c r="G85" s="14"/>
      <c r="H85" s="40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13</v>
      </c>
      <c r="S85" s="8" t="s">
        <v>203</v>
      </c>
    </row>
    <row r="86" spans="1:19" x14ac:dyDescent="0.25">
      <c r="A86" s="40" t="b">
        <f t="shared" si="9"/>
        <v>0</v>
      </c>
      <c r="B86" s="40" t="b">
        <f t="shared" si="10"/>
        <v>0</v>
      </c>
      <c r="C86" s="8" t="str">
        <f t="shared" si="11"/>
        <v>CIS113 100</v>
      </c>
      <c r="D86" s="13" t="s">
        <v>188</v>
      </c>
      <c r="E86" s="13">
        <v>100</v>
      </c>
      <c r="F86" s="14" t="s">
        <v>15</v>
      </c>
      <c r="G86" s="13"/>
      <c r="H86" s="40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13</v>
      </c>
      <c r="S86" s="8" t="s">
        <v>203</v>
      </c>
    </row>
    <row r="87" spans="1:19" x14ac:dyDescent="0.25">
      <c r="A87" s="40" t="b">
        <f t="shared" si="9"/>
        <v>0</v>
      </c>
      <c r="B87" s="40" t="b">
        <f t="shared" si="10"/>
        <v>0</v>
      </c>
      <c r="C87" s="8" t="str">
        <f t="shared" si="11"/>
        <v>CIS114 100</v>
      </c>
      <c r="D87" s="13" t="s">
        <v>189</v>
      </c>
      <c r="E87" s="13">
        <v>100</v>
      </c>
      <c r="F87" s="14" t="s">
        <v>15</v>
      </c>
      <c r="G87" s="13"/>
      <c r="H87" s="40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13</v>
      </c>
      <c r="S87" s="8" t="s">
        <v>203</v>
      </c>
    </row>
    <row r="88" spans="1:19" x14ac:dyDescent="0.25">
      <c r="A88" s="40" t="b">
        <f t="shared" si="9"/>
        <v>0</v>
      </c>
      <c r="B88" s="40" t="b">
        <f t="shared" si="10"/>
        <v>0</v>
      </c>
      <c r="C88" s="8" t="str">
        <f t="shared" si="11"/>
        <v>HIS100 100</v>
      </c>
      <c r="D88" s="13" t="s">
        <v>190</v>
      </c>
      <c r="E88" s="13">
        <v>100</v>
      </c>
      <c r="F88" s="14" t="s">
        <v>15</v>
      </c>
      <c r="G88" s="13"/>
      <c r="H88" s="40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14</v>
      </c>
      <c r="S88" s="8" t="s">
        <v>203</v>
      </c>
    </row>
    <row r="89" spans="1:19" x14ac:dyDescent="0.25">
      <c r="A89" s="40" t="b">
        <f t="shared" si="9"/>
        <v>0</v>
      </c>
      <c r="B89" s="40" t="b">
        <f t="shared" si="10"/>
        <v>0</v>
      </c>
      <c r="C89" s="8" t="str">
        <f t="shared" si="11"/>
        <v>HIS101 100</v>
      </c>
      <c r="D89" s="13" t="s">
        <v>191</v>
      </c>
      <c r="E89" s="13">
        <v>100</v>
      </c>
      <c r="F89" s="14" t="s">
        <v>15</v>
      </c>
      <c r="G89" s="14"/>
      <c r="H89" s="40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14</v>
      </c>
      <c r="S89" s="8" t="s">
        <v>203</v>
      </c>
    </row>
    <row r="90" spans="1:19" x14ac:dyDescent="0.25">
      <c r="A90" s="40" t="b">
        <f t="shared" si="9"/>
        <v>0</v>
      </c>
      <c r="B90" s="40" t="b">
        <f t="shared" si="10"/>
        <v>0</v>
      </c>
      <c r="C90" s="8" t="str">
        <f t="shared" si="11"/>
        <v>HIS102 100</v>
      </c>
      <c r="D90" s="13" t="s">
        <v>192</v>
      </c>
      <c r="E90" s="13">
        <v>100</v>
      </c>
      <c r="F90" s="14" t="s">
        <v>15</v>
      </c>
      <c r="G90" s="14"/>
      <c r="H90" s="40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14</v>
      </c>
      <c r="S90" s="8" t="s">
        <v>203</v>
      </c>
    </row>
    <row r="91" spans="1:19" x14ac:dyDescent="0.25">
      <c r="A91" s="40" t="b">
        <f t="shared" si="9"/>
        <v>0</v>
      </c>
      <c r="B91" s="40" t="b">
        <f t="shared" si="10"/>
        <v>0</v>
      </c>
      <c r="C91" s="8" t="str">
        <f t="shared" si="11"/>
        <v>HIS103 100</v>
      </c>
      <c r="D91" s="13" t="s">
        <v>193</v>
      </c>
      <c r="E91" s="13">
        <v>100</v>
      </c>
      <c r="F91" s="14" t="s">
        <v>15</v>
      </c>
      <c r="G91" s="14"/>
      <c r="H91" s="40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15</v>
      </c>
      <c r="S91" s="8" t="s">
        <v>203</v>
      </c>
    </row>
    <row r="92" spans="1:19" x14ac:dyDescent="0.25">
      <c r="A92" s="40" t="b">
        <f t="shared" si="9"/>
        <v>0</v>
      </c>
      <c r="B92" s="40" t="b">
        <f t="shared" si="10"/>
        <v>0</v>
      </c>
      <c r="C92" s="8" t="str">
        <f t="shared" si="11"/>
        <v>HIS104 100</v>
      </c>
      <c r="D92" s="13" t="s">
        <v>194</v>
      </c>
      <c r="E92" s="13">
        <v>100</v>
      </c>
      <c r="F92" s="14" t="s">
        <v>15</v>
      </c>
      <c r="G92" s="14"/>
      <c r="H92" s="40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15</v>
      </c>
      <c r="S92" s="8" t="s">
        <v>203</v>
      </c>
    </row>
    <row r="93" spans="1:19" x14ac:dyDescent="0.25">
      <c r="A93" s="40" t="b">
        <f t="shared" si="9"/>
        <v>0</v>
      </c>
      <c r="B93" s="40" t="b">
        <f t="shared" si="10"/>
        <v>0</v>
      </c>
      <c r="C93" s="8" t="str">
        <f t="shared" si="11"/>
        <v>HIS105 100</v>
      </c>
      <c r="D93" s="13" t="s">
        <v>195</v>
      </c>
      <c r="E93" s="13">
        <v>100</v>
      </c>
      <c r="F93" s="14" t="s">
        <v>15</v>
      </c>
      <c r="G93" s="14"/>
      <c r="H93" s="40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15</v>
      </c>
      <c r="S93" s="8" t="s">
        <v>203</v>
      </c>
    </row>
    <row r="94" spans="1:19" x14ac:dyDescent="0.25">
      <c r="A94" s="40" t="b">
        <f t="shared" si="9"/>
        <v>0</v>
      </c>
      <c r="B94" s="40" t="b">
        <f t="shared" si="10"/>
        <v>0</v>
      </c>
      <c r="C94" s="8" t="str">
        <f t="shared" si="11"/>
        <v>HIS106 100</v>
      </c>
      <c r="D94" s="13" t="s">
        <v>196</v>
      </c>
      <c r="E94" s="13">
        <v>100</v>
      </c>
      <c r="F94" s="14" t="s">
        <v>15</v>
      </c>
      <c r="G94" s="14"/>
      <c r="H94" s="40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15</v>
      </c>
      <c r="S94" s="8" t="s">
        <v>203</v>
      </c>
    </row>
    <row r="95" spans="1:19" x14ac:dyDescent="0.25">
      <c r="A95" s="40" t="b">
        <f t="shared" si="9"/>
        <v>0</v>
      </c>
      <c r="B95" s="40" t="b">
        <f t="shared" si="10"/>
        <v>0</v>
      </c>
      <c r="C95" s="8" t="str">
        <f t="shared" si="11"/>
        <v>HIS107 100</v>
      </c>
      <c r="D95" s="13" t="s">
        <v>197</v>
      </c>
      <c r="E95" s="13">
        <v>100</v>
      </c>
      <c r="F95" s="14" t="s">
        <v>15</v>
      </c>
      <c r="G95" s="14"/>
      <c r="H95" s="40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15</v>
      </c>
      <c r="S95" s="8" t="s">
        <v>203</v>
      </c>
    </row>
    <row r="96" spans="1:19" x14ac:dyDescent="0.25">
      <c r="A96" s="40" t="b">
        <f t="shared" si="9"/>
        <v>0</v>
      </c>
      <c r="B96" s="40" t="b">
        <f t="shared" si="10"/>
        <v>0</v>
      </c>
      <c r="C96" s="8" t="str">
        <f t="shared" si="11"/>
        <v>HIS108 100</v>
      </c>
      <c r="D96" s="13" t="s">
        <v>198</v>
      </c>
      <c r="E96" s="13">
        <v>100</v>
      </c>
      <c r="F96" s="14" t="s">
        <v>15</v>
      </c>
      <c r="G96" s="14"/>
      <c r="H96" s="40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16</v>
      </c>
      <c r="S96" s="8" t="s">
        <v>203</v>
      </c>
    </row>
    <row r="97" spans="1:19" x14ac:dyDescent="0.25">
      <c r="A97" s="40" t="b">
        <f t="shared" si="9"/>
        <v>0</v>
      </c>
      <c r="B97" s="40" t="b">
        <f t="shared" si="10"/>
        <v>0</v>
      </c>
      <c r="C97" s="8" t="str">
        <f t="shared" si="11"/>
        <v>HIS109 100</v>
      </c>
      <c r="D97" s="13" t="s">
        <v>199</v>
      </c>
      <c r="E97" s="13">
        <v>100</v>
      </c>
      <c r="F97" s="14" t="s">
        <v>15</v>
      </c>
      <c r="G97" s="14"/>
      <c r="H97" s="40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16</v>
      </c>
      <c r="S97" s="8" t="s">
        <v>203</v>
      </c>
    </row>
    <row r="98" spans="1:19" x14ac:dyDescent="0.25">
      <c r="A98" s="40" t="b">
        <f t="shared" si="9"/>
        <v>0</v>
      </c>
      <c r="B98" s="40" t="b">
        <f t="shared" si="10"/>
        <v>0</v>
      </c>
      <c r="C98" s="8" t="str">
        <f t="shared" si="11"/>
        <v>HIS110 100</v>
      </c>
      <c r="D98" s="13" t="s">
        <v>200</v>
      </c>
      <c r="E98" s="13">
        <v>100</v>
      </c>
      <c r="F98" s="14" t="s">
        <v>15</v>
      </c>
      <c r="G98" s="14"/>
      <c r="H98" s="40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16</v>
      </c>
      <c r="S98" s="8" t="s">
        <v>203</v>
      </c>
    </row>
    <row r="99" spans="1:19" x14ac:dyDescent="0.25">
      <c r="A99" s="40" t="b">
        <f t="shared" si="9"/>
        <v>0</v>
      </c>
      <c r="B99" s="40" t="b">
        <f t="shared" si="10"/>
        <v>0</v>
      </c>
      <c r="C99" s="8" t="str">
        <f t="shared" ref="C99:C100" si="12">CONCATENATE(D99," ",E99)</f>
        <v>HIS111 100</v>
      </c>
      <c r="D99" s="13" t="s">
        <v>201</v>
      </c>
      <c r="E99" s="13">
        <v>100</v>
      </c>
      <c r="F99" s="14" t="s">
        <v>15</v>
      </c>
      <c r="G99" s="14"/>
      <c r="H99" s="40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16</v>
      </c>
      <c r="S99" s="8" t="s">
        <v>203</v>
      </c>
    </row>
    <row r="100" spans="1:19" x14ac:dyDescent="0.25">
      <c r="A100" s="40" t="b">
        <f t="shared" si="9"/>
        <v>0</v>
      </c>
      <c r="B100" s="40" t="b">
        <f t="shared" si="10"/>
        <v>0</v>
      </c>
      <c r="C100" s="8" t="str">
        <f t="shared" si="12"/>
        <v>HIS112 100</v>
      </c>
      <c r="D100" s="13" t="s">
        <v>202</v>
      </c>
      <c r="E100" s="13">
        <v>100</v>
      </c>
      <c r="F100" s="14" t="s">
        <v>15</v>
      </c>
      <c r="G100" s="14"/>
      <c r="H100" s="40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16</v>
      </c>
      <c r="S100" s="8" t="s">
        <v>203</v>
      </c>
    </row>
    <row r="101" spans="1:19" x14ac:dyDescent="0.25">
      <c r="A101" s="40" t="b">
        <f>IF(F101="G", TRUE,FALSE)</f>
        <v>1</v>
      </c>
      <c r="B101" s="40" t="b">
        <f>IF(ISBLANK(G101),FALSE,TRUE)</f>
        <v>0</v>
      </c>
      <c r="C101" s="8" t="str">
        <f>CONCATENATE(D101," ",E101)</f>
        <v>LIT100 100</v>
      </c>
      <c r="D101" s="13" t="s">
        <v>204</v>
      </c>
      <c r="E101" s="13">
        <v>100</v>
      </c>
      <c r="F101" s="14" t="s">
        <v>16</v>
      </c>
      <c r="G101" s="14"/>
      <c r="H101" s="40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21</v>
      </c>
      <c r="S101" s="8" t="s">
        <v>203</v>
      </c>
    </row>
    <row r="102" spans="1:19" x14ac:dyDescent="0.25">
      <c r="A102" s="40" t="b">
        <f t="shared" ref="A102:A115" si="13">IF(F102="G", TRUE,FALSE)</f>
        <v>1</v>
      </c>
      <c r="B102" s="40" t="b">
        <f t="shared" ref="B102:B115" si="14">IF(ISBLANK(G102),FALSE,TRUE)</f>
        <v>0</v>
      </c>
      <c r="C102" s="8" t="str">
        <f t="shared" ref="C102:C115" si="15">CONCATENATE(D102," ",E102)</f>
        <v>LIT101 100</v>
      </c>
      <c r="D102" s="13" t="s">
        <v>205</v>
      </c>
      <c r="E102" s="13">
        <v>100</v>
      </c>
      <c r="F102" s="14" t="s">
        <v>16</v>
      </c>
      <c r="G102" s="14"/>
      <c r="H102" s="40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21</v>
      </c>
      <c r="S102" s="8" t="s">
        <v>203</v>
      </c>
    </row>
    <row r="103" spans="1:19" x14ac:dyDescent="0.25">
      <c r="A103" s="40" t="b">
        <f t="shared" si="13"/>
        <v>1</v>
      </c>
      <c r="B103" s="40" t="b">
        <f t="shared" si="14"/>
        <v>0</v>
      </c>
      <c r="C103" s="8" t="str">
        <f t="shared" si="15"/>
        <v>LIT102 100</v>
      </c>
      <c r="D103" s="13" t="s">
        <v>206</v>
      </c>
      <c r="E103" s="13">
        <v>100</v>
      </c>
      <c r="F103" s="14" t="s">
        <v>16</v>
      </c>
      <c r="G103" s="14"/>
      <c r="H103" s="40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21</v>
      </c>
      <c r="S103" s="8" t="s">
        <v>203</v>
      </c>
    </row>
    <row r="104" spans="1:19" x14ac:dyDescent="0.25">
      <c r="A104" s="40" t="b">
        <f t="shared" si="13"/>
        <v>1</v>
      </c>
      <c r="B104" s="40" t="b">
        <f t="shared" si="14"/>
        <v>0</v>
      </c>
      <c r="C104" s="8" t="str">
        <f t="shared" si="15"/>
        <v>LIT103 100</v>
      </c>
      <c r="D104" s="13" t="s">
        <v>207</v>
      </c>
      <c r="E104" s="13">
        <v>100</v>
      </c>
      <c r="F104" s="14" t="s">
        <v>16</v>
      </c>
      <c r="G104" s="14"/>
      <c r="H104" s="40" t="str">
        <f>IF(COUNTIF(Course[Course ID],Course[[#This Row],[Course ID]])&gt;1,"S","")</f>
        <v/>
      </c>
      <c r="I104" s="8"/>
      <c r="J104" s="8"/>
      <c r="K104" s="8"/>
      <c r="L104" s="8"/>
      <c r="M104" s="8"/>
      <c r="N104" s="8"/>
      <c r="O104" s="8"/>
      <c r="P104" s="8"/>
      <c r="Q104" t="b">
        <v>1</v>
      </c>
      <c r="R104">
        <v>21</v>
      </c>
      <c r="S104" s="8" t="s">
        <v>203</v>
      </c>
    </row>
    <row r="105" spans="1:19" x14ac:dyDescent="0.25">
      <c r="A105" s="40" t="b">
        <f t="shared" si="13"/>
        <v>1</v>
      </c>
      <c r="B105" s="40" t="b">
        <f t="shared" si="14"/>
        <v>0</v>
      </c>
      <c r="C105" s="8" t="str">
        <f t="shared" si="15"/>
        <v>LIT104 100</v>
      </c>
      <c r="D105" s="13" t="s">
        <v>208</v>
      </c>
      <c r="E105" s="13">
        <v>100</v>
      </c>
      <c r="F105" s="14" t="s">
        <v>16</v>
      </c>
      <c r="G105" s="14"/>
      <c r="H105" s="40" t="str">
        <f>IF(COUNTIF(Course[Course ID],Course[[#This Row],[Course ID]])&gt;1,"S","")</f>
        <v/>
      </c>
      <c r="I105" s="8"/>
      <c r="J105" s="8"/>
      <c r="K105" s="8"/>
      <c r="L105" s="8"/>
      <c r="M105" s="8"/>
      <c r="N105" s="8"/>
      <c r="O105" s="8"/>
      <c r="P105" s="8"/>
      <c r="Q105" t="b">
        <v>1</v>
      </c>
      <c r="R105">
        <v>22</v>
      </c>
      <c r="S105" s="8" t="s">
        <v>203</v>
      </c>
    </row>
    <row r="106" spans="1:19" x14ac:dyDescent="0.25">
      <c r="A106" s="40" t="b">
        <f t="shared" si="13"/>
        <v>1</v>
      </c>
      <c r="B106" s="40" t="b">
        <f t="shared" si="14"/>
        <v>0</v>
      </c>
      <c r="C106" s="8" t="str">
        <f t="shared" si="15"/>
        <v>LIT105 100</v>
      </c>
      <c r="D106" s="13" t="s">
        <v>209</v>
      </c>
      <c r="E106" s="13">
        <v>100</v>
      </c>
      <c r="F106" s="14" t="s">
        <v>16</v>
      </c>
      <c r="G106" s="14"/>
      <c r="H106" s="40" t="str">
        <f>IF(COUNTIF(Course[Course ID],Course[[#This Row],[Course ID]])&gt;1,"S","")</f>
        <v/>
      </c>
      <c r="I106" s="8"/>
      <c r="J106" s="8"/>
      <c r="K106" s="8"/>
      <c r="L106" s="8"/>
      <c r="M106" s="8"/>
      <c r="N106" s="8"/>
      <c r="O106" s="8"/>
      <c r="P106" s="8"/>
      <c r="Q106" t="b">
        <v>1</v>
      </c>
      <c r="R106">
        <v>22</v>
      </c>
      <c r="S106" s="8" t="s">
        <v>203</v>
      </c>
    </row>
    <row r="107" spans="1:19" x14ac:dyDescent="0.25">
      <c r="A107" s="40" t="b">
        <f t="shared" si="13"/>
        <v>1</v>
      </c>
      <c r="B107" s="40" t="b">
        <f t="shared" si="14"/>
        <v>0</v>
      </c>
      <c r="C107" s="8" t="str">
        <f t="shared" si="15"/>
        <v>LIT106 100</v>
      </c>
      <c r="D107" s="13" t="s">
        <v>210</v>
      </c>
      <c r="E107" s="13">
        <v>100</v>
      </c>
      <c r="F107" s="14" t="s">
        <v>16</v>
      </c>
      <c r="G107" s="14"/>
      <c r="H107" s="40" t="str">
        <f>IF(COUNTIF(Course[Course ID],Course[[#This Row],[Course ID]])&gt;1,"S","")</f>
        <v/>
      </c>
      <c r="I107" s="8"/>
      <c r="J107" s="8"/>
      <c r="K107" s="8"/>
      <c r="L107" s="8"/>
      <c r="M107" s="8"/>
      <c r="N107" s="8"/>
      <c r="O107" s="8"/>
      <c r="P107" s="8"/>
      <c r="Q107" t="b">
        <v>1</v>
      </c>
      <c r="R107">
        <v>22</v>
      </c>
      <c r="S107" s="8" t="s">
        <v>203</v>
      </c>
    </row>
    <row r="108" spans="1:19" x14ac:dyDescent="0.25">
      <c r="A108" s="40" t="b">
        <f t="shared" si="13"/>
        <v>1</v>
      </c>
      <c r="B108" s="40" t="b">
        <f t="shared" si="14"/>
        <v>0</v>
      </c>
      <c r="C108" s="8" t="str">
        <f t="shared" si="15"/>
        <v>LIT107 100</v>
      </c>
      <c r="D108" s="13" t="s">
        <v>211</v>
      </c>
      <c r="E108" s="13">
        <v>100</v>
      </c>
      <c r="F108" s="14" t="s">
        <v>16</v>
      </c>
      <c r="G108" s="14"/>
      <c r="H108" s="40" t="str">
        <f>IF(COUNTIF(Course[Course ID],Course[[#This Row],[Course ID]])&gt;1,"S","")</f>
        <v/>
      </c>
      <c r="I108" s="8"/>
      <c r="J108" s="8"/>
      <c r="K108" s="8"/>
      <c r="L108" s="8"/>
      <c r="M108" s="8"/>
      <c r="N108" s="8"/>
      <c r="O108" s="8"/>
      <c r="P108" s="8"/>
      <c r="Q108" t="b">
        <v>1</v>
      </c>
      <c r="R108">
        <v>22</v>
      </c>
      <c r="S108" s="8" t="s">
        <v>203</v>
      </c>
    </row>
    <row r="109" spans="1:19" x14ac:dyDescent="0.25">
      <c r="A109" s="40" t="b">
        <f t="shared" si="13"/>
        <v>1</v>
      </c>
      <c r="B109" s="40" t="b">
        <f t="shared" si="14"/>
        <v>0</v>
      </c>
      <c r="C109" s="8" t="str">
        <f t="shared" si="15"/>
        <v>LIT108 100</v>
      </c>
      <c r="D109" s="13" t="s">
        <v>212</v>
      </c>
      <c r="E109" s="13">
        <v>100</v>
      </c>
      <c r="F109" s="14" t="s">
        <v>16</v>
      </c>
      <c r="G109" s="14"/>
      <c r="H109" s="40" t="str">
        <f>IF(COUNTIF(Course[Course ID],Course[[#This Row],[Course ID]])&gt;1,"S","")</f>
        <v/>
      </c>
      <c r="I109" s="8"/>
      <c r="J109" s="8"/>
      <c r="K109" s="8"/>
      <c r="L109" s="8"/>
      <c r="M109" s="8"/>
      <c r="N109" s="8"/>
      <c r="O109" s="8"/>
      <c r="P109" s="8"/>
      <c r="Q109" t="b">
        <v>1</v>
      </c>
      <c r="R109">
        <v>22</v>
      </c>
      <c r="S109" s="8" t="s">
        <v>203</v>
      </c>
    </row>
    <row r="110" spans="1:19" x14ac:dyDescent="0.25">
      <c r="A110" s="40" t="b">
        <f t="shared" si="13"/>
        <v>1</v>
      </c>
      <c r="B110" s="40" t="b">
        <f t="shared" si="14"/>
        <v>0</v>
      </c>
      <c r="C110" s="8" t="str">
        <f t="shared" si="15"/>
        <v>LIT109 100</v>
      </c>
      <c r="D110" s="13" t="s">
        <v>213</v>
      </c>
      <c r="E110" s="13">
        <v>100</v>
      </c>
      <c r="F110" s="14" t="s">
        <v>16</v>
      </c>
      <c r="G110" s="14"/>
      <c r="H110" s="40" t="str">
        <f>IF(COUNTIF(Course[Course ID],Course[[#This Row],[Course ID]])&gt;1,"S","")</f>
        <v/>
      </c>
      <c r="I110" s="8"/>
      <c r="J110" s="8"/>
      <c r="K110" s="8"/>
      <c r="L110" s="8"/>
      <c r="M110" s="8"/>
      <c r="N110" s="8"/>
      <c r="O110" s="8"/>
      <c r="P110" s="8"/>
      <c r="Q110" t="b">
        <v>1</v>
      </c>
      <c r="R110">
        <v>22</v>
      </c>
      <c r="S110" s="8" t="s">
        <v>203</v>
      </c>
    </row>
    <row r="111" spans="1:19" x14ac:dyDescent="0.25">
      <c r="A111" s="40" t="b">
        <f t="shared" si="13"/>
        <v>1</v>
      </c>
      <c r="B111" s="40" t="b">
        <f t="shared" si="14"/>
        <v>0</v>
      </c>
      <c r="C111" s="8" t="str">
        <f t="shared" si="15"/>
        <v>LIT110 100</v>
      </c>
      <c r="D111" s="13" t="s">
        <v>214</v>
      </c>
      <c r="E111" s="13">
        <v>100</v>
      </c>
      <c r="F111" s="14" t="s">
        <v>16</v>
      </c>
      <c r="G111" s="14"/>
      <c r="H111" s="40" t="str">
        <f>IF(COUNTIF(Course[Course ID],Course[[#This Row],[Course ID]])&gt;1,"S","")</f>
        <v/>
      </c>
      <c r="I111" s="8"/>
      <c r="J111" s="8"/>
      <c r="K111" s="8"/>
      <c r="L111" s="8"/>
      <c r="M111" s="8"/>
      <c r="N111" s="8"/>
      <c r="O111" s="8"/>
      <c r="P111" s="8"/>
      <c r="Q111" t="b">
        <v>1</v>
      </c>
      <c r="R111">
        <v>22</v>
      </c>
      <c r="S111" s="8" t="s">
        <v>203</v>
      </c>
    </row>
    <row r="112" spans="1:19" x14ac:dyDescent="0.25">
      <c r="A112" s="40" t="b">
        <f t="shared" si="13"/>
        <v>1</v>
      </c>
      <c r="B112" s="40" t="b">
        <f t="shared" si="14"/>
        <v>0</v>
      </c>
      <c r="C112" s="8" t="str">
        <f t="shared" si="15"/>
        <v>LIT111 100</v>
      </c>
      <c r="D112" s="13" t="s">
        <v>215</v>
      </c>
      <c r="E112" s="13">
        <v>100</v>
      </c>
      <c r="F112" s="14" t="s">
        <v>16</v>
      </c>
      <c r="G112" s="14"/>
      <c r="H112" s="40" t="str">
        <f>IF(COUNTIF(Course[Course ID],Course[[#This Row],[Course ID]])&gt;1,"S","")</f>
        <v/>
      </c>
      <c r="I112" s="8"/>
      <c r="J112" s="8"/>
      <c r="K112" s="8"/>
      <c r="L112" s="8"/>
      <c r="M112" s="8"/>
      <c r="N112" s="8"/>
      <c r="O112" s="8"/>
      <c r="P112" s="8"/>
      <c r="Q112" t="b">
        <v>1</v>
      </c>
      <c r="R112">
        <v>22</v>
      </c>
      <c r="S112" s="8" t="s">
        <v>203</v>
      </c>
    </row>
    <row r="113" spans="1:19" x14ac:dyDescent="0.25">
      <c r="A113" s="40" t="b">
        <f t="shared" si="13"/>
        <v>1</v>
      </c>
      <c r="B113" s="40" t="b">
        <f t="shared" si="14"/>
        <v>0</v>
      </c>
      <c r="C113" s="8" t="str">
        <f t="shared" si="15"/>
        <v>LIT112 100</v>
      </c>
      <c r="D113" s="13" t="s">
        <v>216</v>
      </c>
      <c r="E113" s="13">
        <v>100</v>
      </c>
      <c r="F113" s="14" t="s">
        <v>16</v>
      </c>
      <c r="G113" s="14"/>
      <c r="H113" s="40" t="str">
        <f>IF(COUNTIF(Course[Course ID],Course[[#This Row],[Course ID]])&gt;1,"S","")</f>
        <v/>
      </c>
      <c r="I113" s="8"/>
      <c r="J113" s="8"/>
      <c r="K113" s="8"/>
      <c r="L113" s="8"/>
      <c r="M113" s="8"/>
      <c r="N113" s="8"/>
      <c r="O113" s="8"/>
      <c r="P113" s="8"/>
      <c r="Q113" t="b">
        <v>1</v>
      </c>
      <c r="R113">
        <v>22</v>
      </c>
      <c r="S113" s="8" t="s">
        <v>203</v>
      </c>
    </row>
    <row r="114" spans="1:19" x14ac:dyDescent="0.25">
      <c r="A114" s="40" t="b">
        <f t="shared" si="13"/>
        <v>1</v>
      </c>
      <c r="B114" s="40" t="b">
        <f t="shared" si="14"/>
        <v>0</v>
      </c>
      <c r="C114" s="8" t="str">
        <f t="shared" si="15"/>
        <v>LIT113 100</v>
      </c>
      <c r="D114" s="13" t="s">
        <v>217</v>
      </c>
      <c r="E114" s="13">
        <v>100</v>
      </c>
      <c r="F114" s="14" t="s">
        <v>16</v>
      </c>
      <c r="G114" s="14"/>
      <c r="H114" s="40" t="str">
        <f>IF(COUNTIF(Course[Course ID],Course[[#This Row],[Course ID]])&gt;1,"S","")</f>
        <v/>
      </c>
      <c r="I114" s="8"/>
      <c r="J114" s="8"/>
      <c r="K114" s="8"/>
      <c r="L114" s="8"/>
      <c r="M114" s="8"/>
      <c r="N114" s="8"/>
      <c r="O114" s="8"/>
      <c r="P114" s="8"/>
      <c r="Q114" t="b">
        <v>1</v>
      </c>
      <c r="R114">
        <v>22</v>
      </c>
      <c r="S114" s="8" t="s">
        <v>203</v>
      </c>
    </row>
    <row r="115" spans="1:19" x14ac:dyDescent="0.25">
      <c r="A115" s="40" t="b">
        <f t="shared" si="13"/>
        <v>1</v>
      </c>
      <c r="B115" s="40" t="b">
        <f t="shared" si="14"/>
        <v>0</v>
      </c>
      <c r="C115" s="8" t="str">
        <f t="shared" si="15"/>
        <v>LIT114 100</v>
      </c>
      <c r="D115" s="13" t="s">
        <v>218</v>
      </c>
      <c r="E115" s="13">
        <v>100</v>
      </c>
      <c r="F115" s="14" t="s">
        <v>16</v>
      </c>
      <c r="G115" s="14"/>
      <c r="H115" s="40" t="str">
        <f>IF(COUNTIF(Course[Course ID],Course[[#This Row],[Course ID]])&gt;1,"S","")</f>
        <v/>
      </c>
      <c r="I115" s="8"/>
      <c r="J115" s="8"/>
      <c r="K115" s="8"/>
      <c r="L115" s="8"/>
      <c r="M115" s="8"/>
      <c r="N115" s="8"/>
      <c r="O115" s="8"/>
      <c r="P115" s="8"/>
      <c r="Q115" t="b">
        <v>1</v>
      </c>
      <c r="R115">
        <v>22</v>
      </c>
      <c r="S115" s="8" t="s">
        <v>203</v>
      </c>
    </row>
    <row r="116" spans="1:19" x14ac:dyDescent="0.25">
      <c r="A116" s="40" t="b">
        <f>IF(F116="G", TRUE,FALSE)</f>
        <v>1</v>
      </c>
      <c r="B116" s="40" t="b">
        <f>IF(ISBLANK(G116),FALSE,TRUE)</f>
        <v>0</v>
      </c>
      <c r="C116" s="8" t="str">
        <f>CONCATENATE(D116," ",E116)</f>
        <v>HFD100 100</v>
      </c>
      <c r="D116" s="13" t="s">
        <v>219</v>
      </c>
      <c r="E116" s="13">
        <v>100</v>
      </c>
      <c r="F116" s="14" t="s">
        <v>16</v>
      </c>
      <c r="G116" s="14"/>
      <c r="H116" s="40" t="str">
        <f>IF(COUNTIF(Course[Course ID],Course[[#This Row],[Course ID]])&gt;1,"S","")</f>
        <v/>
      </c>
      <c r="I116" s="8"/>
      <c r="J116" s="8"/>
      <c r="K116" s="8"/>
      <c r="L116" s="8"/>
      <c r="M116" s="8"/>
      <c r="N116" s="8"/>
      <c r="O116" s="8"/>
      <c r="P116" s="8"/>
      <c r="Q116" t="b">
        <v>1</v>
      </c>
      <c r="R116">
        <v>23</v>
      </c>
      <c r="S116" s="8" t="s">
        <v>203</v>
      </c>
    </row>
    <row r="117" spans="1:19" x14ac:dyDescent="0.25">
      <c r="A117" s="40" t="b">
        <f t="shared" ref="A117:A148" si="16">IF(F117="G", TRUE,FALSE)</f>
        <v>1</v>
      </c>
      <c r="B117" s="40" t="b">
        <f t="shared" ref="B117:B148" si="17">IF(ISBLANK(G117),FALSE,TRUE)</f>
        <v>0</v>
      </c>
      <c r="C117" s="8" t="str">
        <f t="shared" ref="C117:C148" si="18">CONCATENATE(D117," ",E117)</f>
        <v>HFD101 100</v>
      </c>
      <c r="D117" s="13" t="s">
        <v>220</v>
      </c>
      <c r="E117" s="13">
        <v>100</v>
      </c>
      <c r="F117" s="14" t="s">
        <v>16</v>
      </c>
      <c r="G117" s="14"/>
      <c r="H117" s="40" t="str">
        <f>IF(COUNTIF(Course[Course ID],Course[[#This Row],[Course ID]])&gt;1,"S","")</f>
        <v/>
      </c>
      <c r="I117" s="8"/>
      <c r="J117" s="8"/>
      <c r="K117" s="8"/>
      <c r="L117" s="8"/>
      <c r="M117" s="8"/>
      <c r="N117" s="8"/>
      <c r="O117" s="8"/>
      <c r="P117" s="8"/>
      <c r="Q117" t="b">
        <v>1</v>
      </c>
      <c r="R117">
        <v>23</v>
      </c>
      <c r="S117" s="8" t="s">
        <v>203</v>
      </c>
    </row>
    <row r="118" spans="1:19" x14ac:dyDescent="0.25">
      <c r="A118" s="40" t="b">
        <f t="shared" si="16"/>
        <v>1</v>
      </c>
      <c r="B118" s="40" t="b">
        <f t="shared" si="17"/>
        <v>0</v>
      </c>
      <c r="C118" s="8" t="str">
        <f t="shared" si="18"/>
        <v>HFD102 100</v>
      </c>
      <c r="D118" s="13" t="s">
        <v>221</v>
      </c>
      <c r="E118" s="13">
        <v>100</v>
      </c>
      <c r="F118" s="14" t="s">
        <v>16</v>
      </c>
      <c r="G118" s="14"/>
      <c r="H118" s="40" t="str">
        <f>IF(COUNTIF(Course[Course ID],Course[[#This Row],[Course ID]])&gt;1,"S","")</f>
        <v/>
      </c>
      <c r="I118" s="8"/>
      <c r="J118" s="8"/>
      <c r="K118" s="8"/>
      <c r="L118" s="8"/>
      <c r="M118" s="8"/>
      <c r="N118" s="8"/>
      <c r="O118" s="8"/>
      <c r="P118" s="8"/>
      <c r="Q118" t="b">
        <v>1</v>
      </c>
      <c r="R118">
        <v>23</v>
      </c>
      <c r="S118" s="8" t="s">
        <v>203</v>
      </c>
    </row>
    <row r="119" spans="1:19" x14ac:dyDescent="0.25">
      <c r="A119" s="40" t="b">
        <f t="shared" si="16"/>
        <v>1</v>
      </c>
      <c r="B119" s="40" t="b">
        <f t="shared" si="17"/>
        <v>0</v>
      </c>
      <c r="C119" s="8" t="str">
        <f t="shared" si="18"/>
        <v>HFD103 100</v>
      </c>
      <c r="D119" s="13" t="s">
        <v>222</v>
      </c>
      <c r="E119" s="13">
        <v>100</v>
      </c>
      <c r="F119" s="14" t="s">
        <v>16</v>
      </c>
      <c r="G119" s="14"/>
      <c r="H119" s="40" t="str">
        <f>IF(COUNTIF(Course[Course ID],Course[[#This Row],[Course ID]])&gt;1,"S","")</f>
        <v/>
      </c>
      <c r="I119" s="8"/>
      <c r="J119" s="8"/>
      <c r="K119" s="8"/>
      <c r="L119" s="8"/>
      <c r="M119" s="8"/>
      <c r="N119" s="8"/>
      <c r="O119" s="8"/>
      <c r="P119" s="8"/>
      <c r="Q119" t="b">
        <v>1</v>
      </c>
      <c r="R119">
        <v>23</v>
      </c>
      <c r="S119" s="8" t="s">
        <v>203</v>
      </c>
    </row>
    <row r="120" spans="1:19" x14ac:dyDescent="0.25">
      <c r="A120" s="40" t="b">
        <f t="shared" si="16"/>
        <v>1</v>
      </c>
      <c r="B120" s="40" t="b">
        <f t="shared" si="17"/>
        <v>0</v>
      </c>
      <c r="C120" s="8" t="str">
        <f t="shared" si="18"/>
        <v>HFD104 100</v>
      </c>
      <c r="D120" s="13" t="s">
        <v>223</v>
      </c>
      <c r="E120" s="13">
        <v>100</v>
      </c>
      <c r="F120" s="14" t="s">
        <v>16</v>
      </c>
      <c r="G120" s="14"/>
      <c r="H120" s="40" t="str">
        <f>IF(COUNTIF(Course[Course ID],Course[[#This Row],[Course ID]])&gt;1,"S","")</f>
        <v/>
      </c>
      <c r="I120" s="8"/>
      <c r="J120" s="8"/>
      <c r="K120" s="8"/>
      <c r="L120" s="8"/>
      <c r="M120" s="8"/>
      <c r="N120" s="8"/>
      <c r="O120" s="8"/>
      <c r="P120" s="8"/>
      <c r="Q120" t="b">
        <v>1</v>
      </c>
      <c r="R120">
        <v>23</v>
      </c>
      <c r="S120" s="8" t="s">
        <v>203</v>
      </c>
    </row>
    <row r="121" spans="1:19" x14ac:dyDescent="0.25">
      <c r="A121" s="40" t="b">
        <f t="shared" si="16"/>
        <v>1</v>
      </c>
      <c r="B121" s="40" t="b">
        <f t="shared" si="17"/>
        <v>0</v>
      </c>
      <c r="C121" s="8" t="str">
        <f t="shared" si="18"/>
        <v>HFD105 100</v>
      </c>
      <c r="D121" s="13" t="s">
        <v>224</v>
      </c>
      <c r="E121" s="13">
        <v>100</v>
      </c>
      <c r="F121" s="14" t="s">
        <v>16</v>
      </c>
      <c r="G121" s="14"/>
      <c r="H121" s="40" t="str">
        <f>IF(COUNTIF(Course[Course ID],Course[[#This Row],[Course ID]])&gt;1,"S","")</f>
        <v/>
      </c>
      <c r="I121" s="8"/>
      <c r="J121" s="8"/>
      <c r="K121" s="8"/>
      <c r="L121" s="8"/>
      <c r="M121" s="8"/>
      <c r="N121" s="8"/>
      <c r="O121" s="8"/>
      <c r="P121" s="8"/>
      <c r="Q121" t="b">
        <v>1</v>
      </c>
      <c r="R121">
        <v>23</v>
      </c>
      <c r="S121" s="8" t="s">
        <v>203</v>
      </c>
    </row>
    <row r="122" spans="1:19" x14ac:dyDescent="0.25">
      <c r="A122" s="40" t="b">
        <f t="shared" si="16"/>
        <v>1</v>
      </c>
      <c r="B122" s="40" t="b">
        <f t="shared" si="17"/>
        <v>0</v>
      </c>
      <c r="C122" s="8" t="str">
        <f t="shared" si="18"/>
        <v>HFD106 100</v>
      </c>
      <c r="D122" s="13" t="s">
        <v>225</v>
      </c>
      <c r="E122" s="13">
        <v>100</v>
      </c>
      <c r="F122" s="14" t="s">
        <v>16</v>
      </c>
      <c r="G122" s="14"/>
      <c r="H122" s="40" t="str">
        <f>IF(COUNTIF(Course[Course ID],Course[[#This Row],[Course ID]])&gt;1,"S","")</f>
        <v/>
      </c>
      <c r="I122" s="8"/>
      <c r="J122" s="8"/>
      <c r="K122" s="8"/>
      <c r="L122" s="8"/>
      <c r="M122" s="8"/>
      <c r="N122" s="8"/>
      <c r="O122" s="8"/>
      <c r="P122" s="8"/>
      <c r="Q122" t="b">
        <v>1</v>
      </c>
      <c r="R122">
        <v>23</v>
      </c>
      <c r="S122" s="8" t="s">
        <v>203</v>
      </c>
    </row>
    <row r="123" spans="1:19" x14ac:dyDescent="0.25">
      <c r="A123" s="40" t="b">
        <f t="shared" si="16"/>
        <v>1</v>
      </c>
      <c r="B123" s="40" t="b">
        <f t="shared" si="17"/>
        <v>0</v>
      </c>
      <c r="C123" s="8" t="str">
        <f t="shared" si="18"/>
        <v>HFD107 100</v>
      </c>
      <c r="D123" s="13" t="s">
        <v>226</v>
      </c>
      <c r="E123" s="13">
        <v>100</v>
      </c>
      <c r="F123" s="14" t="s">
        <v>16</v>
      </c>
      <c r="G123" s="14"/>
      <c r="H123" s="40" t="str">
        <f>IF(COUNTIF(Course[Course ID],Course[[#This Row],[Course ID]])&gt;1,"S","")</f>
        <v/>
      </c>
      <c r="I123" s="8"/>
      <c r="J123" s="8"/>
      <c r="K123" s="8"/>
      <c r="L123" s="8"/>
      <c r="M123" s="8"/>
      <c r="N123" s="8"/>
      <c r="O123" s="8"/>
      <c r="P123" s="8"/>
      <c r="Q123" t="b">
        <v>1</v>
      </c>
      <c r="R123">
        <v>23</v>
      </c>
      <c r="S123" s="8" t="s">
        <v>203</v>
      </c>
    </row>
    <row r="124" spans="1:19" x14ac:dyDescent="0.25">
      <c r="A124" s="40" t="b">
        <f t="shared" si="16"/>
        <v>1</v>
      </c>
      <c r="B124" s="40" t="b">
        <f t="shared" si="17"/>
        <v>0</v>
      </c>
      <c r="C124" s="8" t="str">
        <f t="shared" si="18"/>
        <v>HFD108 100</v>
      </c>
      <c r="D124" s="13" t="s">
        <v>227</v>
      </c>
      <c r="E124" s="13">
        <v>100</v>
      </c>
      <c r="F124" s="14" t="s">
        <v>16</v>
      </c>
      <c r="G124" s="14"/>
      <c r="H124" s="40" t="str">
        <f>IF(COUNTIF(Course[Course ID],Course[[#This Row],[Course ID]])&gt;1,"S","")</f>
        <v/>
      </c>
      <c r="I124" s="8"/>
      <c r="J124" s="8"/>
      <c r="K124" s="8"/>
      <c r="L124" s="8"/>
      <c r="M124" s="8"/>
      <c r="N124" s="8"/>
      <c r="O124" s="8"/>
      <c r="P124" s="8"/>
      <c r="Q124" t="b">
        <v>1</v>
      </c>
      <c r="R124">
        <v>23</v>
      </c>
      <c r="S124" s="8" t="s">
        <v>203</v>
      </c>
    </row>
    <row r="125" spans="1:19" x14ac:dyDescent="0.25">
      <c r="A125" s="40" t="b">
        <f t="shared" si="16"/>
        <v>1</v>
      </c>
      <c r="B125" s="40" t="b">
        <f t="shared" si="17"/>
        <v>0</v>
      </c>
      <c r="C125" s="8" t="str">
        <f t="shared" si="18"/>
        <v>HFD109 100</v>
      </c>
      <c r="D125" s="13" t="s">
        <v>228</v>
      </c>
      <c r="E125" s="13">
        <v>100</v>
      </c>
      <c r="F125" s="14" t="s">
        <v>16</v>
      </c>
      <c r="G125" s="14"/>
      <c r="H125" s="40" t="str">
        <f>IF(COUNTIF(Course[Course ID],Course[[#This Row],[Course ID]])&gt;1,"S","")</f>
        <v/>
      </c>
      <c r="I125" s="8"/>
      <c r="J125" s="8"/>
      <c r="K125" s="8"/>
      <c r="L125" s="8"/>
      <c r="M125" s="8"/>
      <c r="N125" s="8"/>
      <c r="O125" s="8"/>
      <c r="P125" s="8"/>
      <c r="Q125" t="b">
        <v>1</v>
      </c>
      <c r="R125">
        <v>23</v>
      </c>
      <c r="S125" s="8" t="s">
        <v>203</v>
      </c>
    </row>
    <row r="126" spans="1:19" x14ac:dyDescent="0.25">
      <c r="A126" s="40" t="b">
        <f t="shared" si="16"/>
        <v>1</v>
      </c>
      <c r="B126" s="40" t="b">
        <f t="shared" si="17"/>
        <v>0</v>
      </c>
      <c r="C126" s="8" t="str">
        <f t="shared" si="18"/>
        <v>HFD110 100</v>
      </c>
      <c r="D126" s="13" t="s">
        <v>229</v>
      </c>
      <c r="E126" s="13">
        <v>100</v>
      </c>
      <c r="F126" s="14" t="s">
        <v>16</v>
      </c>
      <c r="G126" s="14"/>
      <c r="H126" s="40" t="str">
        <f>IF(COUNTIF(Course[Course ID],Course[[#This Row],[Course ID]])&gt;1,"S","")</f>
        <v/>
      </c>
      <c r="I126" s="8"/>
      <c r="J126" s="8"/>
      <c r="K126" s="8"/>
      <c r="L126" s="8"/>
      <c r="M126" s="8"/>
      <c r="N126" s="8"/>
      <c r="O126" s="8"/>
      <c r="P126" s="8"/>
      <c r="Q126" t="b">
        <v>1</v>
      </c>
      <c r="R126">
        <v>24</v>
      </c>
      <c r="S126" s="8" t="s">
        <v>203</v>
      </c>
    </row>
    <row r="127" spans="1:19" x14ac:dyDescent="0.25">
      <c r="A127" s="40" t="b">
        <f t="shared" si="16"/>
        <v>1</v>
      </c>
      <c r="B127" s="40" t="b">
        <f t="shared" si="17"/>
        <v>0</v>
      </c>
      <c r="C127" s="8" t="str">
        <f t="shared" si="18"/>
        <v>HFD111 100</v>
      </c>
      <c r="D127" s="13" t="s">
        <v>230</v>
      </c>
      <c r="E127" s="13">
        <v>100</v>
      </c>
      <c r="F127" s="14" t="s">
        <v>16</v>
      </c>
      <c r="G127" s="14"/>
      <c r="H127" s="40" t="str">
        <f>IF(COUNTIF(Course[Course ID],Course[[#This Row],[Course ID]])&gt;1,"S","")</f>
        <v/>
      </c>
      <c r="I127" s="8"/>
      <c r="J127" s="8"/>
      <c r="K127" s="8"/>
      <c r="L127" s="8"/>
      <c r="M127" s="8"/>
      <c r="N127" s="8"/>
      <c r="O127" s="8"/>
      <c r="P127" s="8"/>
      <c r="Q127" t="b">
        <v>1</v>
      </c>
      <c r="R127">
        <v>24</v>
      </c>
      <c r="S127" s="8" t="s">
        <v>203</v>
      </c>
    </row>
    <row r="128" spans="1:19" x14ac:dyDescent="0.25">
      <c r="A128" s="40" t="b">
        <f t="shared" si="16"/>
        <v>1</v>
      </c>
      <c r="B128" s="40" t="b">
        <f t="shared" si="17"/>
        <v>0</v>
      </c>
      <c r="C128" s="8" t="str">
        <f t="shared" si="18"/>
        <v>HFD112 100</v>
      </c>
      <c r="D128" s="13" t="s">
        <v>231</v>
      </c>
      <c r="E128" s="13">
        <v>100</v>
      </c>
      <c r="F128" s="14" t="s">
        <v>16</v>
      </c>
      <c r="G128" s="14"/>
      <c r="H128" s="40" t="str">
        <f>IF(COUNTIF(Course[Course ID],Course[[#This Row],[Course ID]])&gt;1,"S","")</f>
        <v/>
      </c>
      <c r="I128" s="8"/>
      <c r="J128" s="8"/>
      <c r="K128" s="8"/>
      <c r="L128" s="8"/>
      <c r="M128" s="8"/>
      <c r="N128" s="8"/>
      <c r="O128" s="8"/>
      <c r="P128" s="8"/>
      <c r="Q128" t="b">
        <v>1</v>
      </c>
      <c r="R128">
        <v>24</v>
      </c>
      <c r="S128" s="8" t="s">
        <v>203</v>
      </c>
    </row>
    <row r="129" spans="1:19" x14ac:dyDescent="0.25">
      <c r="A129" s="40" t="b">
        <f t="shared" si="16"/>
        <v>1</v>
      </c>
      <c r="B129" s="40" t="b">
        <f t="shared" si="17"/>
        <v>0</v>
      </c>
      <c r="C129" s="8" t="str">
        <f t="shared" si="18"/>
        <v>HFD113 100</v>
      </c>
      <c r="D129" s="13" t="s">
        <v>232</v>
      </c>
      <c r="E129" s="13">
        <v>100</v>
      </c>
      <c r="F129" s="14" t="s">
        <v>16</v>
      </c>
      <c r="G129" s="14"/>
      <c r="H129" s="40" t="str">
        <f>IF(COUNTIF(Course[Course ID],Course[[#This Row],[Course ID]])&gt;1,"S","")</f>
        <v/>
      </c>
      <c r="I129" s="8"/>
      <c r="J129" s="8"/>
      <c r="K129" s="8"/>
      <c r="L129" s="8"/>
      <c r="M129" s="8"/>
      <c r="N129" s="8"/>
      <c r="O129" s="8"/>
      <c r="P129" s="8"/>
      <c r="Q129" t="b">
        <v>1</v>
      </c>
      <c r="R129">
        <v>24</v>
      </c>
      <c r="S129" s="8" t="s">
        <v>203</v>
      </c>
    </row>
    <row r="130" spans="1:19" x14ac:dyDescent="0.25">
      <c r="A130" s="40" t="b">
        <f t="shared" si="16"/>
        <v>1</v>
      </c>
      <c r="B130" s="40" t="b">
        <f t="shared" si="17"/>
        <v>0</v>
      </c>
      <c r="C130" s="8" t="str">
        <f t="shared" si="18"/>
        <v>HFD114 100</v>
      </c>
      <c r="D130" s="13" t="s">
        <v>233</v>
      </c>
      <c r="E130" s="13">
        <v>100</v>
      </c>
      <c r="F130" s="14" t="s">
        <v>16</v>
      </c>
      <c r="G130" s="14"/>
      <c r="H130" s="40" t="str">
        <f>IF(COUNTIF(Course[Course ID],Course[[#This Row],[Course ID]])&gt;1,"S","")</f>
        <v/>
      </c>
      <c r="I130" s="8"/>
      <c r="J130" s="8"/>
      <c r="K130" s="8"/>
      <c r="L130" s="8"/>
      <c r="M130" s="8"/>
      <c r="N130" s="8"/>
      <c r="O130" s="8"/>
      <c r="P130" s="8"/>
      <c r="Q130" t="b">
        <v>1</v>
      </c>
      <c r="R130">
        <v>24</v>
      </c>
      <c r="S130" s="8" t="s">
        <v>203</v>
      </c>
    </row>
    <row r="131" spans="1:19" x14ac:dyDescent="0.25">
      <c r="A131" s="40" t="b">
        <f t="shared" si="16"/>
        <v>1</v>
      </c>
      <c r="B131" s="40" t="b">
        <f t="shared" si="17"/>
        <v>0</v>
      </c>
      <c r="C131" s="8" t="str">
        <f t="shared" si="18"/>
        <v>HFD115 100</v>
      </c>
      <c r="D131" s="13" t="s">
        <v>234</v>
      </c>
      <c r="E131" s="13">
        <v>100</v>
      </c>
      <c r="F131" s="14" t="s">
        <v>16</v>
      </c>
      <c r="G131" s="14"/>
      <c r="H131" s="40" t="str">
        <f>IF(COUNTIF(Course[Course ID],Course[[#This Row],[Course ID]])&gt;1,"S","")</f>
        <v/>
      </c>
      <c r="I131" s="8"/>
      <c r="J131" s="8"/>
      <c r="K131" s="8"/>
      <c r="L131" s="8"/>
      <c r="M131" s="8"/>
      <c r="N131" s="8"/>
      <c r="O131" s="8"/>
      <c r="P131" s="8"/>
      <c r="Q131" t="b">
        <v>1</v>
      </c>
      <c r="R131">
        <v>24</v>
      </c>
      <c r="S131" s="8" t="s">
        <v>203</v>
      </c>
    </row>
    <row r="132" spans="1:19" x14ac:dyDescent="0.25">
      <c r="A132" s="40" t="b">
        <f t="shared" si="16"/>
        <v>1</v>
      </c>
      <c r="B132" s="40" t="b">
        <f t="shared" si="17"/>
        <v>0</v>
      </c>
      <c r="C132" s="8" t="str">
        <f t="shared" si="18"/>
        <v>HFD116 100</v>
      </c>
      <c r="D132" s="13" t="s">
        <v>235</v>
      </c>
      <c r="E132" s="13">
        <v>100</v>
      </c>
      <c r="F132" s="14" t="s">
        <v>16</v>
      </c>
      <c r="G132" s="14"/>
      <c r="H132" s="40" t="str">
        <f>IF(COUNTIF(Course[Course ID],Course[[#This Row],[Course ID]])&gt;1,"S","")</f>
        <v/>
      </c>
      <c r="I132" s="8"/>
      <c r="J132" s="8"/>
      <c r="K132" s="8"/>
      <c r="L132" s="8"/>
      <c r="M132" s="8"/>
      <c r="N132" s="8"/>
      <c r="O132" s="8"/>
      <c r="P132" s="8"/>
      <c r="Q132" t="b">
        <v>1</v>
      </c>
      <c r="R132">
        <v>24</v>
      </c>
      <c r="S132" s="8" t="s">
        <v>203</v>
      </c>
    </row>
    <row r="133" spans="1:19" x14ac:dyDescent="0.25">
      <c r="A133" s="40" t="b">
        <f t="shared" si="16"/>
        <v>1</v>
      </c>
      <c r="B133" s="40" t="b">
        <f t="shared" si="17"/>
        <v>0</v>
      </c>
      <c r="C133" s="8" t="str">
        <f t="shared" si="18"/>
        <v>HFD117 100</v>
      </c>
      <c r="D133" s="13" t="s">
        <v>236</v>
      </c>
      <c r="E133" s="13">
        <v>100</v>
      </c>
      <c r="F133" s="14" t="s">
        <v>16</v>
      </c>
      <c r="G133" s="14"/>
      <c r="H133" s="40" t="str">
        <f>IF(COUNTIF(Course[Course ID],Course[[#This Row],[Course ID]])&gt;1,"S","")</f>
        <v/>
      </c>
      <c r="I133" s="8"/>
      <c r="J133" s="8"/>
      <c r="K133" s="8"/>
      <c r="L133" s="8"/>
      <c r="M133" s="8"/>
      <c r="N133" s="8"/>
      <c r="O133" s="8"/>
      <c r="P133" s="8"/>
      <c r="Q133" t="b">
        <v>1</v>
      </c>
      <c r="R133">
        <v>24</v>
      </c>
      <c r="S133" s="8" t="s">
        <v>203</v>
      </c>
    </row>
    <row r="134" spans="1:19" x14ac:dyDescent="0.25">
      <c r="A134" s="40" t="b">
        <f t="shared" si="16"/>
        <v>1</v>
      </c>
      <c r="B134" s="40" t="b">
        <f t="shared" si="17"/>
        <v>0</v>
      </c>
      <c r="C134" s="8" t="str">
        <f t="shared" si="18"/>
        <v>HFD118 100</v>
      </c>
      <c r="D134" s="13" t="s">
        <v>237</v>
      </c>
      <c r="E134" s="13">
        <v>100</v>
      </c>
      <c r="F134" s="14" t="s">
        <v>16</v>
      </c>
      <c r="G134" s="14"/>
      <c r="H134" s="40" t="str">
        <f>IF(COUNTIF(Course[Course ID],Course[[#This Row],[Course ID]])&gt;1,"S","")</f>
        <v/>
      </c>
      <c r="I134" s="8"/>
      <c r="J134" s="8"/>
      <c r="K134" s="8"/>
      <c r="L134" s="8"/>
      <c r="M134" s="8"/>
      <c r="N134" s="8"/>
      <c r="O134" s="8"/>
      <c r="P134" s="8"/>
      <c r="Q134" t="b">
        <v>1</v>
      </c>
      <c r="R134">
        <v>24</v>
      </c>
      <c r="S134" s="8" t="s">
        <v>203</v>
      </c>
    </row>
    <row r="135" spans="1:19" x14ac:dyDescent="0.25">
      <c r="A135" s="40" t="b">
        <f t="shared" si="16"/>
        <v>1</v>
      </c>
      <c r="B135" s="40" t="b">
        <f t="shared" si="17"/>
        <v>0</v>
      </c>
      <c r="C135" s="8" t="str">
        <f t="shared" si="18"/>
        <v>HFD119 100</v>
      </c>
      <c r="D135" s="13" t="s">
        <v>238</v>
      </c>
      <c r="E135" s="13">
        <v>100</v>
      </c>
      <c r="F135" s="14" t="s">
        <v>16</v>
      </c>
      <c r="G135" s="14"/>
      <c r="H135" s="40" t="str">
        <f>IF(COUNTIF(Course[Course ID],Course[[#This Row],[Course ID]])&gt;1,"S","")</f>
        <v/>
      </c>
      <c r="I135" s="8"/>
      <c r="J135" s="8"/>
      <c r="K135" s="8"/>
      <c r="L135" s="8"/>
      <c r="M135" s="8"/>
      <c r="N135" s="8"/>
      <c r="O135" s="8"/>
      <c r="P135" s="8"/>
      <c r="Q135" t="b">
        <v>1</v>
      </c>
      <c r="R135">
        <v>25</v>
      </c>
      <c r="S135" s="8" t="s">
        <v>203</v>
      </c>
    </row>
    <row r="136" spans="1:19" x14ac:dyDescent="0.25">
      <c r="A136" s="40" t="b">
        <f t="shared" si="16"/>
        <v>1</v>
      </c>
      <c r="B136" s="40" t="b">
        <f t="shared" si="17"/>
        <v>0</v>
      </c>
      <c r="C136" s="8" t="str">
        <f t="shared" si="18"/>
        <v>HFD120 100</v>
      </c>
      <c r="D136" s="13" t="s">
        <v>239</v>
      </c>
      <c r="E136" s="13">
        <v>100</v>
      </c>
      <c r="F136" s="14" t="s">
        <v>16</v>
      </c>
      <c r="G136" s="14"/>
      <c r="H136" s="40" t="str">
        <f>IF(COUNTIF(Course[Course ID],Course[[#This Row],[Course ID]])&gt;1,"S","")</f>
        <v/>
      </c>
      <c r="I136" s="8"/>
      <c r="J136" s="8"/>
      <c r="K136" s="8"/>
      <c r="L136" s="8"/>
      <c r="M136" s="8"/>
      <c r="N136" s="8"/>
      <c r="O136" s="8"/>
      <c r="P136" s="8"/>
      <c r="Q136" t="b">
        <v>1</v>
      </c>
      <c r="R136">
        <v>25</v>
      </c>
      <c r="S136" s="8" t="s">
        <v>203</v>
      </c>
    </row>
    <row r="137" spans="1:19" x14ac:dyDescent="0.25">
      <c r="A137" s="40" t="b">
        <f t="shared" si="16"/>
        <v>1</v>
      </c>
      <c r="B137" s="40" t="b">
        <f t="shared" si="17"/>
        <v>0</v>
      </c>
      <c r="C137" s="8" t="str">
        <f t="shared" si="18"/>
        <v>HFD121 100</v>
      </c>
      <c r="D137" s="13" t="s">
        <v>240</v>
      </c>
      <c r="E137" s="13">
        <v>100</v>
      </c>
      <c r="F137" s="14" t="s">
        <v>16</v>
      </c>
      <c r="G137" s="14"/>
      <c r="H137" s="40" t="str">
        <f>IF(COUNTIF(Course[Course ID],Course[[#This Row],[Course ID]])&gt;1,"S","")</f>
        <v/>
      </c>
      <c r="I137" s="8"/>
      <c r="J137" s="8"/>
      <c r="K137" s="8"/>
      <c r="L137" s="8"/>
      <c r="M137" s="8"/>
      <c r="N137" s="8"/>
      <c r="O137" s="8"/>
      <c r="P137" s="8"/>
      <c r="Q137" t="b">
        <v>1</v>
      </c>
      <c r="R137">
        <v>25</v>
      </c>
      <c r="S137" s="8" t="s">
        <v>203</v>
      </c>
    </row>
    <row r="138" spans="1:19" x14ac:dyDescent="0.25">
      <c r="A138" s="40" t="b">
        <f t="shared" si="16"/>
        <v>1</v>
      </c>
      <c r="B138" s="40" t="b">
        <f t="shared" si="17"/>
        <v>0</v>
      </c>
      <c r="C138" s="8" t="str">
        <f t="shared" si="18"/>
        <v>HFD122 100</v>
      </c>
      <c r="D138" s="13" t="s">
        <v>241</v>
      </c>
      <c r="E138" s="13">
        <v>100</v>
      </c>
      <c r="F138" s="14" t="s">
        <v>16</v>
      </c>
      <c r="G138" s="14"/>
      <c r="H138" s="40" t="str">
        <f>IF(COUNTIF(Course[Course ID],Course[[#This Row],[Course ID]])&gt;1,"S","")</f>
        <v/>
      </c>
      <c r="I138" s="8"/>
      <c r="J138" s="8"/>
      <c r="K138" s="8"/>
      <c r="L138" s="8"/>
      <c r="M138" s="8"/>
      <c r="N138" s="8"/>
      <c r="O138" s="8"/>
      <c r="P138" s="8"/>
      <c r="Q138" t="b">
        <v>1</v>
      </c>
      <c r="R138">
        <v>25</v>
      </c>
      <c r="S138" s="8" t="s">
        <v>203</v>
      </c>
    </row>
    <row r="139" spans="1:19" x14ac:dyDescent="0.25">
      <c r="A139" s="40" t="b">
        <f t="shared" si="16"/>
        <v>1</v>
      </c>
      <c r="B139" s="40" t="b">
        <f t="shared" si="17"/>
        <v>0</v>
      </c>
      <c r="C139" s="8" t="str">
        <f t="shared" si="18"/>
        <v>HFD123 100</v>
      </c>
      <c r="D139" s="13" t="s">
        <v>242</v>
      </c>
      <c r="E139" s="13">
        <v>100</v>
      </c>
      <c r="F139" s="14" t="s">
        <v>16</v>
      </c>
      <c r="G139" s="14"/>
      <c r="H139" s="40" t="str">
        <f>IF(COUNTIF(Course[Course ID],Course[[#This Row],[Course ID]])&gt;1,"S","")</f>
        <v/>
      </c>
      <c r="I139" s="8"/>
      <c r="J139" s="8"/>
      <c r="K139" s="8"/>
      <c r="L139" s="8"/>
      <c r="M139" s="8"/>
      <c r="N139" s="8"/>
      <c r="O139" s="8"/>
      <c r="P139" s="8"/>
      <c r="Q139" t="b">
        <v>1</v>
      </c>
      <c r="R139">
        <v>25</v>
      </c>
      <c r="S139" s="8" t="s">
        <v>203</v>
      </c>
    </row>
    <row r="140" spans="1:19" x14ac:dyDescent="0.25">
      <c r="A140" s="40" t="b">
        <f t="shared" si="16"/>
        <v>1</v>
      </c>
      <c r="B140" s="40" t="b">
        <f t="shared" si="17"/>
        <v>0</v>
      </c>
      <c r="C140" s="8" t="str">
        <f t="shared" si="18"/>
        <v>HFD124 100</v>
      </c>
      <c r="D140" s="13" t="s">
        <v>243</v>
      </c>
      <c r="E140" s="13">
        <v>100</v>
      </c>
      <c r="F140" s="14" t="s">
        <v>16</v>
      </c>
      <c r="G140" s="14"/>
      <c r="H140" s="40" t="str">
        <f>IF(COUNTIF(Course[Course ID],Course[[#This Row],[Course ID]])&gt;1,"S","")</f>
        <v/>
      </c>
      <c r="I140" s="8"/>
      <c r="J140" s="8"/>
      <c r="K140" s="8"/>
      <c r="L140" s="8"/>
      <c r="M140" s="8"/>
      <c r="N140" s="8"/>
      <c r="O140" s="8"/>
      <c r="P140" s="8"/>
      <c r="Q140" t="b">
        <v>1</v>
      </c>
      <c r="R140">
        <v>25</v>
      </c>
      <c r="S140" s="8" t="s">
        <v>203</v>
      </c>
    </row>
    <row r="141" spans="1:19" x14ac:dyDescent="0.25">
      <c r="A141" s="40" t="b">
        <f t="shared" si="16"/>
        <v>1</v>
      </c>
      <c r="B141" s="40" t="b">
        <f t="shared" si="17"/>
        <v>0</v>
      </c>
      <c r="C141" s="8" t="str">
        <f t="shared" si="18"/>
        <v>HFD125 100</v>
      </c>
      <c r="D141" s="13" t="s">
        <v>244</v>
      </c>
      <c r="E141" s="13">
        <v>100</v>
      </c>
      <c r="F141" s="14" t="s">
        <v>16</v>
      </c>
      <c r="G141" s="14"/>
      <c r="H141" s="40" t="str">
        <f>IF(COUNTIF(Course[Course ID],Course[[#This Row],[Course ID]])&gt;1,"S","")</f>
        <v/>
      </c>
      <c r="I141" s="8"/>
      <c r="J141" s="8"/>
      <c r="K141" s="8"/>
      <c r="L141" s="8"/>
      <c r="M141" s="8"/>
      <c r="N141" s="8"/>
      <c r="O141" s="8"/>
      <c r="P141" s="8"/>
      <c r="Q141" t="b">
        <v>1</v>
      </c>
      <c r="R141">
        <v>25</v>
      </c>
      <c r="S141" s="8" t="s">
        <v>203</v>
      </c>
    </row>
    <row r="142" spans="1:19" x14ac:dyDescent="0.25">
      <c r="A142" s="40" t="b">
        <f t="shared" si="16"/>
        <v>1</v>
      </c>
      <c r="B142" s="40" t="b">
        <f t="shared" si="17"/>
        <v>0</v>
      </c>
      <c r="C142" s="8" t="str">
        <f t="shared" si="18"/>
        <v>HFD126 100</v>
      </c>
      <c r="D142" s="13" t="s">
        <v>245</v>
      </c>
      <c r="E142" s="13">
        <v>100</v>
      </c>
      <c r="F142" s="14" t="s">
        <v>16</v>
      </c>
      <c r="G142" s="14"/>
      <c r="H142" s="40" t="str">
        <f>IF(COUNTIF(Course[Course ID],Course[[#This Row],[Course ID]])&gt;1,"S","")</f>
        <v/>
      </c>
      <c r="I142" s="8"/>
      <c r="J142" s="8"/>
      <c r="K142" s="8"/>
      <c r="L142" s="8"/>
      <c r="M142" s="8"/>
      <c r="N142" s="8"/>
      <c r="O142" s="8"/>
      <c r="P142" s="8"/>
      <c r="Q142" t="b">
        <v>1</v>
      </c>
      <c r="R142">
        <v>25</v>
      </c>
      <c r="S142" s="8" t="s">
        <v>203</v>
      </c>
    </row>
    <row r="143" spans="1:19" x14ac:dyDescent="0.25">
      <c r="A143" s="40" t="b">
        <f t="shared" si="16"/>
        <v>1</v>
      </c>
      <c r="B143" s="40" t="b">
        <f t="shared" si="17"/>
        <v>0</v>
      </c>
      <c r="C143" s="8" t="str">
        <f t="shared" si="18"/>
        <v>HFD127 100</v>
      </c>
      <c r="D143" s="13" t="s">
        <v>246</v>
      </c>
      <c r="E143" s="13">
        <v>100</v>
      </c>
      <c r="F143" s="14" t="s">
        <v>16</v>
      </c>
      <c r="G143" s="14"/>
      <c r="H143" s="40" t="str">
        <f>IF(COUNTIF(Course[Course ID],Course[[#This Row],[Course ID]])&gt;1,"S","")</f>
        <v/>
      </c>
      <c r="I143" s="8"/>
      <c r="J143" s="8"/>
      <c r="K143" s="8"/>
      <c r="L143" s="8"/>
      <c r="M143" s="8"/>
      <c r="N143" s="8"/>
      <c r="O143" s="8"/>
      <c r="P143" s="8"/>
      <c r="Q143" t="b">
        <v>1</v>
      </c>
      <c r="R143">
        <v>25</v>
      </c>
      <c r="S143" s="8" t="s">
        <v>203</v>
      </c>
    </row>
    <row r="144" spans="1:19" x14ac:dyDescent="0.25">
      <c r="A144" s="40" t="b">
        <f t="shared" si="16"/>
        <v>1</v>
      </c>
      <c r="B144" s="40" t="b">
        <f t="shared" si="17"/>
        <v>0</v>
      </c>
      <c r="C144" s="8" t="str">
        <f t="shared" si="18"/>
        <v>HFD128 100</v>
      </c>
      <c r="D144" s="13" t="s">
        <v>247</v>
      </c>
      <c r="E144" s="13">
        <v>100</v>
      </c>
      <c r="F144" s="14" t="s">
        <v>16</v>
      </c>
      <c r="G144" s="14"/>
      <c r="H144" s="40" t="str">
        <f>IF(COUNTIF(Course[Course ID],Course[[#This Row],[Course ID]])&gt;1,"S","")</f>
        <v/>
      </c>
      <c r="I144" s="8"/>
      <c r="J144" s="8"/>
      <c r="K144" s="8"/>
      <c r="L144" s="8"/>
      <c r="M144" s="8"/>
      <c r="N144" s="8"/>
      <c r="O144" s="8"/>
      <c r="P144" s="8"/>
      <c r="Q144" t="b">
        <v>1</v>
      </c>
      <c r="R144">
        <v>25</v>
      </c>
      <c r="S144" s="8" t="s">
        <v>203</v>
      </c>
    </row>
    <row r="145" spans="1:19" x14ac:dyDescent="0.25">
      <c r="A145" s="40" t="b">
        <f t="shared" si="16"/>
        <v>1</v>
      </c>
      <c r="B145" s="40" t="b">
        <f t="shared" si="17"/>
        <v>0</v>
      </c>
      <c r="C145" s="8" t="str">
        <f t="shared" si="18"/>
        <v>HFD129 100</v>
      </c>
      <c r="D145" s="13" t="s">
        <v>248</v>
      </c>
      <c r="E145" s="13">
        <v>100</v>
      </c>
      <c r="F145" s="14" t="s">
        <v>16</v>
      </c>
      <c r="G145" s="14"/>
      <c r="H145" s="40" t="str">
        <f>IF(COUNTIF(Course[Course ID],Course[[#This Row],[Course ID]])&gt;1,"S","")</f>
        <v/>
      </c>
      <c r="I145" s="8"/>
      <c r="J145" s="8"/>
      <c r="K145" s="8"/>
      <c r="L145" s="8"/>
      <c r="M145" s="8"/>
      <c r="N145" s="8"/>
      <c r="O145" s="8"/>
      <c r="P145" s="8"/>
      <c r="Q145" t="b">
        <v>1</v>
      </c>
      <c r="R145">
        <v>25</v>
      </c>
      <c r="S145" s="8" t="s">
        <v>203</v>
      </c>
    </row>
    <row r="146" spans="1:19" x14ac:dyDescent="0.25">
      <c r="A146" s="40" t="b">
        <f t="shared" si="16"/>
        <v>1</v>
      </c>
      <c r="B146" s="40" t="b">
        <f t="shared" si="17"/>
        <v>0</v>
      </c>
      <c r="C146" s="8" t="str">
        <f t="shared" si="18"/>
        <v>HFD130 100</v>
      </c>
      <c r="D146" s="13" t="s">
        <v>249</v>
      </c>
      <c r="E146" s="13">
        <v>100</v>
      </c>
      <c r="F146" s="14" t="s">
        <v>16</v>
      </c>
      <c r="G146" s="14"/>
      <c r="H146" s="40" t="str">
        <f>IF(COUNTIF(Course[Course ID],Course[[#This Row],[Course ID]])&gt;1,"S","")</f>
        <v/>
      </c>
      <c r="I146" s="8"/>
      <c r="J146" s="8"/>
      <c r="K146" s="8"/>
      <c r="L146" s="8"/>
      <c r="M146" s="8"/>
      <c r="N146" s="8"/>
      <c r="O146" s="8"/>
      <c r="P146" s="8"/>
      <c r="Q146" t="b">
        <v>1</v>
      </c>
      <c r="R146">
        <v>26</v>
      </c>
      <c r="S146" s="8" t="s">
        <v>203</v>
      </c>
    </row>
    <row r="147" spans="1:19" x14ac:dyDescent="0.25">
      <c r="A147" s="40" t="b">
        <f t="shared" si="16"/>
        <v>1</v>
      </c>
      <c r="B147" s="40" t="b">
        <f t="shared" si="17"/>
        <v>0</v>
      </c>
      <c r="C147" s="8" t="str">
        <f t="shared" si="18"/>
        <v>HFD131 100</v>
      </c>
      <c r="D147" s="13" t="s">
        <v>250</v>
      </c>
      <c r="E147" s="13">
        <v>100</v>
      </c>
      <c r="F147" s="14" t="s">
        <v>16</v>
      </c>
      <c r="G147" s="14"/>
      <c r="H147" s="40" t="str">
        <f>IF(COUNTIF(Course[Course ID],Course[[#This Row],[Course ID]])&gt;1,"S","")</f>
        <v/>
      </c>
      <c r="I147" s="8"/>
      <c r="J147" s="8"/>
      <c r="K147" s="8"/>
      <c r="L147" s="8"/>
      <c r="M147" s="8"/>
      <c r="N147" s="8"/>
      <c r="O147" s="8"/>
      <c r="P147" s="8"/>
      <c r="Q147" t="b">
        <v>1</v>
      </c>
      <c r="R147">
        <v>26</v>
      </c>
      <c r="S147" s="8" t="s">
        <v>203</v>
      </c>
    </row>
    <row r="148" spans="1:19" x14ac:dyDescent="0.25">
      <c r="A148" s="40" t="b">
        <f t="shared" si="16"/>
        <v>1</v>
      </c>
      <c r="B148" s="40" t="b">
        <f t="shared" si="17"/>
        <v>0</v>
      </c>
      <c r="C148" s="8" t="str">
        <f t="shared" si="18"/>
        <v>HFD132 100</v>
      </c>
      <c r="D148" s="13" t="s">
        <v>251</v>
      </c>
      <c r="E148" s="13">
        <v>100</v>
      </c>
      <c r="F148" s="14" t="s">
        <v>16</v>
      </c>
      <c r="G148" s="14"/>
      <c r="H148" s="40" t="str">
        <f>IF(COUNTIF(Course[Course ID],Course[[#This Row],[Course ID]])&gt;1,"S","")</f>
        <v/>
      </c>
      <c r="I148" s="8"/>
      <c r="J148" s="8"/>
      <c r="K148" s="8"/>
      <c r="L148" s="8"/>
      <c r="M148" s="8"/>
      <c r="N148" s="8"/>
      <c r="O148" s="8"/>
      <c r="P148" s="8"/>
      <c r="Q148" t="b">
        <v>1</v>
      </c>
      <c r="R148">
        <v>26</v>
      </c>
      <c r="S148" s="8" t="s">
        <v>203</v>
      </c>
    </row>
    <row r="149" spans="1:19" x14ac:dyDescent="0.25">
      <c r="A149" s="40" t="b">
        <f t="shared" ref="A149:A162" si="19">IF(F149="G", TRUE,FALSE)</f>
        <v>1</v>
      </c>
      <c r="B149" s="40" t="b">
        <f t="shared" ref="B149:B162" si="20">IF(ISBLANK(G149),FALSE,TRUE)</f>
        <v>0</v>
      </c>
      <c r="C149" s="8" t="str">
        <f t="shared" ref="C149:C162" si="21">CONCATENATE(D149," ",E149)</f>
        <v>HFD133 100</v>
      </c>
      <c r="D149" s="13" t="s">
        <v>252</v>
      </c>
      <c r="E149" s="13">
        <v>100</v>
      </c>
      <c r="F149" s="14" t="s">
        <v>16</v>
      </c>
      <c r="G149" s="14"/>
      <c r="H149" s="40" t="str">
        <f>IF(COUNTIF(Course[Course ID],Course[[#This Row],[Course ID]])&gt;1,"S","")</f>
        <v/>
      </c>
      <c r="I149" s="8"/>
      <c r="J149" s="8"/>
      <c r="K149" s="8"/>
      <c r="L149" s="8"/>
      <c r="M149" s="8"/>
      <c r="N149" s="8"/>
      <c r="O149" s="8"/>
      <c r="P149" s="8"/>
      <c r="Q149" t="b">
        <v>1</v>
      </c>
      <c r="R149">
        <v>26</v>
      </c>
      <c r="S149" s="8" t="s">
        <v>203</v>
      </c>
    </row>
    <row r="150" spans="1:19" x14ac:dyDescent="0.25">
      <c r="A150" s="40" t="b">
        <f t="shared" si="19"/>
        <v>1</v>
      </c>
      <c r="B150" s="40" t="b">
        <f t="shared" si="20"/>
        <v>0</v>
      </c>
      <c r="C150" s="8" t="str">
        <f t="shared" si="21"/>
        <v>HFD134 100</v>
      </c>
      <c r="D150" s="13" t="s">
        <v>253</v>
      </c>
      <c r="E150" s="13">
        <v>100</v>
      </c>
      <c r="F150" s="14" t="s">
        <v>16</v>
      </c>
      <c r="G150" s="14"/>
      <c r="H150" s="40" t="str">
        <f>IF(COUNTIF(Course[Course ID],Course[[#This Row],[Course ID]])&gt;1,"S","")</f>
        <v/>
      </c>
      <c r="I150" s="8"/>
      <c r="J150" s="8"/>
      <c r="K150" s="8"/>
      <c r="L150" s="8"/>
      <c r="M150" s="8"/>
      <c r="N150" s="8"/>
      <c r="O150" s="8"/>
      <c r="P150" s="8"/>
      <c r="Q150" t="b">
        <v>1</v>
      </c>
      <c r="R150">
        <v>26</v>
      </c>
      <c r="S150" s="8" t="s">
        <v>203</v>
      </c>
    </row>
    <row r="151" spans="1:19" x14ac:dyDescent="0.25">
      <c r="A151" s="40" t="b">
        <f t="shared" si="19"/>
        <v>1</v>
      </c>
      <c r="B151" s="40" t="b">
        <f t="shared" si="20"/>
        <v>0</v>
      </c>
      <c r="C151" s="8" t="str">
        <f t="shared" si="21"/>
        <v>HFD135 100</v>
      </c>
      <c r="D151" s="13" t="s">
        <v>254</v>
      </c>
      <c r="E151" s="13">
        <v>100</v>
      </c>
      <c r="F151" s="14" t="s">
        <v>16</v>
      </c>
      <c r="G151" s="14"/>
      <c r="H151" s="40" t="str">
        <f>IF(COUNTIF(Course[Course ID],Course[[#This Row],[Course ID]])&gt;1,"S","")</f>
        <v/>
      </c>
      <c r="I151" s="8"/>
      <c r="J151" s="8"/>
      <c r="K151" s="8"/>
      <c r="L151" s="8"/>
      <c r="M151" s="8"/>
      <c r="N151" s="8"/>
      <c r="O151" s="8"/>
      <c r="P151" s="8"/>
      <c r="Q151" t="b">
        <v>1</v>
      </c>
      <c r="R151">
        <v>26</v>
      </c>
      <c r="S151" s="8" t="s">
        <v>203</v>
      </c>
    </row>
    <row r="152" spans="1:19" x14ac:dyDescent="0.25">
      <c r="A152" s="40" t="b">
        <f t="shared" si="19"/>
        <v>1</v>
      </c>
      <c r="B152" s="40" t="b">
        <f t="shared" si="20"/>
        <v>0</v>
      </c>
      <c r="C152" s="8" t="str">
        <f t="shared" si="21"/>
        <v>HFD136 100</v>
      </c>
      <c r="D152" s="13" t="s">
        <v>255</v>
      </c>
      <c r="E152" s="13">
        <v>100</v>
      </c>
      <c r="F152" s="14" t="s">
        <v>16</v>
      </c>
      <c r="G152" s="14"/>
      <c r="H152" s="40" t="str">
        <f>IF(COUNTIF(Course[Course ID],Course[[#This Row],[Course ID]])&gt;1,"S","")</f>
        <v/>
      </c>
      <c r="I152" s="8"/>
      <c r="J152" s="8"/>
      <c r="K152" s="8"/>
      <c r="L152" s="8"/>
      <c r="M152" s="8"/>
      <c r="N152" s="8"/>
      <c r="O152" s="8"/>
      <c r="P152" s="8"/>
      <c r="Q152" t="b">
        <v>1</v>
      </c>
      <c r="R152">
        <v>26</v>
      </c>
      <c r="S152" s="8" t="s">
        <v>203</v>
      </c>
    </row>
    <row r="153" spans="1:19" x14ac:dyDescent="0.25">
      <c r="A153" s="40" t="b">
        <f t="shared" si="19"/>
        <v>1</v>
      </c>
      <c r="B153" s="40" t="b">
        <f t="shared" si="20"/>
        <v>0</v>
      </c>
      <c r="C153" s="8" t="str">
        <f t="shared" si="21"/>
        <v>HFD137 100</v>
      </c>
      <c r="D153" s="13" t="s">
        <v>256</v>
      </c>
      <c r="E153" s="13">
        <v>100</v>
      </c>
      <c r="F153" s="14" t="s">
        <v>16</v>
      </c>
      <c r="G153" s="14"/>
      <c r="H153" s="40" t="str">
        <f>IF(COUNTIF(Course[Course ID],Course[[#This Row],[Course ID]])&gt;1,"S","")</f>
        <v/>
      </c>
      <c r="I153" s="8"/>
      <c r="J153" s="8"/>
      <c r="K153" s="8"/>
      <c r="L153" s="8"/>
      <c r="M153" s="8"/>
      <c r="N153" s="8"/>
      <c r="O153" s="8"/>
      <c r="P153" s="8"/>
      <c r="Q153" t="b">
        <v>1</v>
      </c>
      <c r="R153">
        <v>26</v>
      </c>
      <c r="S153" s="8" t="s">
        <v>203</v>
      </c>
    </row>
    <row r="154" spans="1:19" x14ac:dyDescent="0.25">
      <c r="A154" s="40" t="b">
        <f t="shared" si="19"/>
        <v>1</v>
      </c>
      <c r="B154" s="40" t="b">
        <f t="shared" si="20"/>
        <v>0</v>
      </c>
      <c r="C154" s="8" t="str">
        <f t="shared" si="21"/>
        <v>HFD138 100</v>
      </c>
      <c r="D154" s="13" t="s">
        <v>257</v>
      </c>
      <c r="E154" s="13">
        <v>100</v>
      </c>
      <c r="F154" s="14" t="s">
        <v>16</v>
      </c>
      <c r="G154" s="14"/>
      <c r="H154" s="40" t="str">
        <f>IF(COUNTIF(Course[Course ID],Course[[#This Row],[Course ID]])&gt;1,"S","")</f>
        <v/>
      </c>
      <c r="I154" s="8"/>
      <c r="J154" s="8"/>
      <c r="K154" s="8"/>
      <c r="L154" s="8"/>
      <c r="M154" s="8"/>
      <c r="N154" s="8"/>
      <c r="O154" s="8"/>
      <c r="P154" s="8"/>
      <c r="Q154" t="b">
        <v>1</v>
      </c>
      <c r="R154">
        <v>26</v>
      </c>
      <c r="S154" s="8" t="s">
        <v>203</v>
      </c>
    </row>
    <row r="155" spans="1:19" x14ac:dyDescent="0.25">
      <c r="A155" s="40" t="b">
        <f t="shared" si="19"/>
        <v>1</v>
      </c>
      <c r="B155" s="40" t="b">
        <f t="shared" si="20"/>
        <v>0</v>
      </c>
      <c r="C155" s="8" t="str">
        <f t="shared" si="21"/>
        <v>HFD147 100</v>
      </c>
      <c r="D155" s="13" t="s">
        <v>258</v>
      </c>
      <c r="E155" s="13">
        <v>100</v>
      </c>
      <c r="F155" s="14" t="s">
        <v>16</v>
      </c>
      <c r="G155" s="14"/>
      <c r="H155" s="40" t="str">
        <f>IF(COUNTIF(Course[Course ID],Course[[#This Row],[Course ID]])&gt;1,"S","")</f>
        <v/>
      </c>
      <c r="I155" s="8"/>
      <c r="J155" s="8"/>
      <c r="K155" s="8"/>
      <c r="L155" s="8"/>
      <c r="M155" s="8"/>
      <c r="N155" s="8"/>
      <c r="O155" s="8"/>
      <c r="P155" s="8"/>
      <c r="Q155" t="b">
        <v>1</v>
      </c>
      <c r="R155">
        <v>26</v>
      </c>
      <c r="S155" s="8" t="s">
        <v>203</v>
      </c>
    </row>
    <row r="156" spans="1:19" x14ac:dyDescent="0.25">
      <c r="A156" s="40" t="b">
        <f t="shared" si="19"/>
        <v>1</v>
      </c>
      <c r="B156" s="40" t="b">
        <f t="shared" si="20"/>
        <v>0</v>
      </c>
      <c r="C156" s="8" t="str">
        <f t="shared" si="21"/>
        <v>HFD148 100</v>
      </c>
      <c r="D156" s="13" t="s">
        <v>259</v>
      </c>
      <c r="E156" s="13">
        <v>100</v>
      </c>
      <c r="F156" s="14" t="s">
        <v>16</v>
      </c>
      <c r="G156" s="14"/>
      <c r="H156" s="40" t="str">
        <f>IF(COUNTIF(Course[Course ID],Course[[#This Row],[Course ID]])&gt;1,"S","")</f>
        <v/>
      </c>
      <c r="I156" s="8"/>
      <c r="J156" s="8"/>
      <c r="K156" s="8"/>
      <c r="L156" s="8"/>
      <c r="M156" s="8"/>
      <c r="N156" s="8"/>
      <c r="O156" s="8"/>
      <c r="P156" s="8"/>
      <c r="Q156" t="b">
        <v>1</v>
      </c>
      <c r="R156">
        <v>27</v>
      </c>
      <c r="S156" s="8" t="s">
        <v>203</v>
      </c>
    </row>
    <row r="157" spans="1:19" x14ac:dyDescent="0.25">
      <c r="A157" s="40" t="b">
        <f t="shared" si="19"/>
        <v>1</v>
      </c>
      <c r="B157" s="40" t="b">
        <f t="shared" si="20"/>
        <v>0</v>
      </c>
      <c r="C157" s="8" t="str">
        <f t="shared" si="21"/>
        <v>HFD149 100</v>
      </c>
      <c r="D157" s="13" t="s">
        <v>260</v>
      </c>
      <c r="E157" s="13">
        <v>100</v>
      </c>
      <c r="F157" s="14" t="s">
        <v>16</v>
      </c>
      <c r="G157" s="14"/>
      <c r="H157" s="40" t="str">
        <f>IF(COUNTIF(Course[Course ID],Course[[#This Row],[Course ID]])&gt;1,"S","")</f>
        <v/>
      </c>
      <c r="I157" s="8"/>
      <c r="J157" s="8"/>
      <c r="K157" s="8"/>
      <c r="L157" s="8"/>
      <c r="M157" s="8"/>
      <c r="N157" s="8"/>
      <c r="O157" s="8"/>
      <c r="P157" s="8"/>
      <c r="Q157" t="b">
        <v>1</v>
      </c>
      <c r="R157">
        <v>27</v>
      </c>
      <c r="S157" s="8" t="s">
        <v>203</v>
      </c>
    </row>
    <row r="158" spans="1:19" x14ac:dyDescent="0.25">
      <c r="A158" s="40" t="b">
        <f t="shared" si="19"/>
        <v>1</v>
      </c>
      <c r="B158" s="40" t="b">
        <f t="shared" si="20"/>
        <v>0</v>
      </c>
      <c r="C158" s="8" t="str">
        <f t="shared" si="21"/>
        <v>HFD150 100</v>
      </c>
      <c r="D158" s="13" t="s">
        <v>261</v>
      </c>
      <c r="E158" s="13">
        <v>100</v>
      </c>
      <c r="F158" s="14" t="s">
        <v>16</v>
      </c>
      <c r="G158" s="14"/>
      <c r="H158" s="40" t="str">
        <f>IF(COUNTIF(Course[Course ID],Course[[#This Row],[Course ID]])&gt;1,"S","")</f>
        <v/>
      </c>
      <c r="I158" s="8"/>
      <c r="J158" s="8"/>
      <c r="K158" s="8"/>
      <c r="L158" s="8"/>
      <c r="M158" s="8"/>
      <c r="N158" s="8"/>
      <c r="O158" s="8"/>
      <c r="P158" s="8"/>
      <c r="Q158" t="b">
        <v>1</v>
      </c>
      <c r="R158">
        <v>27</v>
      </c>
      <c r="S158" s="8" t="s">
        <v>203</v>
      </c>
    </row>
    <row r="159" spans="1:19" x14ac:dyDescent="0.25">
      <c r="A159" s="40" t="b">
        <f t="shared" si="19"/>
        <v>1</v>
      </c>
      <c r="B159" s="40" t="b">
        <f t="shared" si="20"/>
        <v>0</v>
      </c>
      <c r="C159" s="8" t="str">
        <f t="shared" si="21"/>
        <v>HFD151 100</v>
      </c>
      <c r="D159" s="13" t="s">
        <v>262</v>
      </c>
      <c r="E159" s="13">
        <v>100</v>
      </c>
      <c r="F159" s="14" t="s">
        <v>16</v>
      </c>
      <c r="G159" s="14"/>
      <c r="H159" s="40" t="str">
        <f>IF(COUNTIF(Course[Course ID],Course[[#This Row],[Course ID]])&gt;1,"S","")</f>
        <v/>
      </c>
      <c r="I159" s="8"/>
      <c r="J159" s="8"/>
      <c r="K159" s="8"/>
      <c r="L159" s="8"/>
      <c r="M159" s="8"/>
      <c r="N159" s="8"/>
      <c r="O159" s="8"/>
      <c r="P159" s="8"/>
      <c r="Q159" t="b">
        <v>1</v>
      </c>
      <c r="R159">
        <v>27</v>
      </c>
      <c r="S159" s="8" t="s">
        <v>203</v>
      </c>
    </row>
    <row r="160" spans="1:19" x14ac:dyDescent="0.25">
      <c r="A160" s="40" t="b">
        <f t="shared" si="19"/>
        <v>1</v>
      </c>
      <c r="B160" s="40" t="b">
        <f t="shared" si="20"/>
        <v>0</v>
      </c>
      <c r="C160" s="8" t="str">
        <f t="shared" si="21"/>
        <v>HFD152 100</v>
      </c>
      <c r="D160" s="13" t="s">
        <v>263</v>
      </c>
      <c r="E160" s="13">
        <v>100</v>
      </c>
      <c r="F160" s="14" t="s">
        <v>16</v>
      </c>
      <c r="G160" s="14"/>
      <c r="H160" s="40" t="str">
        <f>IF(COUNTIF(Course[Course ID],Course[[#This Row],[Course ID]])&gt;1,"S","")</f>
        <v/>
      </c>
      <c r="I160" s="8"/>
      <c r="J160" s="8"/>
      <c r="K160" s="8"/>
      <c r="L160" s="8"/>
      <c r="M160" s="8"/>
      <c r="N160" s="8"/>
      <c r="O160" s="8"/>
      <c r="P160" s="8"/>
      <c r="Q160" t="b">
        <v>1</v>
      </c>
      <c r="R160">
        <v>27</v>
      </c>
      <c r="S160" s="8" t="s">
        <v>203</v>
      </c>
    </row>
    <row r="161" spans="1:19" x14ac:dyDescent="0.25">
      <c r="A161" s="40" t="b">
        <f t="shared" si="19"/>
        <v>1</v>
      </c>
      <c r="B161" s="40" t="b">
        <f t="shared" si="20"/>
        <v>0</v>
      </c>
      <c r="C161" s="8" t="str">
        <f t="shared" si="21"/>
        <v>HFD153 100</v>
      </c>
      <c r="D161" s="13" t="s">
        <v>264</v>
      </c>
      <c r="E161" s="13">
        <v>100</v>
      </c>
      <c r="F161" s="14" t="s">
        <v>16</v>
      </c>
      <c r="G161" s="14"/>
      <c r="H161" s="40" t="str">
        <f>IF(COUNTIF(Course[Course ID],Course[[#This Row],[Course ID]])&gt;1,"S","")</f>
        <v/>
      </c>
      <c r="I161" s="8"/>
      <c r="J161" s="8"/>
      <c r="K161" s="8"/>
      <c r="L161" s="8"/>
      <c r="M161" s="8"/>
      <c r="N161" s="8"/>
      <c r="O161" s="8"/>
      <c r="P161" s="8"/>
      <c r="Q161" t="b">
        <v>1</v>
      </c>
      <c r="R161">
        <v>27</v>
      </c>
      <c r="S161" s="8" t="s">
        <v>203</v>
      </c>
    </row>
    <row r="162" spans="1:19" x14ac:dyDescent="0.25">
      <c r="A162" s="40" t="b">
        <f t="shared" si="19"/>
        <v>1</v>
      </c>
      <c r="B162" s="40" t="b">
        <f t="shared" si="20"/>
        <v>0</v>
      </c>
      <c r="C162" s="8" t="str">
        <f t="shared" si="21"/>
        <v>HFD154 100</v>
      </c>
      <c r="D162" s="13" t="s">
        <v>265</v>
      </c>
      <c r="E162" s="13">
        <v>100</v>
      </c>
      <c r="F162" s="14" t="s">
        <v>16</v>
      </c>
      <c r="G162" s="14"/>
      <c r="H162" s="40" t="str">
        <f>IF(COUNTIF(Course[Course ID],Course[[#This Row],[Course ID]])&gt;1,"S","")</f>
        <v/>
      </c>
      <c r="I162" s="8"/>
      <c r="J162" s="8"/>
      <c r="K162" s="8"/>
      <c r="L162" s="8"/>
      <c r="M162" s="8"/>
      <c r="N162" s="8"/>
      <c r="O162" s="8"/>
      <c r="P162" s="8"/>
      <c r="Q162" t="b">
        <v>1</v>
      </c>
      <c r="R162">
        <v>27</v>
      </c>
      <c r="S162" s="8" t="s">
        <v>203</v>
      </c>
    </row>
    <row r="163" spans="1:19" x14ac:dyDescent="0.25">
      <c r="A163" s="40" t="b">
        <f t="shared" ref="A163:A175" si="22">IF(F163="G", TRUE,FALSE)</f>
        <v>1</v>
      </c>
      <c r="B163" s="40" t="b">
        <f t="shared" ref="B163:B175" si="23">IF(ISBLANK(G163),FALSE,TRUE)</f>
        <v>0</v>
      </c>
      <c r="C163" s="8" t="str">
        <f t="shared" ref="C163:C175" si="24">CONCATENATE(D163," ",E163)</f>
        <v>HFD175 100</v>
      </c>
      <c r="D163" s="13" t="s">
        <v>266</v>
      </c>
      <c r="E163" s="13">
        <v>100</v>
      </c>
      <c r="F163" s="14" t="s">
        <v>16</v>
      </c>
      <c r="G163" s="14"/>
      <c r="H163" s="40" t="str">
        <f>IF(COUNTIF(Course[Course ID],Course[[#This Row],[Course ID]])&gt;1,"S","")</f>
        <v/>
      </c>
      <c r="I163" s="8"/>
      <c r="J163" s="8"/>
      <c r="K163" s="8"/>
      <c r="L163" s="8"/>
      <c r="M163" s="8"/>
      <c r="N163" s="8"/>
      <c r="O163" s="8"/>
      <c r="P163" s="8"/>
      <c r="Q163" t="b">
        <v>1</v>
      </c>
      <c r="R163">
        <v>27</v>
      </c>
      <c r="S163" s="8" t="s">
        <v>203</v>
      </c>
    </row>
    <row r="164" spans="1:19" x14ac:dyDescent="0.25">
      <c r="A164" s="40" t="b">
        <f t="shared" si="22"/>
        <v>1</v>
      </c>
      <c r="B164" s="40" t="b">
        <f t="shared" si="23"/>
        <v>0</v>
      </c>
      <c r="C164" s="8" t="str">
        <f t="shared" si="24"/>
        <v>HFD176 100</v>
      </c>
      <c r="D164" s="13" t="s">
        <v>267</v>
      </c>
      <c r="E164" s="13">
        <v>100</v>
      </c>
      <c r="F164" s="14" t="s">
        <v>16</v>
      </c>
      <c r="G164" s="14"/>
      <c r="H164" s="40" t="str">
        <f>IF(COUNTIF(Course[Course ID],Course[[#This Row],[Course ID]])&gt;1,"S","")</f>
        <v/>
      </c>
      <c r="I164" s="8"/>
      <c r="J164" s="8"/>
      <c r="K164" s="8"/>
      <c r="L164" s="8"/>
      <c r="M164" s="8"/>
      <c r="N164" s="8"/>
      <c r="O164" s="8"/>
      <c r="P164" s="8"/>
      <c r="Q164" t="b">
        <v>1</v>
      </c>
      <c r="R164">
        <v>27</v>
      </c>
      <c r="S164" s="8" t="s">
        <v>203</v>
      </c>
    </row>
    <row r="165" spans="1:19" x14ac:dyDescent="0.25">
      <c r="A165" s="40" t="b">
        <f t="shared" si="22"/>
        <v>1</v>
      </c>
      <c r="B165" s="40" t="b">
        <f t="shared" si="23"/>
        <v>0</v>
      </c>
      <c r="C165" s="8" t="str">
        <f t="shared" si="24"/>
        <v>HFD177 100</v>
      </c>
      <c r="D165" s="13" t="s">
        <v>268</v>
      </c>
      <c r="E165" s="13">
        <v>100</v>
      </c>
      <c r="F165" s="14" t="s">
        <v>16</v>
      </c>
      <c r="G165" s="14"/>
      <c r="H165" s="40" t="str">
        <f>IF(COUNTIF(Course[Course ID],Course[[#This Row],[Course ID]])&gt;1,"S","")</f>
        <v/>
      </c>
      <c r="I165" s="8"/>
      <c r="J165" s="8"/>
      <c r="K165" s="8"/>
      <c r="L165" s="8"/>
      <c r="M165" s="8"/>
      <c r="N165" s="8"/>
      <c r="O165" s="8"/>
      <c r="P165" s="8"/>
      <c r="Q165" t="b">
        <v>1</v>
      </c>
      <c r="R165">
        <v>27</v>
      </c>
      <c r="S165" s="8" t="s">
        <v>203</v>
      </c>
    </row>
    <row r="166" spans="1:19" x14ac:dyDescent="0.25">
      <c r="A166" s="40" t="b">
        <f t="shared" si="22"/>
        <v>1</v>
      </c>
      <c r="B166" s="40" t="b">
        <f t="shared" si="23"/>
        <v>0</v>
      </c>
      <c r="C166" s="8" t="str">
        <f t="shared" si="24"/>
        <v>HFD178 100</v>
      </c>
      <c r="D166" s="13" t="s">
        <v>269</v>
      </c>
      <c r="E166" s="13">
        <v>100</v>
      </c>
      <c r="F166" s="14" t="s">
        <v>16</v>
      </c>
      <c r="G166" s="14"/>
      <c r="H166" s="40" t="str">
        <f>IF(COUNTIF(Course[Course ID],Course[[#This Row],[Course ID]])&gt;1,"S","")</f>
        <v/>
      </c>
      <c r="I166" s="8"/>
      <c r="J166" s="8"/>
      <c r="K166" s="8"/>
      <c r="L166" s="8"/>
      <c r="M166" s="8"/>
      <c r="N166" s="8"/>
      <c r="O166" s="8"/>
      <c r="P166" s="8"/>
      <c r="Q166" t="b">
        <v>1</v>
      </c>
      <c r="R166">
        <v>28</v>
      </c>
      <c r="S166" s="8" t="s">
        <v>203</v>
      </c>
    </row>
    <row r="167" spans="1:19" x14ac:dyDescent="0.25">
      <c r="A167" s="40" t="b">
        <f t="shared" si="22"/>
        <v>1</v>
      </c>
      <c r="B167" s="40" t="b">
        <f t="shared" si="23"/>
        <v>0</v>
      </c>
      <c r="C167" s="8" t="str">
        <f t="shared" si="24"/>
        <v>HFD179 100</v>
      </c>
      <c r="D167" s="13" t="s">
        <v>270</v>
      </c>
      <c r="E167" s="13">
        <v>100</v>
      </c>
      <c r="F167" s="14" t="s">
        <v>16</v>
      </c>
      <c r="G167" s="14"/>
      <c r="H167" s="40" t="str">
        <f>IF(COUNTIF(Course[Course ID],Course[[#This Row],[Course ID]])&gt;1,"S","")</f>
        <v/>
      </c>
      <c r="I167" s="8"/>
      <c r="J167" s="8"/>
      <c r="K167" s="8"/>
      <c r="L167" s="8"/>
      <c r="M167" s="8"/>
      <c r="N167" s="8"/>
      <c r="O167" s="8"/>
      <c r="P167" s="8"/>
      <c r="Q167" t="b">
        <v>1</v>
      </c>
      <c r="R167">
        <v>28</v>
      </c>
      <c r="S167" s="8" t="s">
        <v>203</v>
      </c>
    </row>
    <row r="168" spans="1:19" x14ac:dyDescent="0.25">
      <c r="A168" s="40" t="b">
        <f t="shared" si="22"/>
        <v>1</v>
      </c>
      <c r="B168" s="40" t="b">
        <f t="shared" si="23"/>
        <v>0</v>
      </c>
      <c r="C168" s="8" t="str">
        <f t="shared" si="24"/>
        <v>HFD180 100</v>
      </c>
      <c r="D168" s="13" t="s">
        <v>271</v>
      </c>
      <c r="E168" s="13">
        <v>100</v>
      </c>
      <c r="F168" s="14" t="s">
        <v>16</v>
      </c>
      <c r="G168" s="14"/>
      <c r="H168" s="40" t="str">
        <f>IF(COUNTIF(Course[Course ID],Course[[#This Row],[Course ID]])&gt;1,"S","")</f>
        <v/>
      </c>
      <c r="I168" s="8"/>
      <c r="J168" s="8"/>
      <c r="K168" s="8"/>
      <c r="L168" s="8"/>
      <c r="M168" s="8"/>
      <c r="N168" s="8"/>
      <c r="O168" s="8"/>
      <c r="P168" s="8"/>
      <c r="Q168" t="b">
        <v>1</v>
      </c>
      <c r="R168">
        <v>28</v>
      </c>
      <c r="S168" s="8" t="s">
        <v>203</v>
      </c>
    </row>
    <row r="169" spans="1:19" x14ac:dyDescent="0.25">
      <c r="A169" s="40" t="b">
        <f t="shared" si="22"/>
        <v>1</v>
      </c>
      <c r="B169" s="40" t="b">
        <f t="shared" si="23"/>
        <v>0</v>
      </c>
      <c r="C169" s="8" t="str">
        <f t="shared" si="24"/>
        <v>HFD181 100</v>
      </c>
      <c r="D169" s="13" t="s">
        <v>272</v>
      </c>
      <c r="E169" s="13">
        <v>100</v>
      </c>
      <c r="F169" s="14" t="s">
        <v>16</v>
      </c>
      <c r="G169" s="14"/>
      <c r="H169" s="40" t="str">
        <f>IF(COUNTIF(Course[Course ID],Course[[#This Row],[Course ID]])&gt;1,"S","")</f>
        <v/>
      </c>
      <c r="I169" s="8"/>
      <c r="J169" s="8"/>
      <c r="K169" s="8"/>
      <c r="L169" s="8"/>
      <c r="M169" s="8"/>
      <c r="N169" s="8"/>
      <c r="O169" s="8"/>
      <c r="P169" s="8"/>
      <c r="Q169" t="b">
        <v>1</v>
      </c>
      <c r="R169">
        <v>28</v>
      </c>
      <c r="S169" s="8" t="s">
        <v>203</v>
      </c>
    </row>
    <row r="170" spans="1:19" x14ac:dyDescent="0.25">
      <c r="A170" s="40" t="b">
        <f t="shared" si="22"/>
        <v>1</v>
      </c>
      <c r="B170" s="40" t="b">
        <f t="shared" si="23"/>
        <v>0</v>
      </c>
      <c r="C170" s="8" t="str">
        <f t="shared" si="24"/>
        <v>HFD182 100</v>
      </c>
      <c r="D170" s="13" t="s">
        <v>273</v>
      </c>
      <c r="E170" s="13">
        <v>100</v>
      </c>
      <c r="F170" s="14" t="s">
        <v>16</v>
      </c>
      <c r="G170" s="14"/>
      <c r="H170" s="40" t="str">
        <f>IF(COUNTIF(Course[Course ID],Course[[#This Row],[Course ID]])&gt;1,"S","")</f>
        <v/>
      </c>
      <c r="I170" s="8"/>
      <c r="J170" s="8"/>
      <c r="K170" s="8"/>
      <c r="L170" s="8"/>
      <c r="M170" s="8"/>
      <c r="N170" s="8"/>
      <c r="O170" s="8"/>
      <c r="P170" s="8"/>
      <c r="Q170" t="b">
        <v>1</v>
      </c>
      <c r="R170">
        <v>28</v>
      </c>
      <c r="S170" s="8" t="s">
        <v>203</v>
      </c>
    </row>
    <row r="171" spans="1:19" x14ac:dyDescent="0.25">
      <c r="A171" s="40" t="b">
        <f t="shared" si="22"/>
        <v>1</v>
      </c>
      <c r="B171" s="40" t="b">
        <f t="shared" si="23"/>
        <v>0</v>
      </c>
      <c r="C171" s="8" t="str">
        <f t="shared" si="24"/>
        <v>HFD183 100</v>
      </c>
      <c r="D171" s="13" t="s">
        <v>274</v>
      </c>
      <c r="E171" s="13">
        <v>100</v>
      </c>
      <c r="F171" s="14" t="s">
        <v>16</v>
      </c>
      <c r="G171" s="14"/>
      <c r="H171" s="40" t="str">
        <f>IF(COUNTIF(Course[Course ID],Course[[#This Row],[Course ID]])&gt;1,"S","")</f>
        <v/>
      </c>
      <c r="I171" s="8"/>
      <c r="J171" s="8"/>
      <c r="K171" s="8"/>
      <c r="L171" s="8"/>
      <c r="M171" s="8"/>
      <c r="N171" s="8"/>
      <c r="O171" s="8"/>
      <c r="P171" s="8"/>
      <c r="Q171" t="b">
        <v>1</v>
      </c>
      <c r="R171">
        <v>28</v>
      </c>
      <c r="S171" s="8" t="s">
        <v>203</v>
      </c>
    </row>
    <row r="172" spans="1:19" x14ac:dyDescent="0.25">
      <c r="A172" s="40" t="b">
        <f t="shared" si="22"/>
        <v>1</v>
      </c>
      <c r="B172" s="40" t="b">
        <f t="shared" si="23"/>
        <v>0</v>
      </c>
      <c r="C172" s="8" t="str">
        <f t="shared" si="24"/>
        <v>HFD184 100</v>
      </c>
      <c r="D172" s="13" t="s">
        <v>275</v>
      </c>
      <c r="E172" s="13">
        <v>100</v>
      </c>
      <c r="F172" s="14" t="s">
        <v>16</v>
      </c>
      <c r="G172" s="14"/>
      <c r="H172" s="40" t="str">
        <f>IF(COUNTIF(Course[Course ID],Course[[#This Row],[Course ID]])&gt;1,"S","")</f>
        <v/>
      </c>
      <c r="I172" s="8"/>
      <c r="J172" s="8"/>
      <c r="K172" s="8"/>
      <c r="L172" s="8"/>
      <c r="M172" s="8"/>
      <c r="N172" s="8"/>
      <c r="O172" s="8"/>
      <c r="P172" s="8"/>
      <c r="Q172" t="b">
        <v>1</v>
      </c>
      <c r="R172">
        <v>28</v>
      </c>
      <c r="S172" s="8" t="s">
        <v>203</v>
      </c>
    </row>
    <row r="173" spans="1:19" x14ac:dyDescent="0.25">
      <c r="A173" s="40" t="b">
        <f t="shared" si="22"/>
        <v>1</v>
      </c>
      <c r="B173" s="40" t="b">
        <f t="shared" si="23"/>
        <v>0</v>
      </c>
      <c r="C173" s="8" t="str">
        <f t="shared" si="24"/>
        <v>HFD185 100</v>
      </c>
      <c r="D173" s="13" t="s">
        <v>276</v>
      </c>
      <c r="E173" s="13">
        <v>100</v>
      </c>
      <c r="F173" s="14" t="s">
        <v>16</v>
      </c>
      <c r="G173" s="14"/>
      <c r="H173" s="40" t="str">
        <f>IF(COUNTIF(Course[Course ID],Course[[#This Row],[Course ID]])&gt;1,"S","")</f>
        <v/>
      </c>
      <c r="I173" s="8"/>
      <c r="J173" s="8"/>
      <c r="K173" s="8"/>
      <c r="L173" s="8"/>
      <c r="M173" s="8"/>
      <c r="N173" s="8"/>
      <c r="O173" s="8"/>
      <c r="P173" s="8"/>
      <c r="Q173" t="b">
        <v>1</v>
      </c>
      <c r="R173">
        <v>28</v>
      </c>
      <c r="S173" s="8" t="s">
        <v>203</v>
      </c>
    </row>
    <row r="174" spans="1:19" x14ac:dyDescent="0.25">
      <c r="A174" s="40" t="b">
        <f t="shared" si="22"/>
        <v>1</v>
      </c>
      <c r="B174" s="40" t="b">
        <f t="shared" si="23"/>
        <v>0</v>
      </c>
      <c r="C174" s="8" t="str">
        <f t="shared" si="24"/>
        <v>HFD186 100</v>
      </c>
      <c r="D174" s="13" t="s">
        <v>277</v>
      </c>
      <c r="E174" s="13">
        <v>100</v>
      </c>
      <c r="F174" s="14" t="s">
        <v>16</v>
      </c>
      <c r="G174" s="14"/>
      <c r="H174" s="40" t="str">
        <f>IF(COUNTIF(Course[Course ID],Course[[#This Row],[Course ID]])&gt;1,"S","")</f>
        <v/>
      </c>
      <c r="I174" s="8"/>
      <c r="J174" s="8"/>
      <c r="K174" s="8"/>
      <c r="L174" s="8"/>
      <c r="M174" s="8"/>
      <c r="N174" s="8"/>
      <c r="O174" s="8"/>
      <c r="P174" s="8"/>
      <c r="Q174" t="b">
        <v>1</v>
      </c>
      <c r="R174">
        <v>28</v>
      </c>
      <c r="S174" s="8" t="s">
        <v>203</v>
      </c>
    </row>
    <row r="175" spans="1:19" x14ac:dyDescent="0.25">
      <c r="A175" s="40" t="b">
        <f t="shared" si="22"/>
        <v>1</v>
      </c>
      <c r="B175" s="40" t="b">
        <f t="shared" si="23"/>
        <v>0</v>
      </c>
      <c r="C175" s="8" t="str">
        <f t="shared" si="24"/>
        <v>HFD187 100</v>
      </c>
      <c r="D175" s="13" t="s">
        <v>278</v>
      </c>
      <c r="E175" s="13">
        <v>100</v>
      </c>
      <c r="F175" s="14" t="s">
        <v>16</v>
      </c>
      <c r="G175" s="14"/>
      <c r="H175" s="40" t="str">
        <f>IF(COUNTIF(Course[Course ID],Course[[#This Row],[Course ID]])&gt;1,"S","")</f>
        <v/>
      </c>
      <c r="I175" s="8"/>
      <c r="J175" s="8"/>
      <c r="K175" s="8"/>
      <c r="L175" s="8"/>
      <c r="M175" s="8"/>
      <c r="N175" s="8"/>
      <c r="O175" s="8"/>
      <c r="P175" s="8"/>
      <c r="Q175" t="b">
        <v>1</v>
      </c>
      <c r="R175">
        <v>28</v>
      </c>
      <c r="S175" s="8" t="s">
        <v>203</v>
      </c>
    </row>
    <row r="176" spans="1:19" x14ac:dyDescent="0.25">
      <c r="A176" s="40" t="b">
        <f>IF(F176="G", TRUE,FALSE)</f>
        <v>0</v>
      </c>
      <c r="B176" s="40" t="b">
        <f>IF(ISBLANK(G176),FALSE,TRUE)</f>
        <v>0</v>
      </c>
      <c r="C176" s="8" t="str">
        <f>CONCATENATE(D176," ",E176)</f>
        <v>ENG100 100</v>
      </c>
      <c r="D176" s="13" t="s">
        <v>279</v>
      </c>
      <c r="E176" s="13">
        <v>100</v>
      </c>
      <c r="F176" s="14" t="s">
        <v>15</v>
      </c>
      <c r="G176" s="14"/>
      <c r="H176" s="40" t="str">
        <f>IF(COUNTIF(Course[Course ID],Course[[#This Row],[Course ID]])&gt;1,"S","")</f>
        <v/>
      </c>
      <c r="I176" s="8"/>
      <c r="J176" s="8"/>
      <c r="K176" s="8"/>
      <c r="L176" s="8"/>
      <c r="M176" s="8"/>
      <c r="N176" s="8"/>
      <c r="O176" s="8"/>
      <c r="P176" s="8"/>
      <c r="Q176" t="b">
        <v>1</v>
      </c>
      <c r="R176">
        <v>17</v>
      </c>
      <c r="S176" s="8" t="s">
        <v>203</v>
      </c>
    </row>
    <row r="177" spans="1:19" x14ac:dyDescent="0.25">
      <c r="A177" s="40" t="b">
        <f t="shared" ref="A177:A200" si="25">IF(F177="G", TRUE,FALSE)</f>
        <v>0</v>
      </c>
      <c r="B177" s="40" t="b">
        <f t="shared" ref="B177:B200" si="26">IF(ISBLANK(G177),FALSE,TRUE)</f>
        <v>0</v>
      </c>
      <c r="C177" s="8" t="str">
        <f t="shared" ref="C177:C200" si="27">CONCATENATE(D177," ",E177)</f>
        <v>ENG101 100</v>
      </c>
      <c r="D177" s="13" t="s">
        <v>280</v>
      </c>
      <c r="E177" s="13">
        <v>100</v>
      </c>
      <c r="F177" s="14" t="s">
        <v>15</v>
      </c>
      <c r="G177" s="14"/>
      <c r="H177" s="40" t="str">
        <f>IF(COUNTIF(Course[Course ID],Course[[#This Row],[Course ID]])&gt;1,"S","")</f>
        <v/>
      </c>
      <c r="I177" s="8"/>
      <c r="J177" s="8"/>
      <c r="K177" s="8"/>
      <c r="L177" s="8"/>
      <c r="M177" s="8"/>
      <c r="N177" s="8"/>
      <c r="O177" s="8"/>
      <c r="P177" s="8"/>
      <c r="Q177" t="b">
        <v>1</v>
      </c>
      <c r="R177">
        <v>17</v>
      </c>
      <c r="S177" s="8" t="s">
        <v>203</v>
      </c>
    </row>
    <row r="178" spans="1:19" x14ac:dyDescent="0.25">
      <c r="A178" s="40" t="b">
        <f t="shared" si="25"/>
        <v>0</v>
      </c>
      <c r="B178" s="40" t="b">
        <f t="shared" si="26"/>
        <v>0</v>
      </c>
      <c r="C178" s="8" t="str">
        <f t="shared" si="27"/>
        <v>ENG102 100</v>
      </c>
      <c r="D178" s="13" t="s">
        <v>281</v>
      </c>
      <c r="E178" s="13">
        <v>100</v>
      </c>
      <c r="F178" s="14" t="s">
        <v>15</v>
      </c>
      <c r="G178" s="14"/>
      <c r="H178" s="40" t="str">
        <f>IF(COUNTIF(Course[Course ID],Course[[#This Row],[Course ID]])&gt;1,"S","")</f>
        <v/>
      </c>
      <c r="I178" s="8"/>
      <c r="J178" s="8"/>
      <c r="K178" s="8"/>
      <c r="L178" s="8"/>
      <c r="M178" s="8"/>
      <c r="N178" s="8"/>
      <c r="O178" s="8"/>
      <c r="P178" s="8"/>
      <c r="Q178" t="b">
        <v>1</v>
      </c>
      <c r="R178">
        <v>17</v>
      </c>
      <c r="S178" s="8" t="s">
        <v>203</v>
      </c>
    </row>
    <row r="179" spans="1:19" x14ac:dyDescent="0.25">
      <c r="A179" s="40" t="b">
        <f t="shared" si="25"/>
        <v>0</v>
      </c>
      <c r="B179" s="40" t="b">
        <f t="shared" si="26"/>
        <v>0</v>
      </c>
      <c r="C179" s="8" t="str">
        <f t="shared" si="27"/>
        <v>ENG103 100</v>
      </c>
      <c r="D179" s="13" t="s">
        <v>282</v>
      </c>
      <c r="E179" s="13">
        <v>100</v>
      </c>
      <c r="F179" s="14" t="s">
        <v>15</v>
      </c>
      <c r="G179" s="14"/>
      <c r="H179" s="40" t="str">
        <f>IF(COUNTIF(Course[Course ID],Course[[#This Row],[Course ID]])&gt;1,"S","")</f>
        <v/>
      </c>
      <c r="I179" s="8"/>
      <c r="J179" s="8"/>
      <c r="K179" s="8"/>
      <c r="L179" s="8"/>
      <c r="M179" s="8"/>
      <c r="N179" s="8"/>
      <c r="O179" s="8"/>
      <c r="P179" s="8"/>
      <c r="Q179" t="b">
        <v>1</v>
      </c>
      <c r="R179">
        <v>17</v>
      </c>
      <c r="S179" s="8" t="s">
        <v>203</v>
      </c>
    </row>
    <row r="180" spans="1:19" x14ac:dyDescent="0.25">
      <c r="A180" s="40" t="b">
        <f t="shared" si="25"/>
        <v>0</v>
      </c>
      <c r="B180" s="40" t="b">
        <f t="shared" si="26"/>
        <v>0</v>
      </c>
      <c r="C180" s="8" t="str">
        <f t="shared" si="27"/>
        <v>ENG104 100</v>
      </c>
      <c r="D180" s="13" t="s">
        <v>283</v>
      </c>
      <c r="E180" s="13">
        <v>100</v>
      </c>
      <c r="F180" s="14" t="s">
        <v>15</v>
      </c>
      <c r="G180" s="14"/>
      <c r="H180" s="40" t="str">
        <f>IF(COUNTIF(Course[Course ID],Course[[#This Row],[Course ID]])&gt;1,"S","")</f>
        <v/>
      </c>
      <c r="I180" s="8"/>
      <c r="J180" s="8"/>
      <c r="K180" s="8"/>
      <c r="L180" s="8"/>
      <c r="M180" s="8"/>
      <c r="N180" s="8"/>
      <c r="O180" s="8"/>
      <c r="P180" s="8"/>
      <c r="Q180" t="b">
        <v>1</v>
      </c>
      <c r="R180">
        <v>17</v>
      </c>
      <c r="S180" s="8" t="s">
        <v>203</v>
      </c>
    </row>
    <row r="181" spans="1:19" x14ac:dyDescent="0.25">
      <c r="A181" s="40" t="b">
        <f t="shared" si="25"/>
        <v>0</v>
      </c>
      <c r="B181" s="40" t="b">
        <f t="shared" si="26"/>
        <v>0</v>
      </c>
      <c r="C181" s="8" t="str">
        <f t="shared" si="27"/>
        <v>ENG105 100</v>
      </c>
      <c r="D181" s="13" t="s">
        <v>284</v>
      </c>
      <c r="E181" s="13">
        <v>100</v>
      </c>
      <c r="F181" s="14" t="s">
        <v>15</v>
      </c>
      <c r="G181" s="14"/>
      <c r="H181" s="40" t="str">
        <f>IF(COUNTIF(Course[Course ID],Course[[#This Row],[Course ID]])&gt;1,"S","")</f>
        <v/>
      </c>
      <c r="I181" s="8"/>
      <c r="J181" s="8"/>
      <c r="K181" s="8"/>
      <c r="L181" s="8"/>
      <c r="M181" s="8"/>
      <c r="N181" s="8"/>
      <c r="O181" s="8"/>
      <c r="P181" s="8"/>
      <c r="Q181" t="b">
        <v>1</v>
      </c>
      <c r="R181">
        <v>18</v>
      </c>
      <c r="S181" s="8" t="s">
        <v>203</v>
      </c>
    </row>
    <row r="182" spans="1:19" x14ac:dyDescent="0.25">
      <c r="A182" s="40" t="b">
        <f t="shared" si="25"/>
        <v>0</v>
      </c>
      <c r="B182" s="40" t="b">
        <f t="shared" si="26"/>
        <v>0</v>
      </c>
      <c r="C182" s="8" t="str">
        <f t="shared" si="27"/>
        <v>ENG106 100</v>
      </c>
      <c r="D182" s="13" t="s">
        <v>285</v>
      </c>
      <c r="E182" s="13">
        <v>100</v>
      </c>
      <c r="F182" s="14" t="s">
        <v>15</v>
      </c>
      <c r="G182" s="14"/>
      <c r="H182" s="40" t="str">
        <f>IF(COUNTIF(Course[Course ID],Course[[#This Row],[Course ID]])&gt;1,"S","")</f>
        <v/>
      </c>
      <c r="I182" s="8"/>
      <c r="J182" s="8"/>
      <c r="K182" s="8"/>
      <c r="L182" s="8"/>
      <c r="M182" s="8"/>
      <c r="N182" s="8"/>
      <c r="O182" s="8"/>
      <c r="P182" s="8"/>
      <c r="Q182" t="b">
        <v>1</v>
      </c>
      <c r="R182">
        <v>18</v>
      </c>
      <c r="S182" s="8" t="s">
        <v>203</v>
      </c>
    </row>
    <row r="183" spans="1:19" x14ac:dyDescent="0.25">
      <c r="A183" s="40" t="b">
        <f t="shared" si="25"/>
        <v>0</v>
      </c>
      <c r="B183" s="40" t="b">
        <f t="shared" si="26"/>
        <v>0</v>
      </c>
      <c r="C183" s="8" t="str">
        <f t="shared" si="27"/>
        <v>ENG107 100</v>
      </c>
      <c r="D183" s="13" t="s">
        <v>286</v>
      </c>
      <c r="E183" s="13">
        <v>100</v>
      </c>
      <c r="F183" s="14" t="s">
        <v>15</v>
      </c>
      <c r="G183" s="14"/>
      <c r="H183" s="40" t="str">
        <f>IF(COUNTIF(Course[Course ID],Course[[#This Row],[Course ID]])&gt;1,"S","")</f>
        <v/>
      </c>
      <c r="I183" s="8"/>
      <c r="J183" s="8"/>
      <c r="K183" s="8"/>
      <c r="L183" s="8"/>
      <c r="M183" s="8"/>
      <c r="N183" s="8"/>
      <c r="O183" s="8"/>
      <c r="P183" s="8"/>
      <c r="Q183" t="b">
        <v>1</v>
      </c>
      <c r="R183">
        <v>18</v>
      </c>
      <c r="S183" s="8" t="s">
        <v>203</v>
      </c>
    </row>
    <row r="184" spans="1:19" x14ac:dyDescent="0.25">
      <c r="A184" s="40" t="b">
        <f t="shared" si="25"/>
        <v>0</v>
      </c>
      <c r="B184" s="40" t="b">
        <f t="shared" si="26"/>
        <v>0</v>
      </c>
      <c r="C184" s="8" t="str">
        <f t="shared" si="27"/>
        <v>ENG108 100</v>
      </c>
      <c r="D184" s="13" t="s">
        <v>287</v>
      </c>
      <c r="E184" s="13">
        <v>100</v>
      </c>
      <c r="F184" s="14" t="s">
        <v>15</v>
      </c>
      <c r="G184" s="14"/>
      <c r="H184" s="40" t="str">
        <f>IF(COUNTIF(Course[Course ID],Course[[#This Row],[Course ID]])&gt;1,"S","")</f>
        <v/>
      </c>
      <c r="I184" s="8"/>
      <c r="J184" s="8"/>
      <c r="K184" s="8"/>
      <c r="L184" s="8"/>
      <c r="M184" s="8"/>
      <c r="N184" s="8"/>
      <c r="O184" s="8"/>
      <c r="P184" s="8"/>
      <c r="Q184" t="b">
        <v>1</v>
      </c>
      <c r="R184">
        <v>18</v>
      </c>
      <c r="S184" s="8" t="s">
        <v>203</v>
      </c>
    </row>
    <row r="185" spans="1:19" x14ac:dyDescent="0.25">
      <c r="A185" s="40" t="b">
        <f t="shared" si="25"/>
        <v>0</v>
      </c>
      <c r="B185" s="40" t="b">
        <f t="shared" si="26"/>
        <v>0</v>
      </c>
      <c r="C185" s="8" t="str">
        <f t="shared" si="27"/>
        <v>ENG109 100</v>
      </c>
      <c r="D185" s="13" t="s">
        <v>288</v>
      </c>
      <c r="E185" s="13">
        <v>100</v>
      </c>
      <c r="F185" s="14" t="s">
        <v>15</v>
      </c>
      <c r="G185" s="14"/>
      <c r="H185" s="40" t="str">
        <f>IF(COUNTIF(Course[Course ID],Course[[#This Row],[Course ID]])&gt;1,"S","")</f>
        <v/>
      </c>
      <c r="I185" s="8"/>
      <c r="J185" s="8"/>
      <c r="K185" s="8"/>
      <c r="L185" s="8"/>
      <c r="M185" s="8"/>
      <c r="N185" s="8"/>
      <c r="O185" s="8"/>
      <c r="P185" s="8"/>
      <c r="Q185" t="b">
        <v>1</v>
      </c>
      <c r="R185">
        <v>18</v>
      </c>
      <c r="S185" s="8" t="s">
        <v>203</v>
      </c>
    </row>
    <row r="186" spans="1:19" x14ac:dyDescent="0.25">
      <c r="A186" s="40" t="b">
        <f t="shared" si="25"/>
        <v>0</v>
      </c>
      <c r="B186" s="40" t="b">
        <f t="shared" si="26"/>
        <v>0</v>
      </c>
      <c r="C186" s="8" t="str">
        <f t="shared" si="27"/>
        <v>ENG110 100</v>
      </c>
      <c r="D186" s="13" t="s">
        <v>289</v>
      </c>
      <c r="E186" s="13">
        <v>100</v>
      </c>
      <c r="F186" s="14" t="s">
        <v>15</v>
      </c>
      <c r="G186" s="14"/>
      <c r="H186" s="40" t="str">
        <f>IF(COUNTIF(Course[Course ID],Course[[#This Row],[Course ID]])&gt;1,"S","")</f>
        <v/>
      </c>
      <c r="I186" s="8"/>
      <c r="J186" s="8"/>
      <c r="K186" s="8"/>
      <c r="L186" s="8"/>
      <c r="M186" s="8"/>
      <c r="N186" s="8"/>
      <c r="O186" s="8"/>
      <c r="P186" s="8"/>
      <c r="Q186" t="b">
        <v>1</v>
      </c>
      <c r="R186">
        <v>19</v>
      </c>
      <c r="S186" s="8" t="s">
        <v>203</v>
      </c>
    </row>
    <row r="187" spans="1:19" x14ac:dyDescent="0.25">
      <c r="A187" s="40" t="b">
        <f t="shared" si="25"/>
        <v>0</v>
      </c>
      <c r="B187" s="40" t="b">
        <f t="shared" si="26"/>
        <v>0</v>
      </c>
      <c r="C187" s="8" t="str">
        <f t="shared" si="27"/>
        <v>ENG111 100</v>
      </c>
      <c r="D187" s="13" t="s">
        <v>290</v>
      </c>
      <c r="E187" s="13">
        <v>100</v>
      </c>
      <c r="F187" s="14" t="s">
        <v>15</v>
      </c>
      <c r="G187" s="14"/>
      <c r="H187" s="40" t="str">
        <f>IF(COUNTIF(Course[Course ID],Course[[#This Row],[Course ID]])&gt;1,"S","")</f>
        <v/>
      </c>
      <c r="I187" s="8"/>
      <c r="J187" s="8"/>
      <c r="K187" s="8"/>
      <c r="L187" s="8"/>
      <c r="M187" s="8"/>
      <c r="N187" s="8"/>
      <c r="O187" s="8"/>
      <c r="P187" s="8"/>
      <c r="Q187" t="b">
        <v>1</v>
      </c>
      <c r="R187">
        <v>20</v>
      </c>
      <c r="S187" s="8" t="s">
        <v>203</v>
      </c>
    </row>
    <row r="188" spans="1:19" x14ac:dyDescent="0.25">
      <c r="A188" s="40" t="b">
        <f t="shared" si="25"/>
        <v>0</v>
      </c>
      <c r="B188" s="40" t="b">
        <f t="shared" si="26"/>
        <v>0</v>
      </c>
      <c r="C188" s="8" t="str">
        <f t="shared" si="27"/>
        <v>ENG112 100</v>
      </c>
      <c r="D188" s="13" t="s">
        <v>291</v>
      </c>
      <c r="E188" s="13">
        <v>100</v>
      </c>
      <c r="F188" s="14" t="s">
        <v>15</v>
      </c>
      <c r="G188" s="14"/>
      <c r="H188" s="40" t="str">
        <f>IF(COUNTIF(Course[Course ID],Course[[#This Row],[Course ID]])&gt;1,"S","")</f>
        <v/>
      </c>
      <c r="I188" s="8"/>
      <c r="J188" s="8"/>
      <c r="K188" s="8"/>
      <c r="L188" s="8"/>
      <c r="M188" s="8"/>
      <c r="N188" s="8"/>
      <c r="O188" s="8"/>
      <c r="P188" s="8"/>
      <c r="Q188" t="b">
        <v>1</v>
      </c>
      <c r="R188">
        <v>20</v>
      </c>
      <c r="S188" s="8" t="s">
        <v>203</v>
      </c>
    </row>
    <row r="189" spans="1:19" x14ac:dyDescent="0.25">
      <c r="A189" s="40" t="b">
        <f t="shared" si="25"/>
        <v>0</v>
      </c>
      <c r="B189" s="40" t="b">
        <f t="shared" si="26"/>
        <v>0</v>
      </c>
      <c r="C189" s="8" t="str">
        <f t="shared" si="27"/>
        <v>ENG113 100</v>
      </c>
      <c r="D189" s="13" t="s">
        <v>292</v>
      </c>
      <c r="E189" s="13">
        <v>100</v>
      </c>
      <c r="F189" s="14" t="s">
        <v>15</v>
      </c>
      <c r="G189" s="14"/>
      <c r="H189" s="40" t="str">
        <f>IF(COUNTIF(Course[Course ID],Course[[#This Row],[Course ID]])&gt;1,"S","")</f>
        <v/>
      </c>
      <c r="I189" s="8"/>
      <c r="J189" s="8"/>
      <c r="K189" s="8"/>
      <c r="L189" s="8"/>
      <c r="M189" s="8"/>
      <c r="N189" s="8"/>
      <c r="O189" s="8"/>
      <c r="P189" s="8"/>
      <c r="Q189" t="b">
        <v>1</v>
      </c>
      <c r="R189">
        <v>1</v>
      </c>
      <c r="S189" s="8" t="s">
        <v>203</v>
      </c>
    </row>
    <row r="190" spans="1:19" x14ac:dyDescent="0.25">
      <c r="A190" s="40" t="b">
        <f t="shared" si="25"/>
        <v>0</v>
      </c>
      <c r="B190" s="40" t="b">
        <f t="shared" si="26"/>
        <v>0</v>
      </c>
      <c r="C190" s="8" t="str">
        <f t="shared" si="27"/>
        <v>ENG114 100</v>
      </c>
      <c r="D190" s="13" t="s">
        <v>293</v>
      </c>
      <c r="E190" s="13">
        <v>100</v>
      </c>
      <c r="F190" s="14" t="s">
        <v>15</v>
      </c>
      <c r="G190" s="14"/>
      <c r="H190" s="40" t="str">
        <f>IF(COUNTIF(Course[Course ID],Course[[#This Row],[Course ID]])&gt;1,"S","")</f>
        <v/>
      </c>
      <c r="I190" s="8"/>
      <c r="J190" s="8"/>
      <c r="K190" s="8"/>
      <c r="L190" s="8"/>
      <c r="M190" s="8"/>
      <c r="N190" s="8"/>
      <c r="O190" s="8"/>
      <c r="P190" s="8"/>
      <c r="Q190" t="b">
        <v>1</v>
      </c>
      <c r="R190">
        <v>2</v>
      </c>
      <c r="S190" s="8" t="s">
        <v>203</v>
      </c>
    </row>
    <row r="191" spans="1:19" x14ac:dyDescent="0.25">
      <c r="A191" s="40" t="b">
        <f t="shared" si="25"/>
        <v>0</v>
      </c>
      <c r="B191" s="40" t="b">
        <f t="shared" si="26"/>
        <v>0</v>
      </c>
      <c r="C191" s="8" t="str">
        <f t="shared" si="27"/>
        <v>ENG115 100</v>
      </c>
      <c r="D191" s="13" t="s">
        <v>294</v>
      </c>
      <c r="E191" s="13">
        <v>100</v>
      </c>
      <c r="F191" s="14" t="s">
        <v>15</v>
      </c>
      <c r="G191" s="14"/>
      <c r="H191" s="40" t="str">
        <f>IF(COUNTIF(Course[Course ID],Course[[#This Row],[Course ID]])&gt;1,"S","")</f>
        <v/>
      </c>
      <c r="I191" s="8"/>
      <c r="J191" s="8"/>
      <c r="K191" s="8"/>
      <c r="L191" s="8"/>
      <c r="M191" s="8"/>
      <c r="N191" s="8"/>
      <c r="O191" s="8"/>
      <c r="P191" s="8"/>
      <c r="Q191" t="b">
        <v>1</v>
      </c>
      <c r="R191">
        <v>3</v>
      </c>
      <c r="S191" s="8" t="s">
        <v>203</v>
      </c>
    </row>
    <row r="192" spans="1:19" x14ac:dyDescent="0.25">
      <c r="A192" s="40" t="b">
        <f t="shared" si="25"/>
        <v>0</v>
      </c>
      <c r="B192" s="40" t="b">
        <f t="shared" si="26"/>
        <v>0</v>
      </c>
      <c r="C192" s="8" t="str">
        <f t="shared" si="27"/>
        <v>ENG116 100</v>
      </c>
      <c r="D192" s="13" t="s">
        <v>295</v>
      </c>
      <c r="E192" s="13">
        <v>100</v>
      </c>
      <c r="F192" s="14" t="s">
        <v>15</v>
      </c>
      <c r="G192" s="14"/>
      <c r="H192" s="40" t="str">
        <f>IF(COUNTIF(Course[Course ID],Course[[#This Row],[Course ID]])&gt;1,"S","")</f>
        <v/>
      </c>
      <c r="I192" s="8"/>
      <c r="J192" s="8"/>
      <c r="K192" s="8"/>
      <c r="L192" s="8"/>
      <c r="M192" s="8"/>
      <c r="N192" s="8"/>
      <c r="O192" s="8"/>
      <c r="P192" s="8"/>
      <c r="Q192" t="b">
        <v>1</v>
      </c>
      <c r="R192">
        <v>4</v>
      </c>
      <c r="S192" s="8" t="s">
        <v>203</v>
      </c>
    </row>
    <row r="193" spans="1:19" x14ac:dyDescent="0.25">
      <c r="A193" s="40" t="b">
        <f t="shared" si="25"/>
        <v>0</v>
      </c>
      <c r="B193" s="40" t="b">
        <f t="shared" si="26"/>
        <v>0</v>
      </c>
      <c r="C193" s="8" t="str">
        <f t="shared" si="27"/>
        <v>ENG117 100</v>
      </c>
      <c r="D193" s="13" t="s">
        <v>296</v>
      </c>
      <c r="E193" s="13">
        <v>100</v>
      </c>
      <c r="F193" s="14" t="s">
        <v>15</v>
      </c>
      <c r="G193" s="14"/>
      <c r="H193" s="40" t="str">
        <f>IF(COUNTIF(Course[Course ID],Course[[#This Row],[Course ID]])&gt;1,"S","")</f>
        <v/>
      </c>
      <c r="I193" s="8"/>
      <c r="J193" s="8"/>
      <c r="K193" s="8"/>
      <c r="L193" s="8"/>
      <c r="M193" s="8"/>
      <c r="N193" s="8"/>
      <c r="O193" s="8"/>
      <c r="P193" s="8"/>
      <c r="Q193" t="b">
        <v>1</v>
      </c>
      <c r="R193">
        <v>5</v>
      </c>
      <c r="S193" s="8" t="s">
        <v>203</v>
      </c>
    </row>
    <row r="194" spans="1:19" x14ac:dyDescent="0.25">
      <c r="A194" s="40" t="b">
        <f t="shared" si="25"/>
        <v>0</v>
      </c>
      <c r="B194" s="40" t="b">
        <f t="shared" si="26"/>
        <v>0</v>
      </c>
      <c r="C194" s="8" t="str">
        <f t="shared" si="27"/>
        <v>ENG118 100</v>
      </c>
      <c r="D194" s="13" t="s">
        <v>297</v>
      </c>
      <c r="E194" s="13">
        <v>100</v>
      </c>
      <c r="F194" s="14" t="s">
        <v>15</v>
      </c>
      <c r="G194" s="14"/>
      <c r="H194" s="40" t="str">
        <f>IF(COUNTIF(Course[Course ID],Course[[#This Row],[Course ID]])&gt;1,"S","")</f>
        <v/>
      </c>
      <c r="I194" s="8"/>
      <c r="J194" s="8"/>
      <c r="K194" s="8"/>
      <c r="L194" s="8"/>
      <c r="M194" s="8"/>
      <c r="N194" s="8"/>
      <c r="O194" s="8"/>
      <c r="P194" s="8"/>
      <c r="Q194" t="b">
        <v>1</v>
      </c>
      <c r="R194">
        <v>6</v>
      </c>
      <c r="S194" s="8" t="s">
        <v>203</v>
      </c>
    </row>
    <row r="195" spans="1:19" x14ac:dyDescent="0.25">
      <c r="A195" s="40" t="b">
        <f t="shared" si="25"/>
        <v>0</v>
      </c>
      <c r="B195" s="40" t="b">
        <f t="shared" si="26"/>
        <v>0</v>
      </c>
      <c r="C195" s="8" t="str">
        <f t="shared" si="27"/>
        <v>ENG119 100</v>
      </c>
      <c r="D195" s="13" t="s">
        <v>298</v>
      </c>
      <c r="E195" s="13">
        <v>100</v>
      </c>
      <c r="F195" s="14" t="s">
        <v>15</v>
      </c>
      <c r="G195" s="14"/>
      <c r="H195" s="40" t="str">
        <f>IF(COUNTIF(Course[Course ID],Course[[#This Row],[Course ID]])&gt;1,"S","")</f>
        <v/>
      </c>
      <c r="I195" s="8"/>
      <c r="J195" s="8"/>
      <c r="K195" s="8"/>
      <c r="L195" s="8"/>
      <c r="M195" s="8"/>
      <c r="N195" s="8"/>
      <c r="O195" s="8"/>
      <c r="P195" s="8"/>
      <c r="Q195" t="b">
        <v>1</v>
      </c>
      <c r="R195">
        <v>7</v>
      </c>
      <c r="S195" s="8" t="s">
        <v>203</v>
      </c>
    </row>
    <row r="196" spans="1:19" x14ac:dyDescent="0.25">
      <c r="A196" s="40" t="b">
        <f t="shared" si="25"/>
        <v>0</v>
      </c>
      <c r="B196" s="40" t="b">
        <f t="shared" si="26"/>
        <v>0</v>
      </c>
      <c r="C196" s="8" t="str">
        <f t="shared" si="27"/>
        <v>ENG120 100</v>
      </c>
      <c r="D196" s="13" t="s">
        <v>299</v>
      </c>
      <c r="E196" s="13">
        <v>100</v>
      </c>
      <c r="F196" s="14" t="s">
        <v>15</v>
      </c>
      <c r="G196" s="14"/>
      <c r="H196" s="40" t="str">
        <f>IF(COUNTIF(Course[Course ID],Course[[#This Row],[Course ID]])&gt;1,"S","")</f>
        <v/>
      </c>
      <c r="I196" s="8"/>
      <c r="J196" s="8"/>
      <c r="K196" s="8"/>
      <c r="L196" s="8"/>
      <c r="M196" s="8"/>
      <c r="N196" s="8"/>
      <c r="O196" s="8"/>
      <c r="P196" s="8"/>
      <c r="Q196" t="b">
        <v>1</v>
      </c>
      <c r="R196">
        <v>8</v>
      </c>
      <c r="S196" s="8" t="s">
        <v>203</v>
      </c>
    </row>
    <row r="197" spans="1:19" x14ac:dyDescent="0.25">
      <c r="A197" s="40" t="b">
        <f t="shared" si="25"/>
        <v>0</v>
      </c>
      <c r="B197" s="40" t="b">
        <f t="shared" si="26"/>
        <v>0</v>
      </c>
      <c r="C197" s="8" t="str">
        <f t="shared" si="27"/>
        <v>ENG121 100</v>
      </c>
      <c r="D197" s="13" t="s">
        <v>300</v>
      </c>
      <c r="E197" s="13">
        <v>100</v>
      </c>
      <c r="F197" s="14" t="s">
        <v>15</v>
      </c>
      <c r="G197" s="14"/>
      <c r="H197" s="40" t="str">
        <f>IF(COUNTIF(Course[Course ID],Course[[#This Row],[Course ID]])&gt;1,"S","")</f>
        <v/>
      </c>
      <c r="I197" s="8"/>
      <c r="J197" s="8"/>
      <c r="K197" s="8"/>
      <c r="L197" s="8"/>
      <c r="M197" s="8"/>
      <c r="N197" s="8"/>
      <c r="O197" s="8"/>
      <c r="P197" s="8"/>
      <c r="Q197" t="b">
        <v>1</v>
      </c>
      <c r="R197">
        <v>9</v>
      </c>
      <c r="S197" s="8" t="s">
        <v>203</v>
      </c>
    </row>
    <row r="198" spans="1:19" x14ac:dyDescent="0.25">
      <c r="A198" s="40" t="b">
        <f t="shared" si="25"/>
        <v>0</v>
      </c>
      <c r="B198" s="40" t="b">
        <f t="shared" si="26"/>
        <v>0</v>
      </c>
      <c r="C198" s="8" t="str">
        <f t="shared" si="27"/>
        <v>ENG122 100</v>
      </c>
      <c r="D198" s="13" t="s">
        <v>301</v>
      </c>
      <c r="E198" s="13">
        <v>100</v>
      </c>
      <c r="F198" s="14" t="s">
        <v>15</v>
      </c>
      <c r="G198" s="14"/>
      <c r="H198" s="40" t="str">
        <f>IF(COUNTIF(Course[Course ID],Course[[#This Row],[Course ID]])&gt;1,"S","")</f>
        <v/>
      </c>
      <c r="I198" s="8"/>
      <c r="J198" s="8"/>
      <c r="K198" s="8"/>
      <c r="L198" s="8"/>
      <c r="M198" s="8"/>
      <c r="N198" s="8"/>
      <c r="O198" s="8"/>
      <c r="P198" s="8"/>
      <c r="Q198" t="b">
        <v>1</v>
      </c>
      <c r="R198">
        <v>10</v>
      </c>
      <c r="S198" s="8" t="s">
        <v>203</v>
      </c>
    </row>
    <row r="199" spans="1:19" x14ac:dyDescent="0.25">
      <c r="A199" s="40" t="b">
        <f t="shared" si="25"/>
        <v>0</v>
      </c>
      <c r="B199" s="40" t="b">
        <f t="shared" si="26"/>
        <v>0</v>
      </c>
      <c r="C199" s="8" t="str">
        <f t="shared" si="27"/>
        <v>ENG123 100</v>
      </c>
      <c r="D199" s="13" t="s">
        <v>302</v>
      </c>
      <c r="E199" s="13">
        <v>100</v>
      </c>
      <c r="F199" s="14" t="s">
        <v>15</v>
      </c>
      <c r="G199" s="14"/>
      <c r="H199" s="40" t="str">
        <f>IF(COUNTIF(Course[Course ID],Course[[#This Row],[Course ID]])&gt;1,"S","")</f>
        <v/>
      </c>
      <c r="I199" s="8"/>
      <c r="J199" s="8"/>
      <c r="K199" s="8"/>
      <c r="L199" s="8"/>
      <c r="M199" s="8"/>
      <c r="N199" s="8"/>
      <c r="O199" s="8"/>
      <c r="P199" s="8"/>
      <c r="Q199" t="b">
        <v>1</v>
      </c>
      <c r="R199">
        <v>11</v>
      </c>
      <c r="S199" s="8" t="s">
        <v>203</v>
      </c>
    </row>
    <row r="200" spans="1:19" x14ac:dyDescent="0.25">
      <c r="A200" s="40" t="b">
        <f t="shared" si="25"/>
        <v>0</v>
      </c>
      <c r="B200" s="40" t="b">
        <f t="shared" si="26"/>
        <v>0</v>
      </c>
      <c r="C200" s="8" t="str">
        <f t="shared" si="27"/>
        <v>ENG124 100</v>
      </c>
      <c r="D200" s="13" t="s">
        <v>303</v>
      </c>
      <c r="E200" s="13">
        <v>100</v>
      </c>
      <c r="F200" s="14" t="s">
        <v>15</v>
      </c>
      <c r="G200" s="14"/>
      <c r="H200" s="40" t="str">
        <f>IF(COUNTIF(Course[Course ID],Course[[#This Row],[Course ID]])&gt;1,"S","")</f>
        <v/>
      </c>
      <c r="I200" s="8"/>
      <c r="J200" s="8"/>
      <c r="K200" s="8"/>
      <c r="L200" s="8"/>
      <c r="M200" s="8"/>
      <c r="N200" s="8"/>
      <c r="O200" s="8"/>
      <c r="P200" s="8"/>
      <c r="Q200" t="b">
        <v>1</v>
      </c>
      <c r="R200">
        <v>12</v>
      </c>
      <c r="S200" s="8" t="s">
        <v>203</v>
      </c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47625</xdr:rowOff>
                  </from>
                  <to>
                    <xdr:col>22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95250</xdr:rowOff>
                  </from>
                  <to>
                    <xdr:col>22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107</v>
      </c>
    </row>
    <row r="3" spans="1:6" x14ac:dyDescent="0.25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108</v>
      </c>
      <c r="F3" s="17" t="s">
        <v>109</v>
      </c>
    </row>
    <row r="4" spans="1:6" x14ac:dyDescent="0.25">
      <c r="A4" s="17" t="s">
        <v>12</v>
      </c>
      <c r="B4" s="17" t="s">
        <v>13</v>
      </c>
      <c r="C4" s="17" t="s">
        <v>51</v>
      </c>
      <c r="D4" s="17" t="s">
        <v>110</v>
      </c>
      <c r="E4" s="17" t="s">
        <v>111</v>
      </c>
      <c r="F4" s="17" t="s">
        <v>112</v>
      </c>
    </row>
    <row r="5" spans="1:6" x14ac:dyDescent="0.25">
      <c r="A5" s="17" t="s">
        <v>93</v>
      </c>
      <c r="B5" s="17" t="s">
        <v>113</v>
      </c>
      <c r="C5" s="17" t="s">
        <v>114</v>
      </c>
      <c r="D5" s="17" t="s">
        <v>115</v>
      </c>
      <c r="E5" s="17" t="s">
        <v>91</v>
      </c>
      <c r="F5" s="17" t="s">
        <v>116</v>
      </c>
    </row>
    <row r="6" spans="1:6" x14ac:dyDescent="0.25">
      <c r="A6" s="17" t="s">
        <v>117</v>
      </c>
      <c r="B6" s="17" t="s">
        <v>13</v>
      </c>
      <c r="C6" s="17" t="s">
        <v>94</v>
      </c>
      <c r="D6" s="17" t="s">
        <v>118</v>
      </c>
      <c r="E6" s="17" t="s">
        <v>119</v>
      </c>
      <c r="F6" s="17" t="s">
        <v>120</v>
      </c>
    </row>
    <row r="7" spans="1:6" x14ac:dyDescent="0.25">
      <c r="A7" s="17" t="s">
        <v>121</v>
      </c>
      <c r="B7" s="17" t="s">
        <v>13</v>
      </c>
      <c r="C7" s="17" t="s">
        <v>122</v>
      </c>
      <c r="D7" s="17" t="s">
        <v>123</v>
      </c>
      <c r="E7" s="17" t="s">
        <v>124</v>
      </c>
      <c r="F7" s="17" t="s">
        <v>125</v>
      </c>
    </row>
    <row r="8" spans="1:6" x14ac:dyDescent="0.25">
      <c r="A8" s="17" t="s">
        <v>126</v>
      </c>
      <c r="B8" s="17" t="s">
        <v>113</v>
      </c>
      <c r="C8" s="17" t="s">
        <v>127</v>
      </c>
      <c r="D8" s="17" t="s">
        <v>128</v>
      </c>
      <c r="E8" s="17" t="s">
        <v>129</v>
      </c>
      <c r="F8" s="17" t="s">
        <v>130</v>
      </c>
    </row>
    <row r="9" spans="1:6" x14ac:dyDescent="0.25">
      <c r="A9" s="17" t="s">
        <v>131</v>
      </c>
      <c r="B9" s="17" t="s">
        <v>13</v>
      </c>
      <c r="C9" s="17" t="s">
        <v>132</v>
      </c>
      <c r="D9" s="17" t="s">
        <v>133</v>
      </c>
      <c r="E9" s="17" t="s">
        <v>134</v>
      </c>
      <c r="F9" s="17" t="s">
        <v>135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G12"/>
  <sheetViews>
    <sheetView showGridLines="0" zoomScale="55" zoomScaleNormal="55" workbookViewId="0">
      <selection activeCell="R1" sqref="R1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7" ht="15.75" thickBot="1" x14ac:dyDescent="0.3">
      <c r="A1" s="43" t="s">
        <v>53</v>
      </c>
      <c r="B1" s="43"/>
      <c r="C1" s="43"/>
      <c r="D1" s="43"/>
      <c r="E1" s="43"/>
      <c r="F1" s="43"/>
      <c r="G1" s="43"/>
    </row>
    <row r="2" spans="1:7" x14ac:dyDescent="0.25">
      <c r="A2" s="44"/>
      <c r="B2" s="45"/>
      <c r="C2" s="36" t="s">
        <v>54</v>
      </c>
      <c r="D2" s="36" t="s">
        <v>55</v>
      </c>
      <c r="E2" s="36" t="s">
        <v>56</v>
      </c>
      <c r="F2" s="36" t="s">
        <v>57</v>
      </c>
      <c r="G2" s="37" t="s">
        <v>58</v>
      </c>
    </row>
    <row r="3" spans="1:7" ht="105" x14ac:dyDescent="0.25">
      <c r="A3" s="29" t="s">
        <v>76</v>
      </c>
      <c r="B3" s="23" t="s">
        <v>19</v>
      </c>
      <c r="C3" s="25" t="s">
        <v>482</v>
      </c>
      <c r="D3" s="25" t="s">
        <v>483</v>
      </c>
      <c r="E3" s="25" t="s">
        <v>482</v>
      </c>
      <c r="F3" s="26" t="s">
        <v>484</v>
      </c>
      <c r="G3" s="30" t="s">
        <v>483</v>
      </c>
    </row>
    <row r="4" spans="1:7" ht="105" x14ac:dyDescent="0.25">
      <c r="A4" s="29" t="s">
        <v>77</v>
      </c>
      <c r="B4" s="23" t="s">
        <v>20</v>
      </c>
      <c r="C4" s="28" t="s">
        <v>485</v>
      </c>
      <c r="D4" s="28" t="s">
        <v>486</v>
      </c>
      <c r="E4" s="28" t="s">
        <v>485</v>
      </c>
      <c r="F4" s="26" t="s">
        <v>484</v>
      </c>
      <c r="G4" s="32" t="s">
        <v>486</v>
      </c>
    </row>
    <row r="5" spans="1:7" ht="105" x14ac:dyDescent="0.25">
      <c r="A5" s="29" t="s">
        <v>78</v>
      </c>
      <c r="B5" s="23" t="s">
        <v>21</v>
      </c>
      <c r="C5" s="28" t="s">
        <v>487</v>
      </c>
      <c r="D5" s="28" t="s">
        <v>488</v>
      </c>
      <c r="E5" s="41" t="s">
        <v>491</v>
      </c>
      <c r="F5" s="28" t="s">
        <v>487</v>
      </c>
      <c r="G5" s="32" t="s">
        <v>488</v>
      </c>
    </row>
    <row r="6" spans="1:7" ht="105" x14ac:dyDescent="0.25">
      <c r="A6" s="29" t="s">
        <v>79</v>
      </c>
      <c r="B6" s="23" t="s">
        <v>22</v>
      </c>
      <c r="C6" s="28" t="s">
        <v>489</v>
      </c>
      <c r="D6" s="28" t="s">
        <v>490</v>
      </c>
      <c r="E6" s="41" t="s">
        <v>491</v>
      </c>
      <c r="F6" s="28" t="s">
        <v>489</v>
      </c>
      <c r="G6" s="32" t="s">
        <v>490</v>
      </c>
    </row>
    <row r="7" spans="1:7" ht="105" x14ac:dyDescent="0.25">
      <c r="A7" s="29" t="s">
        <v>80</v>
      </c>
      <c r="B7" s="23" t="s">
        <v>23</v>
      </c>
      <c r="C7" s="28" t="s">
        <v>492</v>
      </c>
      <c r="D7" s="27" t="s">
        <v>63</v>
      </c>
      <c r="E7" s="27" t="s">
        <v>63</v>
      </c>
      <c r="F7" s="28" t="s">
        <v>492</v>
      </c>
      <c r="G7" s="38" t="s">
        <v>497</v>
      </c>
    </row>
    <row r="8" spans="1:7" ht="105" x14ac:dyDescent="0.25">
      <c r="A8" s="31" t="s">
        <v>81</v>
      </c>
      <c r="B8" s="24" t="s">
        <v>13</v>
      </c>
      <c r="C8" s="28" t="s">
        <v>493</v>
      </c>
      <c r="D8" s="28" t="s">
        <v>494</v>
      </c>
      <c r="E8" s="28" t="s">
        <v>493</v>
      </c>
      <c r="F8" s="28" t="s">
        <v>494</v>
      </c>
      <c r="G8" s="38" t="s">
        <v>497</v>
      </c>
    </row>
    <row r="9" spans="1:7" ht="90" x14ac:dyDescent="0.25">
      <c r="A9" s="29" t="s">
        <v>82</v>
      </c>
      <c r="B9" s="23" t="s">
        <v>16</v>
      </c>
      <c r="C9" s="28" t="s">
        <v>495</v>
      </c>
      <c r="D9" s="28" t="s">
        <v>496</v>
      </c>
      <c r="E9" s="28" t="s">
        <v>495</v>
      </c>
      <c r="F9" s="28" t="s">
        <v>496</v>
      </c>
      <c r="G9" s="32"/>
    </row>
    <row r="10" spans="1:7" ht="90" x14ac:dyDescent="0.25">
      <c r="A10" s="29" t="s">
        <v>83</v>
      </c>
      <c r="B10" s="23" t="s">
        <v>61</v>
      </c>
      <c r="C10" s="28" t="s">
        <v>498</v>
      </c>
      <c r="D10" s="28" t="s">
        <v>499</v>
      </c>
      <c r="E10" s="28" t="s">
        <v>500</v>
      </c>
      <c r="F10" s="28" t="s">
        <v>501</v>
      </c>
      <c r="G10" s="32"/>
    </row>
    <row r="11" spans="1:7" ht="180" x14ac:dyDescent="0.25">
      <c r="A11" s="29" t="s">
        <v>84</v>
      </c>
      <c r="B11" s="23" t="s">
        <v>62</v>
      </c>
      <c r="C11" s="25" t="s">
        <v>502</v>
      </c>
      <c r="D11" s="25" t="s">
        <v>503</v>
      </c>
      <c r="E11" s="25" t="s">
        <v>504</v>
      </c>
      <c r="F11" s="25" t="s">
        <v>505</v>
      </c>
      <c r="G11" s="32"/>
    </row>
    <row r="12" spans="1:7" ht="180.75" thickBot="1" x14ac:dyDescent="0.3">
      <c r="A12" s="33" t="s">
        <v>85</v>
      </c>
      <c r="B12" s="34" t="s">
        <v>62</v>
      </c>
      <c r="C12" s="42" t="s">
        <v>506</v>
      </c>
      <c r="D12" s="42" t="s">
        <v>507</v>
      </c>
      <c r="E12" s="42" t="s">
        <v>508</v>
      </c>
      <c r="F12" s="42" t="s">
        <v>509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T37"/>
  <sheetViews>
    <sheetView topLeftCell="A16" workbookViewId="0">
      <selection activeCell="C21" sqref="C21:GS21"/>
    </sheetView>
  </sheetViews>
  <sheetFormatPr defaultRowHeight="15" x14ac:dyDescent="0.25"/>
  <sheetData>
    <row r="1" spans="1:201" x14ac:dyDescent="0.25">
      <c r="A1" t="s">
        <v>304</v>
      </c>
      <c r="B1" t="s">
        <v>1</v>
      </c>
      <c r="C1" t="s">
        <v>38</v>
      </c>
      <c r="D1" t="s">
        <v>39</v>
      </c>
      <c r="E1" t="s">
        <v>40</v>
      </c>
      <c r="F1" t="s">
        <v>107</v>
      </c>
      <c r="G1" t="s">
        <v>42</v>
      </c>
      <c r="H1" t="s">
        <v>41</v>
      </c>
      <c r="I1" t="s">
        <v>108</v>
      </c>
      <c r="J1" t="s">
        <v>109</v>
      </c>
      <c r="K1" t="s">
        <v>51</v>
      </c>
      <c r="L1" t="s">
        <v>110</v>
      </c>
      <c r="M1" t="s">
        <v>111</v>
      </c>
      <c r="N1" t="s">
        <v>112</v>
      </c>
      <c r="O1" t="s">
        <v>114</v>
      </c>
      <c r="P1" t="s">
        <v>115</v>
      </c>
      <c r="Q1" t="s">
        <v>91</v>
      </c>
      <c r="R1" t="s">
        <v>116</v>
      </c>
      <c r="S1" t="s">
        <v>94</v>
      </c>
      <c r="T1" t="s">
        <v>118</v>
      </c>
      <c r="U1" t="s">
        <v>119</v>
      </c>
      <c r="V1" t="s">
        <v>120</v>
      </c>
      <c r="W1" t="s">
        <v>122</v>
      </c>
      <c r="X1" t="s">
        <v>123</v>
      </c>
      <c r="Y1" t="s">
        <v>124</v>
      </c>
      <c r="Z1" t="s">
        <v>125</v>
      </c>
      <c r="AA1" t="s">
        <v>127</v>
      </c>
      <c r="AB1" t="s">
        <v>128</v>
      </c>
      <c r="AC1" t="s">
        <v>129</v>
      </c>
      <c r="AD1" t="s">
        <v>130</v>
      </c>
      <c r="AE1" t="s">
        <v>132</v>
      </c>
      <c r="AF1" t="s">
        <v>133</v>
      </c>
      <c r="AG1" t="s">
        <v>134</v>
      </c>
      <c r="AH1" t="s">
        <v>135</v>
      </c>
      <c r="AI1" t="s">
        <v>307</v>
      </c>
      <c r="AJ1" t="s">
        <v>308</v>
      </c>
      <c r="AK1" t="s">
        <v>309</v>
      </c>
      <c r="AL1" t="s">
        <v>310</v>
      </c>
      <c r="AM1" t="s">
        <v>311</v>
      </c>
      <c r="AN1" t="s">
        <v>312</v>
      </c>
      <c r="AO1" t="s">
        <v>313</v>
      </c>
      <c r="AP1" t="s">
        <v>314</v>
      </c>
      <c r="AQ1" t="s">
        <v>315</v>
      </c>
      <c r="AR1" t="s">
        <v>316</v>
      </c>
      <c r="AS1" t="s">
        <v>317</v>
      </c>
      <c r="AT1" t="s">
        <v>318</v>
      </c>
      <c r="AU1" t="s">
        <v>319</v>
      </c>
      <c r="AV1" t="s">
        <v>320</v>
      </c>
      <c r="AW1" t="s">
        <v>321</v>
      </c>
      <c r="AX1" t="s">
        <v>322</v>
      </c>
      <c r="AY1" t="s">
        <v>323</v>
      </c>
      <c r="AZ1" t="s">
        <v>324</v>
      </c>
      <c r="BA1" t="s">
        <v>325</v>
      </c>
      <c r="BB1" t="s">
        <v>326</v>
      </c>
      <c r="BC1" t="s">
        <v>327</v>
      </c>
      <c r="BD1" t="s">
        <v>328</v>
      </c>
      <c r="BE1" t="s">
        <v>329</v>
      </c>
      <c r="BF1" t="s">
        <v>330</v>
      </c>
      <c r="BG1" t="s">
        <v>331</v>
      </c>
      <c r="BH1" t="s">
        <v>332</v>
      </c>
      <c r="BI1" t="s">
        <v>333</v>
      </c>
      <c r="BJ1" t="s">
        <v>334</v>
      </c>
      <c r="BK1" t="s">
        <v>335</v>
      </c>
      <c r="BL1" t="s">
        <v>336</v>
      </c>
      <c r="BM1" t="s">
        <v>337</v>
      </c>
      <c r="BN1" t="s">
        <v>338</v>
      </c>
      <c r="BO1" t="s">
        <v>339</v>
      </c>
      <c r="BP1" t="s">
        <v>340</v>
      </c>
      <c r="BQ1" t="s">
        <v>341</v>
      </c>
      <c r="BR1" t="s">
        <v>342</v>
      </c>
      <c r="BS1" t="s">
        <v>343</v>
      </c>
      <c r="BT1" t="s">
        <v>344</v>
      </c>
      <c r="BU1" t="s">
        <v>345</v>
      </c>
      <c r="BV1" t="s">
        <v>346</v>
      </c>
      <c r="BW1" t="s">
        <v>347</v>
      </c>
      <c r="BX1" t="s">
        <v>348</v>
      </c>
      <c r="BY1" t="s">
        <v>349</v>
      </c>
      <c r="BZ1" t="s">
        <v>350</v>
      </c>
      <c r="CA1" t="s">
        <v>351</v>
      </c>
      <c r="CB1" t="s">
        <v>352</v>
      </c>
      <c r="CC1" t="s">
        <v>353</v>
      </c>
      <c r="CD1" t="s">
        <v>354</v>
      </c>
      <c r="CE1" t="s">
        <v>355</v>
      </c>
      <c r="CF1" t="s">
        <v>356</v>
      </c>
      <c r="CG1" t="s">
        <v>357</v>
      </c>
      <c r="CH1" t="s">
        <v>358</v>
      </c>
      <c r="CI1" t="s">
        <v>359</v>
      </c>
      <c r="CJ1" t="s">
        <v>360</v>
      </c>
      <c r="CK1" t="s">
        <v>361</v>
      </c>
      <c r="CL1" t="s">
        <v>362</v>
      </c>
      <c r="CM1" t="s">
        <v>363</v>
      </c>
      <c r="CN1" t="s">
        <v>364</v>
      </c>
      <c r="CO1" t="s">
        <v>365</v>
      </c>
      <c r="CP1" t="s">
        <v>366</v>
      </c>
      <c r="CQ1" t="s">
        <v>367</v>
      </c>
      <c r="CR1" t="s">
        <v>368</v>
      </c>
      <c r="CS1" t="s">
        <v>369</v>
      </c>
      <c r="CT1" t="s">
        <v>370</v>
      </c>
      <c r="CU1" t="s">
        <v>371</v>
      </c>
      <c r="CV1" t="s">
        <v>372</v>
      </c>
      <c r="CW1" t="s">
        <v>373</v>
      </c>
      <c r="CX1" t="s">
        <v>374</v>
      </c>
      <c r="CY1" t="s">
        <v>375</v>
      </c>
      <c r="CZ1" t="s">
        <v>376</v>
      </c>
      <c r="DA1" t="s">
        <v>377</v>
      </c>
      <c r="DB1" t="s">
        <v>378</v>
      </c>
      <c r="DC1" t="s">
        <v>379</v>
      </c>
      <c r="DD1" t="s">
        <v>380</v>
      </c>
      <c r="DE1" t="s">
        <v>381</v>
      </c>
      <c r="DF1" t="s">
        <v>382</v>
      </c>
      <c r="DG1" t="s">
        <v>383</v>
      </c>
      <c r="DH1" t="s">
        <v>384</v>
      </c>
      <c r="DI1" t="s">
        <v>385</v>
      </c>
      <c r="DJ1" t="s">
        <v>386</v>
      </c>
      <c r="DK1" t="s">
        <v>387</v>
      </c>
      <c r="DL1" t="s">
        <v>388</v>
      </c>
      <c r="DM1" t="s">
        <v>389</v>
      </c>
      <c r="DN1" t="s">
        <v>390</v>
      </c>
      <c r="DO1" t="s">
        <v>391</v>
      </c>
      <c r="DP1" t="s">
        <v>392</v>
      </c>
      <c r="DQ1" t="s">
        <v>393</v>
      </c>
      <c r="DR1" t="s">
        <v>394</v>
      </c>
      <c r="DS1" t="s">
        <v>395</v>
      </c>
      <c r="DT1" t="s">
        <v>396</v>
      </c>
      <c r="DU1" t="s">
        <v>397</v>
      </c>
      <c r="DV1" t="s">
        <v>398</v>
      </c>
      <c r="DW1" t="s">
        <v>399</v>
      </c>
      <c r="DX1" t="s">
        <v>400</v>
      </c>
      <c r="DY1" t="s">
        <v>401</v>
      </c>
      <c r="DZ1" t="s">
        <v>402</v>
      </c>
      <c r="EA1" t="s">
        <v>403</v>
      </c>
      <c r="EB1" t="s">
        <v>404</v>
      </c>
      <c r="EC1" t="s">
        <v>405</v>
      </c>
      <c r="ED1" t="s">
        <v>406</v>
      </c>
      <c r="EE1" t="s">
        <v>407</v>
      </c>
      <c r="EF1" t="s">
        <v>408</v>
      </c>
      <c r="EG1" t="s">
        <v>409</v>
      </c>
      <c r="EH1" t="s">
        <v>410</v>
      </c>
      <c r="EI1" t="s">
        <v>411</v>
      </c>
      <c r="EJ1" t="s">
        <v>412</v>
      </c>
      <c r="EK1" t="s">
        <v>413</v>
      </c>
      <c r="EL1" t="s">
        <v>414</v>
      </c>
      <c r="EM1" t="s">
        <v>415</v>
      </c>
      <c r="EN1" t="s">
        <v>416</v>
      </c>
      <c r="EO1" t="s">
        <v>417</v>
      </c>
      <c r="EP1" t="s">
        <v>418</v>
      </c>
      <c r="EQ1" t="s">
        <v>419</v>
      </c>
      <c r="ER1" t="s">
        <v>420</v>
      </c>
      <c r="ES1" t="s">
        <v>421</v>
      </c>
      <c r="ET1" t="s">
        <v>422</v>
      </c>
      <c r="EU1" t="s">
        <v>423</v>
      </c>
      <c r="EV1" t="s">
        <v>424</v>
      </c>
      <c r="EW1" t="s">
        <v>425</v>
      </c>
      <c r="EX1" t="s">
        <v>426</v>
      </c>
      <c r="EY1" t="s">
        <v>427</v>
      </c>
      <c r="EZ1" t="s">
        <v>428</v>
      </c>
      <c r="FA1" t="s">
        <v>429</v>
      </c>
      <c r="FB1" t="s">
        <v>430</v>
      </c>
      <c r="FC1" t="s">
        <v>431</v>
      </c>
      <c r="FD1" t="s">
        <v>432</v>
      </c>
      <c r="FE1" t="s">
        <v>433</v>
      </c>
      <c r="FF1" t="s">
        <v>434</v>
      </c>
      <c r="FG1" t="s">
        <v>435</v>
      </c>
      <c r="FH1" t="s">
        <v>436</v>
      </c>
      <c r="FI1" t="s">
        <v>437</v>
      </c>
      <c r="FJ1" t="s">
        <v>438</v>
      </c>
      <c r="FK1" t="s">
        <v>439</v>
      </c>
      <c r="FL1" t="s">
        <v>440</v>
      </c>
      <c r="FM1" t="s">
        <v>441</v>
      </c>
      <c r="FN1" t="s">
        <v>442</v>
      </c>
      <c r="FO1" t="s">
        <v>443</v>
      </c>
      <c r="FP1" t="s">
        <v>444</v>
      </c>
      <c r="FQ1" t="s">
        <v>445</v>
      </c>
      <c r="FR1" t="s">
        <v>446</v>
      </c>
      <c r="FS1" t="s">
        <v>447</v>
      </c>
      <c r="FT1" t="s">
        <v>448</v>
      </c>
      <c r="FU1" t="s">
        <v>449</v>
      </c>
      <c r="FV1" t="s">
        <v>450</v>
      </c>
      <c r="FW1" t="s">
        <v>451</v>
      </c>
      <c r="FX1" t="s">
        <v>452</v>
      </c>
      <c r="FY1" t="s">
        <v>453</v>
      </c>
      <c r="FZ1" t="s">
        <v>454</v>
      </c>
      <c r="GA1" t="s">
        <v>455</v>
      </c>
      <c r="GB1" t="s">
        <v>456</v>
      </c>
      <c r="GC1" t="s">
        <v>457</v>
      </c>
      <c r="GD1" t="s">
        <v>458</v>
      </c>
      <c r="GE1" t="s">
        <v>459</v>
      </c>
      <c r="GF1" t="s">
        <v>460</v>
      </c>
      <c r="GG1" t="s">
        <v>461</v>
      </c>
      <c r="GH1" t="s">
        <v>462</v>
      </c>
      <c r="GI1" t="s">
        <v>463</v>
      </c>
      <c r="GJ1" t="s">
        <v>464</v>
      </c>
      <c r="GK1" t="s">
        <v>465</v>
      </c>
      <c r="GL1" t="s">
        <v>466</v>
      </c>
      <c r="GM1" t="s">
        <v>467</v>
      </c>
      <c r="GN1" t="s">
        <v>468</v>
      </c>
      <c r="GO1" t="s">
        <v>469</v>
      </c>
      <c r="GP1" t="s">
        <v>470</v>
      </c>
      <c r="GQ1" t="s">
        <v>471</v>
      </c>
      <c r="GR1" t="s">
        <v>472</v>
      </c>
      <c r="GS1" t="s">
        <v>473</v>
      </c>
    </row>
    <row r="2" spans="1:201" x14ac:dyDescent="0.25">
      <c r="A2" t="s">
        <v>10</v>
      </c>
      <c r="B2" t="s">
        <v>13</v>
      </c>
      <c r="C2">
        <v>4</v>
      </c>
      <c r="D2">
        <v>3</v>
      </c>
      <c r="E2">
        <v>2</v>
      </c>
      <c r="F2">
        <v>1</v>
      </c>
    </row>
    <row r="3" spans="1:201" x14ac:dyDescent="0.25">
      <c r="A3" t="s">
        <v>11</v>
      </c>
      <c r="B3" t="s">
        <v>13</v>
      </c>
      <c r="G3">
        <v>4</v>
      </c>
      <c r="H3">
        <v>3</v>
      </c>
      <c r="I3">
        <v>2</v>
      </c>
      <c r="J3">
        <v>1</v>
      </c>
    </row>
    <row r="4" spans="1:201" x14ac:dyDescent="0.25">
      <c r="A4" t="s">
        <v>12</v>
      </c>
      <c r="B4" t="s">
        <v>13</v>
      </c>
      <c r="K4">
        <v>4</v>
      </c>
      <c r="L4">
        <v>3</v>
      </c>
      <c r="M4">
        <v>2</v>
      </c>
      <c r="N4">
        <v>1</v>
      </c>
    </row>
    <row r="5" spans="1:201" x14ac:dyDescent="0.25">
      <c r="A5" t="s">
        <v>93</v>
      </c>
      <c r="B5" t="s">
        <v>113</v>
      </c>
      <c r="O5">
        <v>4</v>
      </c>
      <c r="P5">
        <v>3</v>
      </c>
      <c r="Q5">
        <v>2</v>
      </c>
      <c r="R5">
        <v>1</v>
      </c>
    </row>
    <row r="6" spans="1:201" x14ac:dyDescent="0.25">
      <c r="A6" t="s">
        <v>117</v>
      </c>
      <c r="B6" t="s">
        <v>13</v>
      </c>
      <c r="S6">
        <v>4</v>
      </c>
      <c r="T6">
        <v>3</v>
      </c>
      <c r="U6">
        <v>2</v>
      </c>
      <c r="V6">
        <v>1</v>
      </c>
    </row>
    <row r="7" spans="1:201" x14ac:dyDescent="0.25">
      <c r="A7" t="s">
        <v>121</v>
      </c>
      <c r="B7" t="s">
        <v>13</v>
      </c>
      <c r="W7">
        <v>4</v>
      </c>
      <c r="X7">
        <v>3</v>
      </c>
      <c r="Y7">
        <v>2</v>
      </c>
      <c r="Z7">
        <v>1</v>
      </c>
    </row>
    <row r="8" spans="1:201" x14ac:dyDescent="0.25">
      <c r="A8" t="s">
        <v>126</v>
      </c>
      <c r="B8" t="s">
        <v>113</v>
      </c>
      <c r="AA8">
        <v>4</v>
      </c>
      <c r="AB8">
        <v>3</v>
      </c>
      <c r="AC8">
        <v>2</v>
      </c>
      <c r="AD8">
        <v>1</v>
      </c>
    </row>
    <row r="9" spans="1:201" x14ac:dyDescent="0.25">
      <c r="A9" t="s">
        <v>131</v>
      </c>
      <c r="B9" t="s">
        <v>13</v>
      </c>
      <c r="AE9">
        <v>4</v>
      </c>
      <c r="AF9">
        <v>3</v>
      </c>
      <c r="AG9">
        <v>2</v>
      </c>
      <c r="AH9">
        <v>1</v>
      </c>
    </row>
    <row r="11" spans="1:201" x14ac:dyDescent="0.25">
      <c r="A11" t="s">
        <v>305</v>
      </c>
      <c r="B11" t="s">
        <v>1</v>
      </c>
      <c r="C11" t="s">
        <v>38</v>
      </c>
      <c r="D11" t="s">
        <v>39</v>
      </c>
      <c r="E11" t="s">
        <v>40</v>
      </c>
      <c r="F11" t="s">
        <v>107</v>
      </c>
      <c r="G11" t="s">
        <v>42</v>
      </c>
      <c r="H11" t="s">
        <v>41</v>
      </c>
      <c r="I11" t="s">
        <v>108</v>
      </c>
      <c r="J11" t="s">
        <v>109</v>
      </c>
      <c r="K11" t="s">
        <v>51</v>
      </c>
      <c r="L11" t="s">
        <v>110</v>
      </c>
      <c r="M11" t="s">
        <v>111</v>
      </c>
      <c r="N11" t="s">
        <v>112</v>
      </c>
      <c r="O11" t="s">
        <v>114</v>
      </c>
      <c r="P11" t="s">
        <v>115</v>
      </c>
      <c r="Q11" t="s">
        <v>91</v>
      </c>
      <c r="R11" t="s">
        <v>116</v>
      </c>
      <c r="S11" t="s">
        <v>94</v>
      </c>
      <c r="T11" t="s">
        <v>118</v>
      </c>
      <c r="U11" t="s">
        <v>119</v>
      </c>
      <c r="V11" t="s">
        <v>120</v>
      </c>
      <c r="W11" t="s">
        <v>122</v>
      </c>
      <c r="X11" t="s">
        <v>123</v>
      </c>
      <c r="Y11" t="s">
        <v>124</v>
      </c>
      <c r="Z11" t="s">
        <v>125</v>
      </c>
      <c r="AA11" t="s">
        <v>127</v>
      </c>
      <c r="AB11" t="s">
        <v>128</v>
      </c>
      <c r="AC11" t="s">
        <v>129</v>
      </c>
      <c r="AD11" t="s">
        <v>130</v>
      </c>
      <c r="AE11" t="s">
        <v>132</v>
      </c>
      <c r="AF11" t="s">
        <v>133</v>
      </c>
      <c r="AG11" t="s">
        <v>134</v>
      </c>
      <c r="AH11" t="s">
        <v>135</v>
      </c>
      <c r="AI11" t="s">
        <v>307</v>
      </c>
      <c r="AJ11" t="s">
        <v>308</v>
      </c>
      <c r="AK11" t="s">
        <v>309</v>
      </c>
      <c r="AL11" t="s">
        <v>310</v>
      </c>
      <c r="AM11" t="s">
        <v>311</v>
      </c>
      <c r="AN11" t="s">
        <v>312</v>
      </c>
      <c r="AO11" t="s">
        <v>313</v>
      </c>
      <c r="AP11" t="s">
        <v>314</v>
      </c>
      <c r="AQ11" t="s">
        <v>315</v>
      </c>
      <c r="AR11" t="s">
        <v>316</v>
      </c>
      <c r="AS11" t="s">
        <v>317</v>
      </c>
      <c r="AT11" t="s">
        <v>318</v>
      </c>
      <c r="AU11" t="s">
        <v>319</v>
      </c>
      <c r="AV11" t="s">
        <v>320</v>
      </c>
      <c r="AW11" t="s">
        <v>321</v>
      </c>
      <c r="AX11" t="s">
        <v>322</v>
      </c>
      <c r="AY11" t="s">
        <v>323</v>
      </c>
      <c r="AZ11" t="s">
        <v>324</v>
      </c>
      <c r="BA11" t="s">
        <v>325</v>
      </c>
      <c r="BB11" t="s">
        <v>326</v>
      </c>
      <c r="BC11" t="s">
        <v>327</v>
      </c>
      <c r="BD11" t="s">
        <v>328</v>
      </c>
      <c r="BE11" t="s">
        <v>329</v>
      </c>
      <c r="BF11" t="s">
        <v>330</v>
      </c>
      <c r="BG11" t="s">
        <v>331</v>
      </c>
      <c r="BH11" t="s">
        <v>332</v>
      </c>
      <c r="BI11" t="s">
        <v>333</v>
      </c>
      <c r="BJ11" t="s">
        <v>334</v>
      </c>
      <c r="BK11" t="s">
        <v>335</v>
      </c>
      <c r="BL11" t="s">
        <v>336</v>
      </c>
      <c r="BM11" t="s">
        <v>337</v>
      </c>
      <c r="BN11" t="s">
        <v>338</v>
      </c>
      <c r="BO11" t="s">
        <v>339</v>
      </c>
      <c r="BP11" t="s">
        <v>340</v>
      </c>
      <c r="BQ11" t="s">
        <v>341</v>
      </c>
      <c r="BR11" t="s">
        <v>342</v>
      </c>
      <c r="BS11" t="s">
        <v>343</v>
      </c>
      <c r="BT11" t="s">
        <v>344</v>
      </c>
      <c r="BU11" t="s">
        <v>345</v>
      </c>
      <c r="BV11" t="s">
        <v>346</v>
      </c>
      <c r="BW11" t="s">
        <v>347</v>
      </c>
      <c r="BX11" t="s">
        <v>348</v>
      </c>
      <c r="BY11" t="s">
        <v>349</v>
      </c>
      <c r="BZ11" t="s">
        <v>350</v>
      </c>
      <c r="CA11" t="s">
        <v>351</v>
      </c>
      <c r="CB11" t="s">
        <v>352</v>
      </c>
      <c r="CC11" t="s">
        <v>353</v>
      </c>
      <c r="CD11" t="s">
        <v>354</v>
      </c>
      <c r="CE11" t="s">
        <v>355</v>
      </c>
      <c r="CF11" t="s">
        <v>356</v>
      </c>
      <c r="CG11" t="s">
        <v>357</v>
      </c>
      <c r="CH11" t="s">
        <v>358</v>
      </c>
      <c r="CI11" t="s">
        <v>359</v>
      </c>
      <c r="CJ11" t="s">
        <v>360</v>
      </c>
      <c r="CK11" t="s">
        <v>361</v>
      </c>
      <c r="CL11" t="s">
        <v>362</v>
      </c>
      <c r="CM11" t="s">
        <v>363</v>
      </c>
      <c r="CN11" t="s">
        <v>364</v>
      </c>
      <c r="CO11" t="s">
        <v>365</v>
      </c>
      <c r="CP11" t="s">
        <v>366</v>
      </c>
      <c r="CQ11" t="s">
        <v>367</v>
      </c>
      <c r="CR11" t="s">
        <v>368</v>
      </c>
      <c r="CS11" t="s">
        <v>369</v>
      </c>
      <c r="CT11" t="s">
        <v>370</v>
      </c>
      <c r="CU11" t="s">
        <v>371</v>
      </c>
      <c r="CV11" t="s">
        <v>372</v>
      </c>
      <c r="CW11" t="s">
        <v>373</v>
      </c>
      <c r="CX11" t="s">
        <v>374</v>
      </c>
      <c r="CY11" t="s">
        <v>375</v>
      </c>
      <c r="CZ11" t="s">
        <v>376</v>
      </c>
      <c r="DA11" t="s">
        <v>377</v>
      </c>
      <c r="DB11" t="s">
        <v>378</v>
      </c>
      <c r="DC11" t="s">
        <v>379</v>
      </c>
      <c r="DD11" t="s">
        <v>380</v>
      </c>
      <c r="DE11" t="s">
        <v>381</v>
      </c>
      <c r="DF11" t="s">
        <v>382</v>
      </c>
      <c r="DG11" t="s">
        <v>383</v>
      </c>
      <c r="DH11" t="s">
        <v>384</v>
      </c>
      <c r="DI11" t="s">
        <v>385</v>
      </c>
      <c r="DJ11" t="s">
        <v>386</v>
      </c>
      <c r="DK11" t="s">
        <v>387</v>
      </c>
      <c r="DL11" t="s">
        <v>388</v>
      </c>
      <c r="DM11" t="s">
        <v>389</v>
      </c>
      <c r="DN11" t="s">
        <v>390</v>
      </c>
      <c r="DO11" t="s">
        <v>391</v>
      </c>
      <c r="DP11" t="s">
        <v>392</v>
      </c>
      <c r="DQ11" t="s">
        <v>393</v>
      </c>
      <c r="DR11" t="s">
        <v>394</v>
      </c>
      <c r="DS11" t="s">
        <v>395</v>
      </c>
      <c r="DT11" t="s">
        <v>396</v>
      </c>
      <c r="DU11" t="s">
        <v>397</v>
      </c>
      <c r="DV11" t="s">
        <v>398</v>
      </c>
      <c r="DW11" t="s">
        <v>399</v>
      </c>
      <c r="DX11" t="s">
        <v>400</v>
      </c>
      <c r="DY11" t="s">
        <v>401</v>
      </c>
      <c r="DZ11" t="s">
        <v>402</v>
      </c>
      <c r="EA11" t="s">
        <v>403</v>
      </c>
      <c r="EB11" t="s">
        <v>404</v>
      </c>
      <c r="EC11" t="s">
        <v>405</v>
      </c>
      <c r="ED11" t="s">
        <v>406</v>
      </c>
      <c r="EE11" t="s">
        <v>407</v>
      </c>
      <c r="EF11" t="s">
        <v>408</v>
      </c>
      <c r="EG11" t="s">
        <v>409</v>
      </c>
      <c r="EH11" t="s">
        <v>410</v>
      </c>
      <c r="EI11" t="s">
        <v>411</v>
      </c>
      <c r="EJ11" t="s">
        <v>412</v>
      </c>
      <c r="EK11" t="s">
        <v>413</v>
      </c>
      <c r="EL11" t="s">
        <v>414</v>
      </c>
      <c r="EM11" t="s">
        <v>415</v>
      </c>
      <c r="EN11" t="s">
        <v>416</v>
      </c>
      <c r="EO11" t="s">
        <v>417</v>
      </c>
      <c r="EP11" t="s">
        <v>418</v>
      </c>
      <c r="EQ11" t="s">
        <v>419</v>
      </c>
      <c r="ER11" t="s">
        <v>420</v>
      </c>
      <c r="ES11" t="s">
        <v>421</v>
      </c>
      <c r="ET11" t="s">
        <v>422</v>
      </c>
      <c r="EU11" t="s">
        <v>423</v>
      </c>
      <c r="EV11" t="s">
        <v>424</v>
      </c>
      <c r="EW11" t="s">
        <v>425</v>
      </c>
      <c r="EX11" t="s">
        <v>426</v>
      </c>
      <c r="EY11" t="s">
        <v>427</v>
      </c>
      <c r="EZ11" t="s">
        <v>428</v>
      </c>
      <c r="FA11" t="s">
        <v>429</v>
      </c>
      <c r="FB11" t="s">
        <v>430</v>
      </c>
      <c r="FC11" t="s">
        <v>431</v>
      </c>
      <c r="FD11" t="s">
        <v>432</v>
      </c>
      <c r="FE11" t="s">
        <v>433</v>
      </c>
      <c r="FF11" t="s">
        <v>434</v>
      </c>
      <c r="FG11" t="s">
        <v>435</v>
      </c>
      <c r="FH11" t="s">
        <v>436</v>
      </c>
      <c r="FI11" t="s">
        <v>437</v>
      </c>
      <c r="FJ11" t="s">
        <v>438</v>
      </c>
      <c r="FK11" t="s">
        <v>439</v>
      </c>
      <c r="FL11" t="s">
        <v>440</v>
      </c>
      <c r="FM11" t="s">
        <v>441</v>
      </c>
      <c r="FN11" t="s">
        <v>442</v>
      </c>
      <c r="FO11" t="s">
        <v>443</v>
      </c>
      <c r="FP11" t="s">
        <v>444</v>
      </c>
      <c r="FQ11" t="s">
        <v>445</v>
      </c>
      <c r="FR11" t="s">
        <v>446</v>
      </c>
      <c r="FS11" t="s">
        <v>447</v>
      </c>
      <c r="FT11" t="s">
        <v>448</v>
      </c>
      <c r="FU11" t="s">
        <v>449</v>
      </c>
      <c r="FV11" t="s">
        <v>450</v>
      </c>
      <c r="FW11" t="s">
        <v>451</v>
      </c>
      <c r="FX11" t="s">
        <v>452</v>
      </c>
      <c r="FY11" t="s">
        <v>453</v>
      </c>
      <c r="FZ11" t="s">
        <v>454</v>
      </c>
      <c r="GA11" t="s">
        <v>455</v>
      </c>
      <c r="GB11" t="s">
        <v>456</v>
      </c>
      <c r="GC11" t="s">
        <v>457</v>
      </c>
      <c r="GD11" t="s">
        <v>458</v>
      </c>
      <c r="GE11" t="s">
        <v>459</v>
      </c>
      <c r="GF11" t="s">
        <v>460</v>
      </c>
      <c r="GG11" t="s">
        <v>461</v>
      </c>
      <c r="GH11" t="s">
        <v>462</v>
      </c>
      <c r="GI11" t="s">
        <v>463</v>
      </c>
      <c r="GJ11" t="s">
        <v>464</v>
      </c>
      <c r="GK11" t="s">
        <v>465</v>
      </c>
      <c r="GL11" t="s">
        <v>466</v>
      </c>
      <c r="GM11" t="s">
        <v>467</v>
      </c>
      <c r="GN11" t="s">
        <v>468</v>
      </c>
      <c r="GO11" t="s">
        <v>469</v>
      </c>
      <c r="GP11" t="s">
        <v>470</v>
      </c>
      <c r="GQ11" t="s">
        <v>471</v>
      </c>
      <c r="GR11" t="s">
        <v>472</v>
      </c>
      <c r="GS11" t="s">
        <v>473</v>
      </c>
    </row>
    <row r="12" spans="1:201" x14ac:dyDescent="0.25">
      <c r="A12" t="s">
        <v>10</v>
      </c>
      <c r="B12" t="s">
        <v>13</v>
      </c>
      <c r="C12">
        <v>0.40000000596046448</v>
      </c>
      <c r="D12">
        <v>0.30000001192092896</v>
      </c>
      <c r="E12">
        <v>0.20000000298023224</v>
      </c>
      <c r="F12">
        <v>0.10000000149011612</v>
      </c>
    </row>
    <row r="13" spans="1:201" x14ac:dyDescent="0.25">
      <c r="A13" t="s">
        <v>11</v>
      </c>
      <c r="B13" t="s">
        <v>13</v>
      </c>
      <c r="G13">
        <v>0.40000000596046448</v>
      </c>
      <c r="H13">
        <v>0.30000001192092896</v>
      </c>
      <c r="I13">
        <v>0.20000000298023224</v>
      </c>
      <c r="J13">
        <v>0.10000000149011612</v>
      </c>
    </row>
    <row r="14" spans="1:201" x14ac:dyDescent="0.25">
      <c r="A14" t="s">
        <v>12</v>
      </c>
      <c r="B14" t="s">
        <v>13</v>
      </c>
      <c r="K14">
        <v>0.40000000596046448</v>
      </c>
      <c r="L14">
        <v>0.30000001192092896</v>
      </c>
      <c r="M14">
        <v>0.20000000298023224</v>
      </c>
      <c r="N14">
        <v>0.10000000149011612</v>
      </c>
    </row>
    <row r="15" spans="1:201" x14ac:dyDescent="0.25">
      <c r="A15" t="s">
        <v>93</v>
      </c>
      <c r="B15" t="s">
        <v>113</v>
      </c>
      <c r="O15">
        <v>0.40000000596046448</v>
      </c>
      <c r="P15">
        <v>0.30000001192092896</v>
      </c>
      <c r="Q15">
        <v>0.20000000298023224</v>
      </c>
      <c r="R15">
        <v>0.10000000149011612</v>
      </c>
    </row>
    <row r="16" spans="1:201" x14ac:dyDescent="0.25">
      <c r="A16" t="s">
        <v>117</v>
      </c>
      <c r="B16" t="s">
        <v>13</v>
      </c>
      <c r="S16">
        <v>0.40000000596046448</v>
      </c>
      <c r="T16">
        <v>0.30000001192092896</v>
      </c>
      <c r="U16">
        <v>0.20000000298023224</v>
      </c>
      <c r="V16">
        <v>0.10000000149011612</v>
      </c>
    </row>
    <row r="17" spans="1:202" x14ac:dyDescent="0.25">
      <c r="A17" t="s">
        <v>121</v>
      </c>
      <c r="B17" t="s">
        <v>13</v>
      </c>
      <c r="W17">
        <v>0.40000000596046448</v>
      </c>
      <c r="X17">
        <v>0.30000001192092896</v>
      </c>
      <c r="Y17">
        <v>0.20000000298023224</v>
      </c>
      <c r="Z17">
        <v>0.10000000149011612</v>
      </c>
    </row>
    <row r="18" spans="1:202" x14ac:dyDescent="0.25">
      <c r="A18" t="s">
        <v>126</v>
      </c>
      <c r="B18" t="s">
        <v>113</v>
      </c>
      <c r="AA18">
        <v>0.40000000596046448</v>
      </c>
      <c r="AB18">
        <v>0.30000001192092896</v>
      </c>
      <c r="AC18">
        <v>0.20000000298023224</v>
      </c>
      <c r="AD18">
        <v>0.10000000149011612</v>
      </c>
    </row>
    <row r="19" spans="1:202" x14ac:dyDescent="0.25">
      <c r="A19" t="s">
        <v>131</v>
      </c>
      <c r="B19" t="s">
        <v>13</v>
      </c>
      <c r="AE19">
        <v>0.40000000596046448</v>
      </c>
      <c r="AF19">
        <v>0.30000001192092896</v>
      </c>
      <c r="AG19">
        <v>0.20000000298023224</v>
      </c>
      <c r="AH19">
        <v>0.10000000149011612</v>
      </c>
    </row>
    <row r="21" spans="1:202" x14ac:dyDescent="0.25">
      <c r="A21" t="s">
        <v>306</v>
      </c>
      <c r="B21" t="s">
        <v>1</v>
      </c>
      <c r="C21" t="s">
        <v>38</v>
      </c>
      <c r="D21" t="s">
        <v>39</v>
      </c>
      <c r="E21" t="s">
        <v>40</v>
      </c>
      <c r="F21" t="s">
        <v>107</v>
      </c>
      <c r="G21" t="s">
        <v>42</v>
      </c>
      <c r="H21" t="s">
        <v>41</v>
      </c>
      <c r="I21" t="s">
        <v>108</v>
      </c>
      <c r="J21" t="s">
        <v>109</v>
      </c>
      <c r="K21" t="s">
        <v>51</v>
      </c>
      <c r="L21" t="s">
        <v>110</v>
      </c>
      <c r="M21" t="s">
        <v>111</v>
      </c>
      <c r="N21" t="s">
        <v>112</v>
      </c>
      <c r="O21" t="s">
        <v>114</v>
      </c>
      <c r="P21" t="s">
        <v>115</v>
      </c>
      <c r="Q21" t="s">
        <v>91</v>
      </c>
      <c r="R21" t="s">
        <v>116</v>
      </c>
      <c r="S21" t="s">
        <v>94</v>
      </c>
      <c r="T21" t="s">
        <v>118</v>
      </c>
      <c r="U21" t="s">
        <v>119</v>
      </c>
      <c r="V21" t="s">
        <v>120</v>
      </c>
      <c r="W21" t="s">
        <v>122</v>
      </c>
      <c r="X21" t="s">
        <v>123</v>
      </c>
      <c r="Y21" t="s">
        <v>124</v>
      </c>
      <c r="Z21" t="s">
        <v>125</v>
      </c>
      <c r="AA21" t="s">
        <v>127</v>
      </c>
      <c r="AB21" t="s">
        <v>128</v>
      </c>
      <c r="AC21" t="s">
        <v>129</v>
      </c>
      <c r="AD21" t="s">
        <v>130</v>
      </c>
      <c r="AE21" t="s">
        <v>132</v>
      </c>
      <c r="AF21" t="s">
        <v>133</v>
      </c>
      <c r="AG21" t="s">
        <v>134</v>
      </c>
      <c r="AH21" t="s">
        <v>135</v>
      </c>
      <c r="AI21" t="s">
        <v>307</v>
      </c>
      <c r="AJ21" t="s">
        <v>308</v>
      </c>
      <c r="AK21" t="s">
        <v>309</v>
      </c>
      <c r="AL21" t="s">
        <v>310</v>
      </c>
      <c r="AM21" t="s">
        <v>311</v>
      </c>
      <c r="AN21" t="s">
        <v>312</v>
      </c>
      <c r="AO21" t="s">
        <v>313</v>
      </c>
      <c r="AP21" t="s">
        <v>314</v>
      </c>
      <c r="AQ21" t="s">
        <v>315</v>
      </c>
      <c r="AR21" t="s">
        <v>316</v>
      </c>
      <c r="AS21" t="s">
        <v>317</v>
      </c>
      <c r="AT21" t="s">
        <v>318</v>
      </c>
      <c r="AU21" t="s">
        <v>319</v>
      </c>
      <c r="AV21" t="s">
        <v>320</v>
      </c>
      <c r="AW21" t="s">
        <v>321</v>
      </c>
      <c r="AX21" t="s">
        <v>322</v>
      </c>
      <c r="AY21" t="s">
        <v>323</v>
      </c>
      <c r="AZ21" t="s">
        <v>324</v>
      </c>
      <c r="BA21" t="s">
        <v>325</v>
      </c>
      <c r="BB21" t="s">
        <v>326</v>
      </c>
      <c r="BC21" t="s">
        <v>327</v>
      </c>
      <c r="BD21" t="s">
        <v>328</v>
      </c>
      <c r="BE21" t="s">
        <v>329</v>
      </c>
      <c r="BF21" t="s">
        <v>330</v>
      </c>
      <c r="BG21" t="s">
        <v>331</v>
      </c>
      <c r="BH21" t="s">
        <v>332</v>
      </c>
      <c r="BI21" t="s">
        <v>333</v>
      </c>
      <c r="BJ21" t="s">
        <v>334</v>
      </c>
      <c r="BK21" t="s">
        <v>335</v>
      </c>
      <c r="BL21" t="s">
        <v>336</v>
      </c>
      <c r="BM21" t="s">
        <v>337</v>
      </c>
      <c r="BN21" t="s">
        <v>338</v>
      </c>
      <c r="BO21" t="s">
        <v>339</v>
      </c>
      <c r="BP21" t="s">
        <v>340</v>
      </c>
      <c r="BQ21" t="s">
        <v>341</v>
      </c>
      <c r="BR21" t="s">
        <v>342</v>
      </c>
      <c r="BS21" t="s">
        <v>343</v>
      </c>
      <c r="BT21" t="s">
        <v>344</v>
      </c>
      <c r="BU21" t="s">
        <v>345</v>
      </c>
      <c r="BV21" t="s">
        <v>346</v>
      </c>
      <c r="BW21" t="s">
        <v>347</v>
      </c>
      <c r="BX21" t="s">
        <v>348</v>
      </c>
      <c r="BY21" t="s">
        <v>349</v>
      </c>
      <c r="BZ21" t="s">
        <v>350</v>
      </c>
      <c r="CA21" t="s">
        <v>351</v>
      </c>
      <c r="CB21" t="s">
        <v>352</v>
      </c>
      <c r="CC21" t="s">
        <v>353</v>
      </c>
      <c r="CD21" t="s">
        <v>354</v>
      </c>
      <c r="CE21" t="s">
        <v>355</v>
      </c>
      <c r="CF21" t="s">
        <v>356</v>
      </c>
      <c r="CG21" t="s">
        <v>357</v>
      </c>
      <c r="CH21" t="s">
        <v>358</v>
      </c>
      <c r="CI21" t="s">
        <v>359</v>
      </c>
      <c r="CJ21" t="s">
        <v>360</v>
      </c>
      <c r="CK21" t="s">
        <v>361</v>
      </c>
      <c r="CL21" t="s">
        <v>362</v>
      </c>
      <c r="CM21" t="s">
        <v>363</v>
      </c>
      <c r="CN21" t="s">
        <v>364</v>
      </c>
      <c r="CO21" t="s">
        <v>365</v>
      </c>
      <c r="CP21" t="s">
        <v>366</v>
      </c>
      <c r="CQ21" t="s">
        <v>367</v>
      </c>
      <c r="CR21" t="s">
        <v>368</v>
      </c>
      <c r="CS21" t="s">
        <v>369</v>
      </c>
      <c r="CT21" t="s">
        <v>370</v>
      </c>
      <c r="CU21" t="s">
        <v>371</v>
      </c>
      <c r="CV21" t="s">
        <v>372</v>
      </c>
      <c r="CW21" t="s">
        <v>373</v>
      </c>
      <c r="CX21" t="s">
        <v>374</v>
      </c>
      <c r="CY21" t="s">
        <v>375</v>
      </c>
      <c r="CZ21" t="s">
        <v>376</v>
      </c>
      <c r="DA21" t="s">
        <v>377</v>
      </c>
      <c r="DB21" t="s">
        <v>378</v>
      </c>
      <c r="DC21" t="s">
        <v>379</v>
      </c>
      <c r="DD21" t="s">
        <v>380</v>
      </c>
      <c r="DE21" t="s">
        <v>381</v>
      </c>
      <c r="DF21" t="s">
        <v>382</v>
      </c>
      <c r="DG21" t="s">
        <v>383</v>
      </c>
      <c r="DH21" t="s">
        <v>384</v>
      </c>
      <c r="DI21" t="s">
        <v>385</v>
      </c>
      <c r="DJ21" t="s">
        <v>386</v>
      </c>
      <c r="DK21" t="s">
        <v>387</v>
      </c>
      <c r="DL21" t="s">
        <v>388</v>
      </c>
      <c r="DM21" t="s">
        <v>389</v>
      </c>
      <c r="DN21" t="s">
        <v>390</v>
      </c>
      <c r="DO21" t="s">
        <v>391</v>
      </c>
      <c r="DP21" t="s">
        <v>392</v>
      </c>
      <c r="DQ21" t="s">
        <v>393</v>
      </c>
      <c r="DR21" t="s">
        <v>394</v>
      </c>
      <c r="DS21" t="s">
        <v>395</v>
      </c>
      <c r="DT21" t="s">
        <v>396</v>
      </c>
      <c r="DU21" t="s">
        <v>397</v>
      </c>
      <c r="DV21" t="s">
        <v>398</v>
      </c>
      <c r="DW21" t="s">
        <v>399</v>
      </c>
      <c r="DX21" t="s">
        <v>400</v>
      </c>
      <c r="DY21" t="s">
        <v>401</v>
      </c>
      <c r="DZ21" t="s">
        <v>402</v>
      </c>
      <c r="EA21" t="s">
        <v>403</v>
      </c>
      <c r="EB21" t="s">
        <v>404</v>
      </c>
      <c r="EC21" t="s">
        <v>405</v>
      </c>
      <c r="ED21" t="s">
        <v>406</v>
      </c>
      <c r="EE21" t="s">
        <v>407</v>
      </c>
      <c r="EF21" t="s">
        <v>408</v>
      </c>
      <c r="EG21" t="s">
        <v>409</v>
      </c>
      <c r="EH21" t="s">
        <v>410</v>
      </c>
      <c r="EI21" t="s">
        <v>411</v>
      </c>
      <c r="EJ21" t="s">
        <v>412</v>
      </c>
      <c r="EK21" t="s">
        <v>413</v>
      </c>
      <c r="EL21" t="s">
        <v>414</v>
      </c>
      <c r="EM21" t="s">
        <v>415</v>
      </c>
      <c r="EN21" t="s">
        <v>416</v>
      </c>
      <c r="EO21" t="s">
        <v>417</v>
      </c>
      <c r="EP21" t="s">
        <v>418</v>
      </c>
      <c r="EQ21" t="s">
        <v>419</v>
      </c>
      <c r="ER21" t="s">
        <v>420</v>
      </c>
      <c r="ES21" t="s">
        <v>421</v>
      </c>
      <c r="ET21" t="s">
        <v>422</v>
      </c>
      <c r="EU21" t="s">
        <v>423</v>
      </c>
      <c r="EV21" t="s">
        <v>424</v>
      </c>
      <c r="EW21" t="s">
        <v>425</v>
      </c>
      <c r="EX21" t="s">
        <v>426</v>
      </c>
      <c r="EY21" t="s">
        <v>427</v>
      </c>
      <c r="EZ21" t="s">
        <v>428</v>
      </c>
      <c r="FA21" t="s">
        <v>429</v>
      </c>
      <c r="FB21" t="s">
        <v>430</v>
      </c>
      <c r="FC21" t="s">
        <v>431</v>
      </c>
      <c r="FD21" t="s">
        <v>432</v>
      </c>
      <c r="FE21" t="s">
        <v>433</v>
      </c>
      <c r="FF21" t="s">
        <v>434</v>
      </c>
      <c r="FG21" t="s">
        <v>435</v>
      </c>
      <c r="FH21" t="s">
        <v>436</v>
      </c>
      <c r="FI21" t="s">
        <v>437</v>
      </c>
      <c r="FJ21" t="s">
        <v>438</v>
      </c>
      <c r="FK21" t="s">
        <v>439</v>
      </c>
      <c r="FL21" t="s">
        <v>440</v>
      </c>
      <c r="FM21" t="s">
        <v>441</v>
      </c>
      <c r="FN21" t="s">
        <v>442</v>
      </c>
      <c r="FO21" t="s">
        <v>443</v>
      </c>
      <c r="FP21" t="s">
        <v>444</v>
      </c>
      <c r="FQ21" t="s">
        <v>445</v>
      </c>
      <c r="FR21" t="s">
        <v>446</v>
      </c>
      <c r="FS21" t="s">
        <v>447</v>
      </c>
      <c r="FT21" t="s">
        <v>448</v>
      </c>
      <c r="FU21" t="s">
        <v>449</v>
      </c>
      <c r="FV21" t="s">
        <v>450</v>
      </c>
      <c r="FW21" t="s">
        <v>451</v>
      </c>
      <c r="FX21" t="s">
        <v>452</v>
      </c>
      <c r="FY21" t="s">
        <v>453</v>
      </c>
      <c r="FZ21" t="s">
        <v>454</v>
      </c>
      <c r="GA21" t="s">
        <v>455</v>
      </c>
      <c r="GB21" t="s">
        <v>456</v>
      </c>
      <c r="GC21" t="s">
        <v>457</v>
      </c>
      <c r="GD21" t="s">
        <v>458</v>
      </c>
      <c r="GE21" t="s">
        <v>459</v>
      </c>
      <c r="GF21" t="s">
        <v>460</v>
      </c>
      <c r="GG21" t="s">
        <v>461</v>
      </c>
      <c r="GH21" t="s">
        <v>462</v>
      </c>
      <c r="GI21" t="s">
        <v>463</v>
      </c>
      <c r="GJ21" t="s">
        <v>464</v>
      </c>
      <c r="GK21" t="s">
        <v>465</v>
      </c>
      <c r="GL21" t="s">
        <v>466</v>
      </c>
      <c r="GM21" t="s">
        <v>467</v>
      </c>
      <c r="GN21" t="s">
        <v>468</v>
      </c>
      <c r="GO21" t="s">
        <v>469</v>
      </c>
      <c r="GP21" t="s">
        <v>470</v>
      </c>
      <c r="GQ21" t="s">
        <v>471</v>
      </c>
      <c r="GR21" t="s">
        <v>472</v>
      </c>
      <c r="GS21" t="s">
        <v>473</v>
      </c>
    </row>
    <row r="22" spans="1:202" x14ac:dyDescent="0.25">
      <c r="A22" t="s">
        <v>10</v>
      </c>
      <c r="B22">
        <v>1</v>
      </c>
      <c r="C22">
        <v>0</v>
      </c>
      <c r="D22">
        <v>0</v>
      </c>
      <c r="E22">
        <v>0</v>
      </c>
      <c r="F22">
        <v>0</v>
      </c>
      <c r="GT22">
        <f>SUM($C$22:$GS$22)</f>
        <v>0</v>
      </c>
    </row>
    <row r="23" spans="1:202" x14ac:dyDescent="0.25">
      <c r="A23" t="s">
        <v>11</v>
      </c>
      <c r="B23">
        <v>1</v>
      </c>
      <c r="G23">
        <v>0</v>
      </c>
      <c r="H23">
        <v>0</v>
      </c>
      <c r="I23">
        <v>0</v>
      </c>
      <c r="J23">
        <v>0</v>
      </c>
      <c r="GT23">
        <f>SUM($C$23:$GS$23)</f>
        <v>0</v>
      </c>
    </row>
    <row r="24" spans="1:202" x14ac:dyDescent="0.25">
      <c r="A24" t="s">
        <v>12</v>
      </c>
      <c r="B24">
        <v>1</v>
      </c>
      <c r="K24">
        <v>0</v>
      </c>
      <c r="L24">
        <v>0</v>
      </c>
      <c r="M24">
        <v>0</v>
      </c>
      <c r="N24">
        <v>0</v>
      </c>
      <c r="GT24">
        <f>SUM($C$24:$GS$24)</f>
        <v>0</v>
      </c>
    </row>
    <row r="25" spans="1:202" x14ac:dyDescent="0.25">
      <c r="A25" t="s">
        <v>93</v>
      </c>
      <c r="B25">
        <v>0</v>
      </c>
      <c r="O25">
        <v>0</v>
      </c>
      <c r="P25">
        <v>0</v>
      </c>
      <c r="Q25">
        <v>0</v>
      </c>
      <c r="R25">
        <v>0</v>
      </c>
      <c r="GT25">
        <f>SUM($C$25:$GS$25)</f>
        <v>0</v>
      </c>
    </row>
    <row r="26" spans="1:202" x14ac:dyDescent="0.25">
      <c r="A26" t="s">
        <v>117</v>
      </c>
      <c r="B26">
        <v>1</v>
      </c>
      <c r="S26">
        <v>0</v>
      </c>
      <c r="T26">
        <v>0</v>
      </c>
      <c r="U26">
        <v>0</v>
      </c>
      <c r="V26">
        <v>0</v>
      </c>
      <c r="GT26">
        <f>SUM($C$26:$GS$26)</f>
        <v>0</v>
      </c>
    </row>
    <row r="27" spans="1:202" x14ac:dyDescent="0.25">
      <c r="A27" t="s">
        <v>121</v>
      </c>
      <c r="B27">
        <v>1</v>
      </c>
      <c r="W27">
        <v>0</v>
      </c>
      <c r="X27">
        <v>0</v>
      </c>
      <c r="Y27">
        <v>0</v>
      </c>
      <c r="Z27">
        <v>0</v>
      </c>
      <c r="GT27">
        <f>SUM($C$27:$GS$27)</f>
        <v>0</v>
      </c>
    </row>
    <row r="28" spans="1:202" x14ac:dyDescent="0.25">
      <c r="A28" t="s">
        <v>126</v>
      </c>
      <c r="B28">
        <v>0</v>
      </c>
      <c r="AA28">
        <v>0</v>
      </c>
      <c r="AB28">
        <v>0</v>
      </c>
      <c r="AC28">
        <v>0</v>
      </c>
      <c r="AD28">
        <v>0</v>
      </c>
      <c r="GT28">
        <f>SUM($C$28:$GS$28)</f>
        <v>0</v>
      </c>
    </row>
    <row r="29" spans="1:202" x14ac:dyDescent="0.25">
      <c r="A29" t="s">
        <v>131</v>
      </c>
      <c r="B29">
        <v>1</v>
      </c>
      <c r="AE29">
        <v>0</v>
      </c>
      <c r="AF29">
        <v>0</v>
      </c>
      <c r="AG29">
        <v>0</v>
      </c>
      <c r="AH29">
        <v>0</v>
      </c>
      <c r="GT29">
        <f>SUM($C$29:$GS$29)</f>
        <v>0</v>
      </c>
    </row>
    <row r="30" spans="1:202" x14ac:dyDescent="0.25">
      <c r="A30" t="s">
        <v>474</v>
      </c>
      <c r="C30">
        <f>SUMPRODUCT($C$12:$GS$19,$C$22:$GS$29)</f>
        <v>0</v>
      </c>
      <c r="D30" t="s">
        <v>475</v>
      </c>
    </row>
    <row r="32" spans="1:202" x14ac:dyDescent="0.25">
      <c r="A32" t="s">
        <v>476</v>
      </c>
      <c r="C32" t="s">
        <v>477</v>
      </c>
      <c r="F32">
        <f>IF(SUM($GT$22:$GT$29)=0,0,SUMPRODUCT($B$22:$B$29,$GT$22:$GT$29)/SUM($GT$22:$GT$29))</f>
        <v>0</v>
      </c>
      <c r="G32" t="s">
        <v>478</v>
      </c>
      <c r="H32">
        <v>0.75</v>
      </c>
    </row>
    <row r="33" spans="3:201" x14ac:dyDescent="0.25">
      <c r="C33" t="s">
        <v>479</v>
      </c>
    </row>
    <row r="34" spans="3:201" x14ac:dyDescent="0.25">
      <c r="C34" t="s">
        <v>480</v>
      </c>
    </row>
    <row r="35" spans="3:201" x14ac:dyDescent="0.25">
      <c r="C35">
        <f>SUM($C$22:$C$29)</f>
        <v>0</v>
      </c>
      <c r="D35">
        <f>SUM($D$22:$D$29)</f>
        <v>0</v>
      </c>
      <c r="E35">
        <f>SUM($E$22:$E$29)</f>
        <v>0</v>
      </c>
      <c r="F35">
        <f>SUM($F$22:$F$29)</f>
        <v>0</v>
      </c>
      <c r="G35">
        <f>SUM($G$22:$G$29)</f>
        <v>0</v>
      </c>
      <c r="H35">
        <f>SUM($H$22:$H$29)</f>
        <v>0</v>
      </c>
      <c r="I35">
        <f>SUM($I$22:$I$29)</f>
        <v>0</v>
      </c>
      <c r="J35">
        <f>SUM($J$22:$J$29)</f>
        <v>0</v>
      </c>
      <c r="K35">
        <f>SUM($K$22:$K$29)</f>
        <v>0</v>
      </c>
      <c r="L35">
        <f>SUM($L$22:$L$29)</f>
        <v>0</v>
      </c>
      <c r="M35">
        <f>SUM($M$22:$M$29)</f>
        <v>0</v>
      </c>
      <c r="N35">
        <f>SUM($N$22:$N$29)</f>
        <v>0</v>
      </c>
      <c r="O35">
        <f>SUM($O$22:$O$29)</f>
        <v>0</v>
      </c>
      <c r="P35">
        <f>SUM($P$22:$P$29)</f>
        <v>0</v>
      </c>
      <c r="Q35">
        <f>SUM($Q$22:$Q$29)</f>
        <v>0</v>
      </c>
      <c r="R35">
        <f>SUM($R$22:$R$29)</f>
        <v>0</v>
      </c>
      <c r="S35">
        <f>SUM($S$22:$S$29)</f>
        <v>0</v>
      </c>
      <c r="T35">
        <f>SUM($T$22:$T$29)</f>
        <v>0</v>
      </c>
      <c r="U35">
        <f>SUM($U$22:$U$29)</f>
        <v>0</v>
      </c>
      <c r="V35">
        <f>SUM($V$22:$V$29)</f>
        <v>0</v>
      </c>
      <c r="W35">
        <f>SUM($W$22:$W$29)</f>
        <v>0</v>
      </c>
      <c r="X35">
        <f>SUM($X$22:$X$29)</f>
        <v>0</v>
      </c>
      <c r="Y35">
        <f>SUM($Y$22:$Y$29)</f>
        <v>0</v>
      </c>
      <c r="Z35">
        <f>SUM($Z$22:$Z$29)</f>
        <v>0</v>
      </c>
      <c r="AA35">
        <f>SUM($AA$22:$AA$29)</f>
        <v>0</v>
      </c>
      <c r="AB35">
        <f>SUM($AB$22:$AB$29)</f>
        <v>0</v>
      </c>
      <c r="AC35">
        <f>SUM($AC$22:$AC$29)</f>
        <v>0</v>
      </c>
      <c r="AD35">
        <f>SUM($AD$22:$AD$29)</f>
        <v>0</v>
      </c>
      <c r="AE35">
        <f>SUM($AE$22:$AE$29)</f>
        <v>0</v>
      </c>
      <c r="AF35">
        <f>SUM($AF$22:$AF$29)</f>
        <v>0</v>
      </c>
      <c r="AG35">
        <f>SUM($AG$22:$AG$29)</f>
        <v>0</v>
      </c>
      <c r="AH35">
        <f>SUM($AH$22:$AH$29)</f>
        <v>0</v>
      </c>
      <c r="AI35">
        <f>SUM($AI$22:$AI$29)</f>
        <v>0</v>
      </c>
      <c r="AJ35">
        <f>SUM($AJ$22:$AJ$29)</f>
        <v>0</v>
      </c>
      <c r="AK35">
        <f>SUM($AK$22:$AK$29)</f>
        <v>0</v>
      </c>
      <c r="AL35">
        <f>SUM($AL$22:$AL$29)</f>
        <v>0</v>
      </c>
      <c r="AM35">
        <f>SUM($AM$22:$AM$29)</f>
        <v>0</v>
      </c>
      <c r="AN35">
        <f>SUM($AN$22:$AN$29)</f>
        <v>0</v>
      </c>
      <c r="AO35">
        <f>SUM($AO$22:$AO$29)</f>
        <v>0</v>
      </c>
      <c r="AP35">
        <f>SUM($AP$22:$AP$29)</f>
        <v>0</v>
      </c>
      <c r="AQ35">
        <f>SUM($AQ$22:$AQ$29)</f>
        <v>0</v>
      </c>
      <c r="AR35">
        <f>SUM($AR$22:$AR$29)</f>
        <v>0</v>
      </c>
      <c r="AS35">
        <f>SUM($AS$22:$AS$29)</f>
        <v>0</v>
      </c>
      <c r="AT35">
        <f>SUM($AT$22:$AT$29)</f>
        <v>0</v>
      </c>
      <c r="AU35">
        <f>SUM($AU$22:$AU$29)</f>
        <v>0</v>
      </c>
      <c r="AV35">
        <f>SUM($AV$22:$AV$29)</f>
        <v>0</v>
      </c>
      <c r="AW35">
        <f>SUM($AW$22:$AW$29)</f>
        <v>0</v>
      </c>
      <c r="AX35">
        <f>SUM($AX$22:$AX$29)</f>
        <v>0</v>
      </c>
      <c r="AY35">
        <f>SUM($AY$22:$AY$29)</f>
        <v>0</v>
      </c>
      <c r="AZ35">
        <f>SUM($AZ$22:$AZ$29)</f>
        <v>0</v>
      </c>
      <c r="BA35">
        <f>SUM($BA$22:$BA$29)</f>
        <v>0</v>
      </c>
      <c r="BB35">
        <f>SUM($BB$22:$BB$29)</f>
        <v>0</v>
      </c>
      <c r="BC35">
        <f>SUM($BC$22:$BC$29)</f>
        <v>0</v>
      </c>
      <c r="BD35">
        <f>SUM($BD$22:$BD$29)</f>
        <v>0</v>
      </c>
      <c r="BE35">
        <f>SUM($BE$22:$BE$29)</f>
        <v>0</v>
      </c>
      <c r="BF35">
        <f>SUM($BF$22:$BF$29)</f>
        <v>0</v>
      </c>
      <c r="BG35">
        <f>SUM($BG$22:$BG$29)</f>
        <v>0</v>
      </c>
      <c r="BH35">
        <f>SUM($BH$22:$BH$29)</f>
        <v>0</v>
      </c>
      <c r="BI35">
        <f>SUM($BI$22:$BI$29)</f>
        <v>0</v>
      </c>
      <c r="BJ35">
        <f>SUM($BJ$22:$BJ$29)</f>
        <v>0</v>
      </c>
      <c r="BK35">
        <f>SUM($BK$22:$BK$29)</f>
        <v>0</v>
      </c>
      <c r="BL35">
        <f>SUM($BL$22:$BL$29)</f>
        <v>0</v>
      </c>
      <c r="BM35">
        <f>SUM($BM$22:$BM$29)</f>
        <v>0</v>
      </c>
      <c r="BN35">
        <f>SUM($BN$22:$BN$29)</f>
        <v>0</v>
      </c>
      <c r="BO35">
        <f>SUM($BO$22:$BO$29)</f>
        <v>0</v>
      </c>
      <c r="BP35">
        <f>SUM($BP$22:$BP$29)</f>
        <v>0</v>
      </c>
      <c r="BQ35">
        <f>SUM($BQ$22:$BQ$29)</f>
        <v>0</v>
      </c>
      <c r="BR35">
        <f>SUM($BR$22:$BR$29)</f>
        <v>0</v>
      </c>
      <c r="BS35">
        <f>SUM($BS$22:$BS$29)</f>
        <v>0</v>
      </c>
      <c r="BT35">
        <f>SUM($BT$22:$BT$29)</f>
        <v>0</v>
      </c>
      <c r="BU35">
        <f>SUM($BU$22:$BU$29)</f>
        <v>0</v>
      </c>
      <c r="BV35">
        <f>SUM($BV$22:$BV$29)</f>
        <v>0</v>
      </c>
      <c r="BW35">
        <f>SUM($BW$22:$BW$29)</f>
        <v>0</v>
      </c>
      <c r="BX35">
        <f>SUM($BX$22:$BX$29)</f>
        <v>0</v>
      </c>
      <c r="BY35">
        <f>SUM($BY$22:$BY$29)</f>
        <v>0</v>
      </c>
      <c r="BZ35">
        <f>SUM($BZ$22:$BZ$29)</f>
        <v>0</v>
      </c>
      <c r="CA35">
        <f>SUM($CA$22:$CA$29)</f>
        <v>0</v>
      </c>
      <c r="CB35">
        <f>SUM($CB$22:$CB$29)</f>
        <v>0</v>
      </c>
      <c r="CC35">
        <f>SUM($CC$22:$CC$29)</f>
        <v>0</v>
      </c>
      <c r="CD35">
        <f>SUM($CD$22:$CD$29)</f>
        <v>0</v>
      </c>
      <c r="CE35">
        <f>SUM($CE$22:$CE$29)</f>
        <v>0</v>
      </c>
      <c r="CF35">
        <f>SUM($CF$22:$CF$29)</f>
        <v>0</v>
      </c>
      <c r="CG35">
        <f>SUM($CG$22:$CG$29)</f>
        <v>0</v>
      </c>
      <c r="CH35">
        <f>SUM($CH$22:$CH$29)</f>
        <v>0</v>
      </c>
      <c r="CI35">
        <f>SUM($CI$22:$CI$29)</f>
        <v>0</v>
      </c>
      <c r="CJ35">
        <f>SUM($CJ$22:$CJ$29)</f>
        <v>0</v>
      </c>
      <c r="CK35">
        <f>SUM($CK$22:$CK$29)</f>
        <v>0</v>
      </c>
      <c r="CL35">
        <f>SUM($CL$22:$CL$29)</f>
        <v>0</v>
      </c>
      <c r="CM35">
        <f>SUM($CM$22:$CM$29)</f>
        <v>0</v>
      </c>
      <c r="CN35">
        <f>SUM($CN$22:$CN$29)</f>
        <v>0</v>
      </c>
      <c r="CO35">
        <f>SUM($CO$22:$CO$29)</f>
        <v>0</v>
      </c>
      <c r="CP35">
        <f>SUM($CP$22:$CP$29)</f>
        <v>0</v>
      </c>
      <c r="CQ35">
        <f>SUM($CQ$22:$CQ$29)</f>
        <v>0</v>
      </c>
      <c r="CR35">
        <f>SUM($CR$22:$CR$29)</f>
        <v>0</v>
      </c>
      <c r="CS35">
        <f>SUM($CS$22:$CS$29)</f>
        <v>0</v>
      </c>
      <c r="CT35">
        <f>SUM($CT$22:$CT$29)</f>
        <v>0</v>
      </c>
      <c r="CU35">
        <f>SUM($CU$22:$CU$29)</f>
        <v>0</v>
      </c>
      <c r="CV35">
        <f>SUM($CV$22:$CV$29)</f>
        <v>0</v>
      </c>
      <c r="CW35">
        <f>SUM($CW$22:$CW$29)</f>
        <v>0</v>
      </c>
      <c r="CX35">
        <f>SUM($CX$22:$CX$29)</f>
        <v>0</v>
      </c>
      <c r="CY35">
        <f>SUM($CY$22:$CY$29)</f>
        <v>0</v>
      </c>
      <c r="CZ35">
        <f>SUM($CZ$22:$CZ$29)</f>
        <v>0</v>
      </c>
      <c r="DA35">
        <f>SUM($DA$22:$DA$29)</f>
        <v>0</v>
      </c>
      <c r="DB35">
        <f>SUM($DB$22:$DB$29)</f>
        <v>0</v>
      </c>
      <c r="DC35">
        <f>SUM($DC$22:$DC$29)</f>
        <v>0</v>
      </c>
      <c r="DD35">
        <f>SUM($DD$22:$DD$29)</f>
        <v>0</v>
      </c>
      <c r="DE35">
        <f>SUM($DE$22:$DE$29)</f>
        <v>0</v>
      </c>
      <c r="DF35">
        <f>SUM($DF$22:$DF$29)</f>
        <v>0</v>
      </c>
      <c r="DG35">
        <f>SUM($DG$22:$DG$29)</f>
        <v>0</v>
      </c>
      <c r="DH35">
        <f>SUM($DH$22:$DH$29)</f>
        <v>0</v>
      </c>
      <c r="DI35">
        <f>SUM($DI$22:$DI$29)</f>
        <v>0</v>
      </c>
      <c r="DJ35">
        <f>SUM($DJ$22:$DJ$29)</f>
        <v>0</v>
      </c>
      <c r="DK35">
        <f>SUM($DK$22:$DK$29)</f>
        <v>0</v>
      </c>
      <c r="DL35">
        <f>SUM($DL$22:$DL$29)</f>
        <v>0</v>
      </c>
      <c r="DM35">
        <f>SUM($DM$22:$DM$29)</f>
        <v>0</v>
      </c>
      <c r="DN35">
        <f>SUM($DN$22:$DN$29)</f>
        <v>0</v>
      </c>
      <c r="DO35">
        <f>SUM($DO$22:$DO$29)</f>
        <v>0</v>
      </c>
      <c r="DP35">
        <f>SUM($DP$22:$DP$29)</f>
        <v>0</v>
      </c>
      <c r="DQ35">
        <f>SUM($DQ$22:$DQ$29)</f>
        <v>0</v>
      </c>
      <c r="DR35">
        <f>SUM($DR$22:$DR$29)</f>
        <v>0</v>
      </c>
      <c r="DS35">
        <f>SUM($DS$22:$DS$29)</f>
        <v>0</v>
      </c>
      <c r="DT35">
        <f>SUM($DT$22:$DT$29)</f>
        <v>0</v>
      </c>
      <c r="DU35">
        <f>SUM($DU$22:$DU$29)</f>
        <v>0</v>
      </c>
      <c r="DV35">
        <f>SUM($DV$22:$DV$29)</f>
        <v>0</v>
      </c>
      <c r="DW35">
        <f>SUM($DW$22:$DW$29)</f>
        <v>0</v>
      </c>
      <c r="DX35">
        <f>SUM($DX$22:$DX$29)</f>
        <v>0</v>
      </c>
      <c r="DY35">
        <f>SUM($DY$22:$DY$29)</f>
        <v>0</v>
      </c>
      <c r="DZ35">
        <f>SUM($DZ$22:$DZ$29)</f>
        <v>0</v>
      </c>
      <c r="EA35">
        <f>SUM($EA$22:$EA$29)</f>
        <v>0</v>
      </c>
      <c r="EB35">
        <f>SUM($EB$22:$EB$29)</f>
        <v>0</v>
      </c>
      <c r="EC35">
        <f>SUM($EC$22:$EC$29)</f>
        <v>0</v>
      </c>
      <c r="ED35">
        <f>SUM($ED$22:$ED$29)</f>
        <v>0</v>
      </c>
      <c r="EE35">
        <f>SUM($EE$22:$EE$29)</f>
        <v>0</v>
      </c>
      <c r="EF35">
        <f>SUM($EF$22:$EF$29)</f>
        <v>0</v>
      </c>
      <c r="EG35">
        <f>SUM($EG$22:$EG$29)</f>
        <v>0</v>
      </c>
      <c r="EH35">
        <f>SUM($EH$22:$EH$29)</f>
        <v>0</v>
      </c>
      <c r="EI35">
        <f>SUM($EI$22:$EI$29)</f>
        <v>0</v>
      </c>
      <c r="EJ35">
        <f>SUM($EJ$22:$EJ$29)</f>
        <v>0</v>
      </c>
      <c r="EK35">
        <f>SUM($EK$22:$EK$29)</f>
        <v>0</v>
      </c>
      <c r="EL35">
        <f>SUM($EL$22:$EL$29)</f>
        <v>0</v>
      </c>
      <c r="EM35">
        <f>SUM($EM$22:$EM$29)</f>
        <v>0</v>
      </c>
      <c r="EN35">
        <f>SUM($EN$22:$EN$29)</f>
        <v>0</v>
      </c>
      <c r="EO35">
        <f>SUM($EO$22:$EO$29)</f>
        <v>0</v>
      </c>
      <c r="EP35">
        <f>SUM($EP$22:$EP$29)</f>
        <v>0</v>
      </c>
      <c r="EQ35">
        <f>SUM($EQ$22:$EQ$29)</f>
        <v>0</v>
      </c>
      <c r="ER35">
        <f>SUM($ER$22:$ER$29)</f>
        <v>0</v>
      </c>
      <c r="ES35">
        <f>SUM($ES$22:$ES$29)</f>
        <v>0</v>
      </c>
      <c r="ET35">
        <f>SUM($ET$22:$ET$29)</f>
        <v>0</v>
      </c>
      <c r="EU35">
        <f>SUM($EU$22:$EU$29)</f>
        <v>0</v>
      </c>
      <c r="EV35">
        <f>SUM($EV$22:$EV$29)</f>
        <v>0</v>
      </c>
      <c r="EW35">
        <f>SUM($EW$22:$EW$29)</f>
        <v>0</v>
      </c>
      <c r="EX35">
        <f>SUM($EX$22:$EX$29)</f>
        <v>0</v>
      </c>
      <c r="EY35">
        <f>SUM($EY$22:$EY$29)</f>
        <v>0</v>
      </c>
      <c r="EZ35">
        <f>SUM($EZ$22:$EZ$29)</f>
        <v>0</v>
      </c>
      <c r="FA35">
        <f>SUM($FA$22:$FA$29)</f>
        <v>0</v>
      </c>
      <c r="FB35">
        <f>SUM($FB$22:$FB$29)</f>
        <v>0</v>
      </c>
      <c r="FC35">
        <f>SUM($FC$22:$FC$29)</f>
        <v>0</v>
      </c>
      <c r="FD35">
        <f>SUM($FD$22:$FD$29)</f>
        <v>0</v>
      </c>
      <c r="FE35">
        <f>SUM($FE$22:$FE$29)</f>
        <v>0</v>
      </c>
      <c r="FF35">
        <f>SUM($FF$22:$FF$29)</f>
        <v>0</v>
      </c>
      <c r="FG35">
        <f>SUM($FG$22:$FG$29)</f>
        <v>0</v>
      </c>
      <c r="FH35">
        <f>SUM($FH$22:$FH$29)</f>
        <v>0</v>
      </c>
      <c r="FI35">
        <f>SUM($FI$22:$FI$29)</f>
        <v>0</v>
      </c>
      <c r="FJ35">
        <f>SUM($FJ$22:$FJ$29)</f>
        <v>0</v>
      </c>
      <c r="FK35">
        <f>SUM($FK$22:$FK$29)</f>
        <v>0</v>
      </c>
      <c r="FL35">
        <f>SUM($FL$22:$FL$29)</f>
        <v>0</v>
      </c>
      <c r="FM35">
        <f>SUM($FM$22:$FM$29)</f>
        <v>0</v>
      </c>
      <c r="FN35">
        <f>SUM($FN$22:$FN$29)</f>
        <v>0</v>
      </c>
      <c r="FO35">
        <f>SUM($FO$22:$FO$29)</f>
        <v>0</v>
      </c>
      <c r="FP35">
        <f>SUM($FP$22:$FP$29)</f>
        <v>0</v>
      </c>
      <c r="FQ35">
        <f>SUM($FQ$22:$FQ$29)</f>
        <v>0</v>
      </c>
      <c r="FR35">
        <f>SUM($FR$22:$FR$29)</f>
        <v>0</v>
      </c>
      <c r="FS35">
        <f>SUM($FS$22:$FS$29)</f>
        <v>0</v>
      </c>
      <c r="FT35">
        <f>SUM($FT$22:$FT$29)</f>
        <v>0</v>
      </c>
      <c r="FU35">
        <f>SUM($FU$22:$FU$29)</f>
        <v>0</v>
      </c>
      <c r="FV35">
        <f>SUM($FV$22:$FV$29)</f>
        <v>0</v>
      </c>
      <c r="FW35">
        <f>SUM($FW$22:$FW$29)</f>
        <v>0</v>
      </c>
      <c r="FX35">
        <f>SUM($FX$22:$FX$29)</f>
        <v>0</v>
      </c>
      <c r="FY35">
        <f>SUM($FY$22:$FY$29)</f>
        <v>0</v>
      </c>
      <c r="FZ35">
        <f>SUM($FZ$22:$FZ$29)</f>
        <v>0</v>
      </c>
      <c r="GA35">
        <f>SUM($GA$22:$GA$29)</f>
        <v>0</v>
      </c>
      <c r="GB35">
        <f>SUM($GB$22:$GB$29)</f>
        <v>0</v>
      </c>
      <c r="GC35">
        <f>SUM($GC$22:$GC$29)</f>
        <v>0</v>
      </c>
      <c r="GD35">
        <f>SUM($GD$22:$GD$29)</f>
        <v>0</v>
      </c>
      <c r="GE35">
        <f>SUM($GE$22:$GE$29)</f>
        <v>0</v>
      </c>
      <c r="GF35">
        <f>SUM($GF$22:$GF$29)</f>
        <v>0</v>
      </c>
      <c r="GG35">
        <f>SUM($GG$22:$GG$29)</f>
        <v>0</v>
      </c>
      <c r="GH35">
        <f>SUM($GH$22:$GH$29)</f>
        <v>0</v>
      </c>
      <c r="GI35">
        <f>SUM($GI$22:$GI$29)</f>
        <v>0</v>
      </c>
      <c r="GJ35">
        <f>SUM($GJ$22:$GJ$29)</f>
        <v>0</v>
      </c>
      <c r="GK35">
        <f>SUM($GK$22:$GK$29)</f>
        <v>0</v>
      </c>
      <c r="GL35">
        <f>SUM($GL$22:$GL$29)</f>
        <v>0</v>
      </c>
      <c r="GM35">
        <f>SUM($GM$22:$GM$29)</f>
        <v>0</v>
      </c>
      <c r="GN35">
        <f>SUM($GN$22:$GN$29)</f>
        <v>0</v>
      </c>
      <c r="GO35">
        <f>SUM($GO$22:$GO$29)</f>
        <v>0</v>
      </c>
      <c r="GP35">
        <f>SUM($GP$22:$GP$29)</f>
        <v>0</v>
      </c>
      <c r="GQ35">
        <f>SUM($GQ$22:$GQ$29)</f>
        <v>0</v>
      </c>
      <c r="GR35">
        <f>SUM($GR$22:$GR$29)</f>
        <v>0</v>
      </c>
      <c r="GS35">
        <f>SUM($GS$22:$GS$29)</f>
        <v>0</v>
      </c>
    </row>
    <row r="36" spans="3:201" x14ac:dyDescent="0.25">
      <c r="C36" t="s">
        <v>481</v>
      </c>
      <c r="D36" t="s">
        <v>481</v>
      </c>
      <c r="E36" t="s">
        <v>481</v>
      </c>
      <c r="F36" t="s">
        <v>481</v>
      </c>
      <c r="G36" t="s">
        <v>481</v>
      </c>
      <c r="H36" t="s">
        <v>481</v>
      </c>
      <c r="I36" t="s">
        <v>481</v>
      </c>
      <c r="J36" t="s">
        <v>481</v>
      </c>
      <c r="K36" t="s">
        <v>481</v>
      </c>
      <c r="L36" t="s">
        <v>481</v>
      </c>
      <c r="M36" t="s">
        <v>481</v>
      </c>
      <c r="N36" t="s">
        <v>481</v>
      </c>
      <c r="O36" t="s">
        <v>481</v>
      </c>
      <c r="P36" t="s">
        <v>481</v>
      </c>
      <c r="Q36" t="s">
        <v>481</v>
      </c>
      <c r="R36" t="s">
        <v>481</v>
      </c>
      <c r="S36" t="s">
        <v>481</v>
      </c>
      <c r="T36" t="s">
        <v>481</v>
      </c>
      <c r="U36" t="s">
        <v>481</v>
      </c>
      <c r="V36" t="s">
        <v>481</v>
      </c>
      <c r="W36" t="s">
        <v>481</v>
      </c>
      <c r="X36" t="s">
        <v>481</v>
      </c>
      <c r="Y36" t="s">
        <v>481</v>
      </c>
      <c r="Z36" t="s">
        <v>481</v>
      </c>
      <c r="AA36" t="s">
        <v>481</v>
      </c>
      <c r="AB36" t="s">
        <v>481</v>
      </c>
      <c r="AC36" t="s">
        <v>481</v>
      </c>
      <c r="AD36" t="s">
        <v>481</v>
      </c>
      <c r="AE36" t="s">
        <v>481</v>
      </c>
      <c r="AF36" t="s">
        <v>481</v>
      </c>
      <c r="AG36" t="s">
        <v>481</v>
      </c>
      <c r="AH36" t="s">
        <v>481</v>
      </c>
      <c r="AI36" t="s">
        <v>481</v>
      </c>
      <c r="AJ36" t="s">
        <v>481</v>
      </c>
      <c r="AK36" t="s">
        <v>481</v>
      </c>
      <c r="AL36" t="s">
        <v>481</v>
      </c>
      <c r="AM36" t="s">
        <v>481</v>
      </c>
      <c r="AN36" t="s">
        <v>481</v>
      </c>
      <c r="AO36" t="s">
        <v>481</v>
      </c>
      <c r="AP36" t="s">
        <v>481</v>
      </c>
      <c r="AQ36" t="s">
        <v>481</v>
      </c>
      <c r="AR36" t="s">
        <v>481</v>
      </c>
      <c r="AS36" t="s">
        <v>481</v>
      </c>
      <c r="AT36" t="s">
        <v>481</v>
      </c>
      <c r="AU36" t="s">
        <v>481</v>
      </c>
      <c r="AV36" t="s">
        <v>481</v>
      </c>
      <c r="AW36" t="s">
        <v>481</v>
      </c>
      <c r="AX36" t="s">
        <v>481</v>
      </c>
      <c r="AY36" t="s">
        <v>481</v>
      </c>
      <c r="AZ36" t="s">
        <v>481</v>
      </c>
      <c r="BA36" t="s">
        <v>481</v>
      </c>
      <c r="BB36" t="s">
        <v>481</v>
      </c>
      <c r="BC36" t="s">
        <v>481</v>
      </c>
      <c r="BD36" t="s">
        <v>481</v>
      </c>
      <c r="BE36" t="s">
        <v>481</v>
      </c>
      <c r="BF36" t="s">
        <v>481</v>
      </c>
      <c r="BG36" t="s">
        <v>481</v>
      </c>
      <c r="BH36" t="s">
        <v>481</v>
      </c>
      <c r="BI36" t="s">
        <v>481</v>
      </c>
      <c r="BJ36" t="s">
        <v>481</v>
      </c>
      <c r="BK36" t="s">
        <v>481</v>
      </c>
      <c r="BL36" t="s">
        <v>481</v>
      </c>
      <c r="BM36" t="s">
        <v>481</v>
      </c>
      <c r="BN36" t="s">
        <v>481</v>
      </c>
      <c r="BO36" t="s">
        <v>481</v>
      </c>
      <c r="BP36" t="s">
        <v>481</v>
      </c>
      <c r="BQ36" t="s">
        <v>481</v>
      </c>
      <c r="BR36" t="s">
        <v>481</v>
      </c>
      <c r="BS36" t="s">
        <v>481</v>
      </c>
      <c r="BT36" t="s">
        <v>481</v>
      </c>
      <c r="BU36" t="s">
        <v>481</v>
      </c>
      <c r="BV36" t="s">
        <v>481</v>
      </c>
      <c r="BW36" t="s">
        <v>481</v>
      </c>
      <c r="BX36" t="s">
        <v>481</v>
      </c>
      <c r="BY36" t="s">
        <v>481</v>
      </c>
      <c r="BZ36" t="s">
        <v>481</v>
      </c>
      <c r="CA36" t="s">
        <v>481</v>
      </c>
      <c r="CB36" t="s">
        <v>481</v>
      </c>
      <c r="CC36" t="s">
        <v>481</v>
      </c>
      <c r="CD36" t="s">
        <v>481</v>
      </c>
      <c r="CE36" t="s">
        <v>481</v>
      </c>
      <c r="CF36" t="s">
        <v>481</v>
      </c>
      <c r="CG36" t="s">
        <v>481</v>
      </c>
      <c r="CH36" t="s">
        <v>481</v>
      </c>
      <c r="CI36" t="s">
        <v>481</v>
      </c>
      <c r="CJ36" t="s">
        <v>481</v>
      </c>
      <c r="CK36" t="s">
        <v>481</v>
      </c>
      <c r="CL36" t="s">
        <v>481</v>
      </c>
      <c r="CM36" t="s">
        <v>481</v>
      </c>
      <c r="CN36" t="s">
        <v>481</v>
      </c>
      <c r="CO36" t="s">
        <v>481</v>
      </c>
      <c r="CP36" t="s">
        <v>481</v>
      </c>
      <c r="CQ36" t="s">
        <v>481</v>
      </c>
      <c r="CR36" t="s">
        <v>481</v>
      </c>
      <c r="CS36" t="s">
        <v>481</v>
      </c>
      <c r="CT36" t="s">
        <v>481</v>
      </c>
      <c r="CU36" t="s">
        <v>481</v>
      </c>
      <c r="CV36" t="s">
        <v>481</v>
      </c>
      <c r="CW36" t="s">
        <v>481</v>
      </c>
      <c r="CX36" t="s">
        <v>481</v>
      </c>
      <c r="CY36" t="s">
        <v>481</v>
      </c>
      <c r="CZ36" t="s">
        <v>481</v>
      </c>
      <c r="DA36" t="s">
        <v>481</v>
      </c>
      <c r="DB36" t="s">
        <v>481</v>
      </c>
      <c r="DC36" t="s">
        <v>481</v>
      </c>
      <c r="DD36" t="s">
        <v>481</v>
      </c>
      <c r="DE36" t="s">
        <v>481</v>
      </c>
      <c r="DF36" t="s">
        <v>481</v>
      </c>
      <c r="DG36" t="s">
        <v>481</v>
      </c>
      <c r="DH36" t="s">
        <v>481</v>
      </c>
      <c r="DI36" t="s">
        <v>481</v>
      </c>
      <c r="DJ36" t="s">
        <v>481</v>
      </c>
      <c r="DK36" t="s">
        <v>481</v>
      </c>
      <c r="DL36" t="s">
        <v>481</v>
      </c>
      <c r="DM36" t="s">
        <v>481</v>
      </c>
      <c r="DN36" t="s">
        <v>481</v>
      </c>
      <c r="DO36" t="s">
        <v>481</v>
      </c>
      <c r="DP36" t="s">
        <v>481</v>
      </c>
      <c r="DQ36" t="s">
        <v>481</v>
      </c>
      <c r="DR36" t="s">
        <v>481</v>
      </c>
      <c r="DS36" t="s">
        <v>481</v>
      </c>
      <c r="DT36" t="s">
        <v>481</v>
      </c>
      <c r="DU36" t="s">
        <v>481</v>
      </c>
      <c r="DV36" t="s">
        <v>481</v>
      </c>
      <c r="DW36" t="s">
        <v>481</v>
      </c>
      <c r="DX36" t="s">
        <v>481</v>
      </c>
      <c r="DY36" t="s">
        <v>481</v>
      </c>
      <c r="DZ36" t="s">
        <v>481</v>
      </c>
      <c r="EA36" t="s">
        <v>481</v>
      </c>
      <c r="EB36" t="s">
        <v>481</v>
      </c>
      <c r="EC36" t="s">
        <v>481</v>
      </c>
      <c r="ED36" t="s">
        <v>481</v>
      </c>
      <c r="EE36" t="s">
        <v>481</v>
      </c>
      <c r="EF36" t="s">
        <v>481</v>
      </c>
      <c r="EG36" t="s">
        <v>481</v>
      </c>
      <c r="EH36" t="s">
        <v>481</v>
      </c>
      <c r="EI36" t="s">
        <v>481</v>
      </c>
      <c r="EJ36" t="s">
        <v>481</v>
      </c>
      <c r="EK36" t="s">
        <v>481</v>
      </c>
      <c r="EL36" t="s">
        <v>481</v>
      </c>
      <c r="EM36" t="s">
        <v>481</v>
      </c>
      <c r="EN36" t="s">
        <v>481</v>
      </c>
      <c r="EO36" t="s">
        <v>481</v>
      </c>
      <c r="EP36" t="s">
        <v>481</v>
      </c>
      <c r="EQ36" t="s">
        <v>481</v>
      </c>
      <c r="ER36" t="s">
        <v>481</v>
      </c>
      <c r="ES36" t="s">
        <v>481</v>
      </c>
      <c r="ET36" t="s">
        <v>481</v>
      </c>
      <c r="EU36" t="s">
        <v>481</v>
      </c>
      <c r="EV36" t="s">
        <v>481</v>
      </c>
      <c r="EW36" t="s">
        <v>481</v>
      </c>
      <c r="EX36" t="s">
        <v>481</v>
      </c>
      <c r="EY36" t="s">
        <v>481</v>
      </c>
      <c r="EZ36" t="s">
        <v>481</v>
      </c>
      <c r="FA36" t="s">
        <v>481</v>
      </c>
      <c r="FB36" t="s">
        <v>481</v>
      </c>
      <c r="FC36" t="s">
        <v>481</v>
      </c>
      <c r="FD36" t="s">
        <v>481</v>
      </c>
      <c r="FE36" t="s">
        <v>481</v>
      </c>
      <c r="FF36" t="s">
        <v>481</v>
      </c>
      <c r="FG36" t="s">
        <v>481</v>
      </c>
      <c r="FH36" t="s">
        <v>481</v>
      </c>
      <c r="FI36" t="s">
        <v>481</v>
      </c>
      <c r="FJ36" t="s">
        <v>481</v>
      </c>
      <c r="FK36" t="s">
        <v>481</v>
      </c>
      <c r="FL36" t="s">
        <v>481</v>
      </c>
      <c r="FM36" t="s">
        <v>481</v>
      </c>
      <c r="FN36" t="s">
        <v>481</v>
      </c>
      <c r="FO36" t="s">
        <v>481</v>
      </c>
      <c r="FP36" t="s">
        <v>481</v>
      </c>
      <c r="FQ36" t="s">
        <v>481</v>
      </c>
      <c r="FR36" t="s">
        <v>481</v>
      </c>
      <c r="FS36" t="s">
        <v>481</v>
      </c>
      <c r="FT36" t="s">
        <v>481</v>
      </c>
      <c r="FU36" t="s">
        <v>481</v>
      </c>
      <c r="FV36" t="s">
        <v>481</v>
      </c>
      <c r="FW36" t="s">
        <v>481</v>
      </c>
      <c r="FX36" t="s">
        <v>481</v>
      </c>
      <c r="FY36" t="s">
        <v>481</v>
      </c>
      <c r="FZ36" t="s">
        <v>481</v>
      </c>
      <c r="GA36" t="s">
        <v>481</v>
      </c>
      <c r="GB36" t="s">
        <v>481</v>
      </c>
      <c r="GC36" t="s">
        <v>481</v>
      </c>
      <c r="GD36" t="s">
        <v>481</v>
      </c>
      <c r="GE36" t="s">
        <v>481</v>
      </c>
      <c r="GF36" t="s">
        <v>481</v>
      </c>
      <c r="GG36" t="s">
        <v>481</v>
      </c>
      <c r="GH36" t="s">
        <v>481</v>
      </c>
      <c r="GI36" t="s">
        <v>481</v>
      </c>
      <c r="GJ36" t="s">
        <v>481</v>
      </c>
      <c r="GK36" t="s">
        <v>481</v>
      </c>
      <c r="GL36" t="s">
        <v>481</v>
      </c>
      <c r="GM36" t="s">
        <v>481</v>
      </c>
      <c r="GN36" t="s">
        <v>481</v>
      </c>
      <c r="GO36" t="s">
        <v>481</v>
      </c>
      <c r="GP36" t="s">
        <v>481</v>
      </c>
      <c r="GQ36" t="s">
        <v>481</v>
      </c>
      <c r="GR36" t="s">
        <v>481</v>
      </c>
      <c r="GS36" t="s">
        <v>481</v>
      </c>
    </row>
    <row r="37" spans="3:201" x14ac:dyDescent="0.25"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  <c r="GF37">
        <v>1</v>
      </c>
      <c r="GG37">
        <v>1</v>
      </c>
      <c r="GH37">
        <v>1</v>
      </c>
      <c r="GI37">
        <v>1</v>
      </c>
      <c r="GJ37">
        <v>1</v>
      </c>
      <c r="GK37">
        <v>1</v>
      </c>
      <c r="GL37">
        <v>1</v>
      </c>
      <c r="GM37">
        <v>1</v>
      </c>
      <c r="GN37">
        <v>1</v>
      </c>
      <c r="GO37">
        <v>1</v>
      </c>
      <c r="GP37">
        <v>1</v>
      </c>
      <c r="GQ37">
        <v>1</v>
      </c>
      <c r="GR37">
        <v>1</v>
      </c>
      <c r="GS3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2017-03-02T04:32:28Z</cp:lastPrinted>
  <dcterms:created xsi:type="dcterms:W3CDTF">2017-02-16T01:30:00Z</dcterms:created>
  <dcterms:modified xsi:type="dcterms:W3CDTF">2017-03-02T21:51:02Z</dcterms:modified>
</cp:coreProperties>
</file>