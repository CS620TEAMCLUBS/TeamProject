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mchung\Desktop\"/>
    </mc:Choice>
  </mc:AlternateContent>
  <bookViews>
    <workbookView xWindow="0" yWindow="0" windowWidth="20160" windowHeight="8688" tabRatio="685" activeTab="3"/>
  </bookViews>
  <sheets>
    <sheet name="Instruction" sheetId="11" r:id="rId1"/>
    <sheet name="Input_Professor" sheetId="1" r:id="rId2"/>
    <sheet name="Input_Course" sheetId="2" r:id="rId3"/>
    <sheet name="PrintOut" sheetId="4" r:id="rId4"/>
    <sheet name="Block_Info" sheetId="9" state="hidden" r:id="rId5"/>
    <sheet name="Calculator" sheetId="10" state="hidden" r:id="rId6"/>
  </sheets>
  <definedNames>
    <definedName name="_xlnm._FilterDatabase" localSheetId="4" hidden="1">Block_Info!$A$1:$D$45</definedName>
    <definedName name="_xlnm.Print_Area" localSheetId="3">PrintOut!$A$1:$G$12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Calculator!$C$35:$GE$35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2" hidden="1">2</definedName>
    <definedName name="solver_neg" localSheetId="5" hidden="1">1</definedName>
    <definedName name="solver_neg" localSheetId="2" hidden="1">1</definedName>
    <definedName name="solver_neg" localSheetId="3" hidden="1">1</definedName>
    <definedName name="solver_num" localSheetId="5" hidden="1">0</definedName>
    <definedName name="solver_num" localSheetId="2" hidden="1">0</definedName>
    <definedName name="solver_num" localSheetId="3" hidden="1">0</definedName>
    <definedName name="solver_opt" localSheetId="2" hidden="1">Input_Course!$J$83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Calculator!$C$37:$GE$37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2" hidden="1">1</definedName>
    <definedName name="solver_typ" localSheetId="3" hidden="1">1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5" hidden="1">3</definedName>
    <definedName name="solver_ver" localSheetId="2" hidden="1">2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77" i="2" l="1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A176" i="2"/>
  <c r="B176" i="2"/>
  <c r="C176" i="2"/>
  <c r="H17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A116" i="2"/>
  <c r="B116" i="2"/>
  <c r="C116" i="2"/>
  <c r="H116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A101" i="2"/>
  <c r="B101" i="2"/>
  <c r="C101" i="2"/>
  <c r="H101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A34" i="2"/>
  <c r="B34" i="2"/>
  <c r="C34" i="2"/>
  <c r="H34" i="2"/>
  <c r="A11" i="2" l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A10" i="2"/>
  <c r="B10" i="2"/>
  <c r="C10" i="2"/>
  <c r="H10" i="2"/>
  <c r="A9" i="2"/>
  <c r="B9" i="2"/>
  <c r="C9" i="2"/>
  <c r="H9" i="2"/>
  <c r="H2" i="2"/>
  <c r="H3" i="2"/>
  <c r="H4" i="2"/>
  <c r="H5" i="2"/>
  <c r="H6" i="2"/>
  <c r="H7" i="2"/>
  <c r="H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H1" authorId="0" shape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sharedStrings.xml><?xml version="1.0" encoding="utf-8"?>
<sst xmlns="http://schemas.openxmlformats.org/spreadsheetml/2006/main" count="811" uniqueCount="331">
  <si>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</si>
  <si>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</si>
  <si>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</si>
  <si>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</si>
  <si>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</si>
  <si>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</si>
  <si>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</si>
  <si>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</si>
  <si>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</si>
  <si>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</si>
  <si>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</si>
  <si>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</si>
  <si>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</si>
  <si>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</si>
  <si>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</si>
  <si>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</si>
  <si>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</si>
  <si>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</si>
  <si>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</si>
  <si>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</si>
  <si>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</si>
  <si>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</si>
  <si>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</si>
  <si>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</si>
  <si>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</si>
  <si>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</si>
  <si>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</si>
  <si>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</si>
  <si>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</si>
  <si>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</si>
  <si>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</si>
  <si>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</si>
  <si>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</si>
  <si>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</si>
  <si>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</si>
  <si>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</si>
  <si>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</si>
  <si>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</si>
  <si>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</si>
  <si>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</si>
  <si>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</si>
  <si>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</si>
  <si>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</si>
  <si>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</si>
  <si>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</si>
  <si>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</si>
  <si>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</si>
  <si>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</si>
  <si>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</si>
  <si>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</si>
  <si>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</si>
  <si>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</si>
  <si>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</si>
  <si>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</si>
  <si>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</si>
  <si>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</si>
  <si>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</si>
  <si>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</si>
  <si>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</si>
  <si>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</si>
  <si>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</si>
  <si>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</si>
  <si>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</si>
  <si>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</si>
  <si>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</si>
  <si>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</si>
  <si>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</si>
  <si>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</si>
  <si>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</si>
  <si>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</si>
  <si>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</si>
  <si>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</si>
  <si>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</si>
  <si>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</si>
  <si>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</si>
  <si>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</si>
  <si>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</si>
  <si>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</si>
  <si>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</si>
  <si>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</si>
  <si>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</si>
  <si>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</si>
  <si>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</si>
  <si>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</si>
  <si>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</si>
  <si>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</si>
  <si>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</si>
  <si>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</si>
  <si>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</si>
  <si>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</si>
  <si>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</t>
  </si>
  <si>
    <t>FIN400 300</t>
  </si>
  <si>
    <t>FIN500</t>
  </si>
  <si>
    <t>G, H</t>
  </si>
  <si>
    <t>FIN500 100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</si>
  <si>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</si>
  <si>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</si>
  <si>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</si>
  <si>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</si>
  <si>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</si>
  <si>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</si>
  <si>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</si>
  <si>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</si>
  <si>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</si>
  <si>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</si>
  <si>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</si>
  <si>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</si>
  <si>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</si>
  <si>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</si>
  <si>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</si>
  <si>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</si>
  <si>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</si>
  <si>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</si>
  <si>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</si>
  <si>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</si>
  <si>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</si>
  <si>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</si>
  <si>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</si>
  <si>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</si>
  <si>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</si>
  <si>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</si>
  <si>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</si>
  <si>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</si>
  <si>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</si>
  <si>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</si>
  <si>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</si>
  <si>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</si>
  <si>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</si>
  <si>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</si>
  <si>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</si>
  <si>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</si>
  <si>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</si>
  <si>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</si>
  <si>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</si>
  <si>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</si>
  <si>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</si>
  <si>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ACCT100</t>
  </si>
  <si>
    <t>ACCT101</t>
  </si>
  <si>
    <t>ACCT102</t>
  </si>
  <si>
    <t>ACCT103</t>
  </si>
  <si>
    <t>ACCT104</t>
  </si>
  <si>
    <t>ACCT105</t>
  </si>
  <si>
    <t>ACCT106</t>
  </si>
  <si>
    <t>ACCT107</t>
  </si>
  <si>
    <t>ACCT108</t>
  </si>
  <si>
    <t>ACCT109</t>
  </si>
  <si>
    <t>ACCT110</t>
  </si>
  <si>
    <t>ACCT111</t>
  </si>
  <si>
    <t>ACCT112</t>
  </si>
  <si>
    <t>ACCT113</t>
  </si>
  <si>
    <t>ACCT114</t>
  </si>
  <si>
    <t>ACCT115</t>
  </si>
  <si>
    <t>ACCT116</t>
  </si>
  <si>
    <t>ACCT117</t>
  </si>
  <si>
    <t>ACCT118</t>
  </si>
  <si>
    <t>ACCT119</t>
  </si>
  <si>
    <t>ACCT120</t>
  </si>
  <si>
    <t>ACCT121</t>
  </si>
  <si>
    <t>ACCT122</t>
  </si>
  <si>
    <t>ACCT123</t>
  </si>
  <si>
    <t>ACCT124</t>
  </si>
  <si>
    <t>ACCT125</t>
  </si>
  <si>
    <t>ACCT126</t>
  </si>
  <si>
    <t>MGT100</t>
  </si>
  <si>
    <t>MGT101</t>
  </si>
  <si>
    <t>MGT102</t>
  </si>
  <si>
    <t>MGT103</t>
  </si>
  <si>
    <t>MGT104</t>
  </si>
  <si>
    <t>MGT105</t>
  </si>
  <si>
    <t>MGT106</t>
  </si>
  <si>
    <t>MGT107</t>
  </si>
  <si>
    <t>MGT108</t>
  </si>
  <si>
    <t>MGT109</t>
  </si>
  <si>
    <t>MGT110</t>
  </si>
  <si>
    <t>MGT111</t>
  </si>
  <si>
    <t>CIS100</t>
  </si>
  <si>
    <t>CIS101</t>
  </si>
  <si>
    <t>CIS102</t>
  </si>
  <si>
    <t>CIS103</t>
  </si>
  <si>
    <t>CIS104</t>
  </si>
  <si>
    <t>CIS105</t>
  </si>
  <si>
    <t>CIS106</t>
  </si>
  <si>
    <t>CIS107</t>
  </si>
  <si>
    <t>CIS108</t>
  </si>
  <si>
    <t>CIS109</t>
  </si>
  <si>
    <t>CIS110</t>
  </si>
  <si>
    <t>CIS111</t>
  </si>
  <si>
    <t>CIS112</t>
  </si>
  <si>
    <t>CIS113</t>
  </si>
  <si>
    <t>CIS114</t>
  </si>
  <si>
    <t>HIS100</t>
  </si>
  <si>
    <t>HIS101</t>
  </si>
  <si>
    <t>HIS102</t>
  </si>
  <si>
    <t>HIS103</t>
  </si>
  <si>
    <t>HIS104</t>
  </si>
  <si>
    <t>HIS105</t>
  </si>
  <si>
    <t>HIS106</t>
  </si>
  <si>
    <t>HIS107</t>
  </si>
  <si>
    <t>HIS108</t>
  </si>
  <si>
    <t>HIS109</t>
  </si>
  <si>
    <t>HIS110</t>
  </si>
  <si>
    <t>HIS111</t>
  </si>
  <si>
    <t>HIS112</t>
  </si>
  <si>
    <t>TBD</t>
  </si>
  <si>
    <t>LIT100</t>
  </si>
  <si>
    <t>LIT101</t>
  </si>
  <si>
    <t>LIT102</t>
  </si>
  <si>
    <t>LIT103</t>
  </si>
  <si>
    <t>LIT104</t>
  </si>
  <si>
    <t>LIT105</t>
  </si>
  <si>
    <t>LIT106</t>
  </si>
  <si>
    <t>LIT107</t>
  </si>
  <si>
    <t>LIT108</t>
  </si>
  <si>
    <t>LIT109</t>
  </si>
  <si>
    <t>LIT110</t>
  </si>
  <si>
    <t>LIT111</t>
  </si>
  <si>
    <t>LIT112</t>
  </si>
  <si>
    <t>LIT113</t>
  </si>
  <si>
    <t>LIT114</t>
  </si>
  <si>
    <t>HFD100</t>
  </si>
  <si>
    <t>HFD101</t>
  </si>
  <si>
    <t>HFD102</t>
  </si>
  <si>
    <t>HFD103</t>
  </si>
  <si>
    <t>HFD104</t>
  </si>
  <si>
    <t>HFD105</t>
  </si>
  <si>
    <t>HFD106</t>
  </si>
  <si>
    <t>HFD107</t>
  </si>
  <si>
    <t>HFD108</t>
  </si>
  <si>
    <t>HFD109</t>
  </si>
  <si>
    <t>HFD110</t>
  </si>
  <si>
    <t>HFD111</t>
  </si>
  <si>
    <t>HFD112</t>
  </si>
  <si>
    <t>HFD113</t>
  </si>
  <si>
    <t>HFD114</t>
  </si>
  <si>
    <t>HFD115</t>
  </si>
  <si>
    <t>HFD116</t>
  </si>
  <si>
    <t>HFD117</t>
  </si>
  <si>
    <t>HFD118</t>
  </si>
  <si>
    <t>HFD119</t>
  </si>
  <si>
    <t>HFD120</t>
  </si>
  <si>
    <t>HFD121</t>
  </si>
  <si>
    <t>HFD122</t>
  </si>
  <si>
    <t>HFD123</t>
  </si>
  <si>
    <t>HFD124</t>
  </si>
  <si>
    <t>HFD125</t>
  </si>
  <si>
    <t>HFD126</t>
  </si>
  <si>
    <t>HFD127</t>
  </si>
  <si>
    <t>HFD128</t>
  </si>
  <si>
    <t>HFD129</t>
  </si>
  <si>
    <t>HFD130</t>
  </si>
  <si>
    <t>HFD131</t>
  </si>
  <si>
    <t>HFD132</t>
  </si>
  <si>
    <t>HFD133</t>
  </si>
  <si>
    <t>HFD134</t>
  </si>
  <si>
    <t>HFD135</t>
  </si>
  <si>
    <t>HFD136</t>
  </si>
  <si>
    <t>HFD137</t>
  </si>
  <si>
    <t>HFD138</t>
  </si>
  <si>
    <t>HFD147</t>
  </si>
  <si>
    <t>HFD148</t>
  </si>
  <si>
    <t>HFD149</t>
  </si>
  <si>
    <t>HFD150</t>
  </si>
  <si>
    <t>HFD151</t>
  </si>
  <si>
    <t>HFD152</t>
  </si>
  <si>
    <t>HFD153</t>
  </si>
  <si>
    <t>HFD154</t>
  </si>
  <si>
    <t>HFD175</t>
  </si>
  <si>
    <t>HFD176</t>
  </si>
  <si>
    <t>HFD177</t>
  </si>
  <si>
    <t>HFD178</t>
  </si>
  <si>
    <t>HFD179</t>
  </si>
  <si>
    <t>HFD180</t>
  </si>
  <si>
    <t>HFD181</t>
  </si>
  <si>
    <t>HFD182</t>
  </si>
  <si>
    <t>HFD183</t>
  </si>
  <si>
    <t>HFD184</t>
  </si>
  <si>
    <t>HFD185</t>
  </si>
  <si>
    <t>HFD186</t>
  </si>
  <si>
    <t>HFD187</t>
  </si>
  <si>
    <t>ENG100</t>
  </si>
  <si>
    <t>ENG101</t>
  </si>
  <si>
    <t>ENG102</t>
  </si>
  <si>
    <t>ENG103</t>
  </si>
  <si>
    <t>ENG104</t>
  </si>
  <si>
    <t>ENG105</t>
  </si>
  <si>
    <t>ENG106</t>
  </si>
  <si>
    <t>ENG107</t>
  </si>
  <si>
    <t>ENG108</t>
  </si>
  <si>
    <t>ENG109</t>
  </si>
  <si>
    <t>ENG110</t>
  </si>
  <si>
    <t>ENG111</t>
  </si>
  <si>
    <t>ENG112</t>
  </si>
  <si>
    <t>ENG113</t>
  </si>
  <si>
    <t>ENG114</t>
  </si>
  <si>
    <t>ENG115</t>
  </si>
  <si>
    <t>ENG116</t>
  </si>
  <si>
    <t>ENG117</t>
  </si>
  <si>
    <t>ENG118</t>
  </si>
  <si>
    <t>ENG119</t>
  </si>
  <si>
    <t>ENG120</t>
  </si>
  <si>
    <t>ENG121</t>
  </si>
  <si>
    <t>ENG122</t>
  </si>
  <si>
    <t>ENG123</t>
  </si>
  <si>
    <t>ENG124</t>
  </si>
  <si>
    <t xml:space="preserve">1_x000D_
FIN200 100 - C, D_x000D_
FIN400 100 - G, H_x000D_
ACCT100  - TBD_x000D_
ACCT101  - TBD_x000D_
ACCT102  - TBD_x000D_
ENG113  - </t>
  </si>
  <si>
    <t xml:space="preserve">2_x000D_
ACCT103  - TBD_x000D_
ACCT104  - TBD_x000D_
ACCT105  - TBD_x000D_
ACCT106  - TBD_x000D_
ACCT107  - TBD_x000D_
ENG114  - </t>
  </si>
  <si>
    <t xml:space="preserve">3_x000D_
ACCT108  - TBD_x000D_
ACCT109  - TBD_x000D_
ACCT110  - TBD_x000D_
ACCT111  - TBD_x000D_
ACCT112  - TBD_x000D_
ENG115  - </t>
  </si>
  <si>
    <t xml:space="preserve">4_x000D_
ACCT113  - TBD_x000D_
ACCT114  - TBD_x000D_
ACCT115  - TBD_x000D_
ACCT116  - TBD_x000D_
ACCT117  - TBD_x000D_
ENG116  - </t>
  </si>
  <si>
    <t xml:space="preserve">5_x000D_
FIN100 100 - A, B_x000D_
ACCT118  - TBD_x000D_
ACCT119  - TBD_x000D_
ACCT120  - TBD_x000D_
ACCT121  - TBD_x000D_
ENG117  - </t>
  </si>
  <si>
    <t xml:space="preserve">6_x000D_
FIN500 100 - I, J_x000D_
ACCT122  - TBD_x000D_
ACCT123  - TBD_x000D_
ACCT124  - TBD_x000D_
ACCT125  - TBD_x000D_
ENG118  - </t>
  </si>
  <si>
    <t xml:space="preserve">7_x000D_
FIN300 100 - E, F_x000D_
ACCT126  - TBD_x000D_
MGT100  - TBD_x000D_
MGT101  - TBD_x000D_
MGT102  - TBD_x000D_
ENG119  - </t>
  </si>
  <si>
    <t xml:space="preserve">8_x000D_
FIN200 300 - C, D_x000D_
FIN400 400 - G, H_x000D_
MGT103  - TBD_x000D_
MGT104  - TBD_x000D_
MGT105  - TBD_x000D_
ENG120  - </t>
  </si>
  <si>
    <t xml:space="preserve">9_x000D_
FIN100 300 - A, B_x000D_
FIN100 400 - A, B_x000D_
FIN400 200 - G, H_x000D_
MGT106  - TBD_x000D_
MGT107  - TBD_x000D_
ENG121  - </t>
  </si>
  <si>
    <t xml:space="preserve">10_x000D_
MGT108  - TBD_x000D_
MGT109  - TBD_x000D_
MGT110  - TBD_x000D_
MGT111  - TBD_x000D_
CIS100  - TBD_x000D_
ENG122  - </t>
  </si>
  <si>
    <t xml:space="preserve">11_x000D_
CIS101  - TBD_x000D_
CIS102  - TBD_x000D_
CIS103  - TBD_x000D_
CIS104  - TBD_x000D_
CIS105  - TBD_x000D_
ENG123  - </t>
  </si>
  <si>
    <t xml:space="preserve">12_x000D_
FIN200 400 - C, D_x000D_
FIN500 200 - I, J_x000D_
CIS106  - TBD_x000D_
CIS107  - TBD_x000D_
CIS108  - TBD_x000D_
ENG124  - </t>
  </si>
  <si>
    <t>13_x000D_
CIS109  - TBD_x000D_
CIS110  - TBD_x000D_
CIS111  - TBD_x000D_
CIS112  - TBD_x000D_
CIS113  - TBD</t>
  </si>
  <si>
    <t>14_x000D_
FIN200 200 - C, D_x000D_
CIS114  - TBD_x000D_
HIS100  - TBD_x000D_
HIS101  - TBD_x000D_
HIS102  - TBD</t>
  </si>
  <si>
    <t>15_x000D_
FIN400 300 - G, H_x000D_
FIN500 300 - I, J_x000D_
HIS103  - TBD_x000D_
HIS104  - TBD_x000D_
HIS105  - TBD</t>
  </si>
  <si>
    <t>16_x000D_
FIN300 300 - E, F_x000D_
FIN500 400 - I, J_x000D_
HIS106  - TBD_x000D_
HIS107  - TBD_x000D_
HIS108  - TBD</t>
  </si>
  <si>
    <t>17_x000D_
FIN100 200 - A, B_x000D_
HIS109  - TBD_x000D_
HIS110  - TBD_x000D_
HIS111  - TBD_x000D_
HIS112  - TBD</t>
  </si>
  <si>
    <t xml:space="preserve">18_x000D_
FIN300 200 - E, F_x000D_
ENG100  - _x000D_
ENG101  - _x000D_
ENG102  - _x000D_
ENG103  - </t>
  </si>
  <si>
    <t xml:space="preserve">19_x000D_
ENG104  - _x000D_
ENG105  - _x000D_
ENG106  - _x000D_
ENG107  - _x000D_
ENG108  - </t>
  </si>
  <si>
    <t xml:space="preserve">21_x000D_
CS100 100 - K, L_x000D_
CS200 100 - K, L_x000D_
CS300 100 - K, L_x000D_
CS400 100 - K, L_x000D_
CS500 100 - M, N_x000D_
CS902 100 - O, P_x000D_
CS903 100 - O, P_x000D_
LIT100  - _x000D_
LIT101  - _x000D_
LIT102  - _x000D_
LIT103  - </t>
  </si>
  <si>
    <t xml:space="preserve">22_x000D_
CS901 100 - O, P_x000D_
LIT104  - _x000D_
LIT105  - _x000D_
LIT106  - _x000D_
LIT107  - _x000D_
LIT108  - _x000D_
LIT109  - _x000D_
LIT110  - _x000D_
LIT111  - _x000D_
LIT112  - _x000D_
LIT113  - </t>
  </si>
  <si>
    <t xml:space="preserve">23_x000D_
LIT114  - _x000D_
HFD100  - _x000D_
HFD101  - _x000D_
HFD102  - _x000D_
HFD103  - _x000D_
HFD104  - _x000D_
HFD105  - _x000D_
HFD106  - _x000D_
HFD107  - _x000D_
HFD108  - _x000D_
HFD109  - </t>
  </si>
  <si>
    <t xml:space="preserve">24_x000D_
CS700 100 - M, N_x000D_
HFD110  - _x000D_
HFD111  - _x000D_
HFD112  - _x000D_
HFD113  - _x000D_
HFD114  - _x000D_
HFD115  - _x000D_
HFD116  - _x000D_
HFD117  - _x000D_
HFD118  - _x000D_
HFD119  - </t>
  </si>
  <si>
    <t xml:space="preserve">25_x000D_
CS600 100 - M, N_x000D_
CS800 100 - M, N_x000D_
CS900 100 - O, P_x000D_
HFD120  - _x000D_
HFD121  - _x000D_
HFD122  - _x000D_
HFD123  - _x000D_
HFD124  - _x000D_
HFD125  - _x000D_
HFD126  - _x000D_
HFD127  - </t>
  </si>
  <si>
    <t xml:space="preserve">26_x000D_
HFD128  - _x000D_
HFD129  - _x000D_
HFD130  - _x000D_
HFD131  - _x000D_
HFD132  - _x000D_
HFD133  - _x000D_
HFD134  - _x000D_
HFD135  - _x000D_
HFD136  - _x000D_
HFD137  - _x000D_
HFD138  - </t>
  </si>
  <si>
    <t xml:space="preserve">27_x000D_
HFD147  - _x000D_
HFD148  - _x000D_
HFD149  - _x000D_
HFD150  - _x000D_
HFD151  - _x000D_
HFD152  - _x000D_
HFD153  - _x000D_
HFD154  - _x000D_
HFD175  - _x000D_
HFD176  - _x000D_
HFD177  - </t>
  </si>
  <si>
    <t xml:space="preserve">28_x000D_
HFD178  - _x000D_
HFD179  - _x000D_
HFD180  - _x000D_
HFD181  - _x000D_
HFD182  - _x000D_
HFD183  - _x000D_
HFD184  - _x000D_
HFD185  - _x000D_
HFD186  - _x000D_
HFD187 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</si>
</sst>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</cellStyleXfs>
  <cellXfs count="4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1" fillId="0" borderId="0" xfId="0" applyFont="1"/>
    <xf numFmtId="0" fontId="9" fillId="0" borderId="0" xfId="91" applyFont="1" applyFill="1" applyAlignment="1">
      <alignment horizontal="center"/>
    </xf>
    <xf numFmtId="0" fontId="9" fillId="0" borderId="0" xfId="91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/>
    <xf numFmtId="0" fontId="9" fillId="3" borderId="0" xfId="91" applyFont="1" applyFill="1" applyAlignment="1">
      <alignment horizontal="center"/>
    </xf>
    <xf numFmtId="0" fontId="9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1" fillId="0" borderId="0" xfId="0" applyFont="1"/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3"/>
    </xf>
    <xf numFmtId="0" fontId="14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10" fillId="0" borderId="2" xfId="0" applyFont="1" applyBorder="1" applyAlignment="1">
      <alignment horizontal="center" vertical="top"/>
    </xf>
    <xf numFmtId="0" fontId="10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9" fillId="0" borderId="0" xfId="91" applyNumberFormat="1" applyFont="1" applyFill="1" applyAlignment="1">
      <alignment horizontal="center"/>
    </xf>
    <xf numFmtId="0" fontId="9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10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top"/>
    </xf>
    <xf numFmtId="0" fontId="10" fillId="0" borderId="6" xfId="0" applyFont="1" applyBorder="1" applyAlignment="1">
      <alignment horizontal="center" vertical="top"/>
    </xf>
  </cellXfs>
  <cellStyles count="9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Normal" xfId="0" builtinId="0"/>
  </cellStyles>
  <dxfs count="28">
    <dxf>
      <numFmt numFmtId="25" formatCode="h:mm"/>
    </dxf>
    <dxf>
      <numFmt numFmtId="2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0</xdr:colOff>
          <xdr:row>1</xdr:row>
          <xdr:rowOff>0</xdr:rowOff>
        </xdr:from>
        <xdr:to>
          <xdr:col>22</xdr:col>
          <xdr:colOff>209550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387340" y="182880"/>
              <a:ext cx="1398270" cy="681990"/>
              <a:chOff x="9382125" y="152400"/>
              <a:chExt cx="1371600" cy="704850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 bwMode="auto">
              <a:xfrm>
                <a:off x="9382125" y="15240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 bwMode="auto">
              <a:xfrm>
                <a:off x="9382125" y="390525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 bwMode="auto">
              <a:xfrm>
                <a:off x="9382125" y="628650"/>
                <a:ext cx="1371600" cy="228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Professor" displayName="Professor" ref="A1:F9" totalsRowShown="0" dataDxfId="27">
  <autoFilter ref="A1:F9"/>
  <tableColumns count="6">
    <tableColumn id="1" name="Name" dataDxfId="26"/>
    <tableColumn id="2" name="Full/Part-time" dataDxfId="25"/>
    <tableColumn id="3" name="Preference_1" dataDxfId="24"/>
    <tableColumn id="4" name="Preference_2" dataDxfId="23"/>
    <tableColumn id="5" name="Preference_3" dataDxfId="22"/>
    <tableColumn id="6" name="Preference_4" dataDxfId="2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Course" displayName="Course" ref="A1:S200" totalsRowShown="0" headerRowDxfId="20" dataDxfId="19">
  <autoFilter ref="A1:S200"/>
  <tableColumns count="19">
    <tableColumn id="1" name="GRAD COURSE" dataDxfId="18">
      <calculatedColumnFormula>IF(F2="G", TRUE,FALSE)</calculatedColumnFormula>
    </tableColumn>
    <tableColumn id="2" name="PRE-REQ FLAG" dataDxfId="17">
      <calculatedColumnFormula>IF(ISBLANK(G2),FALSE,TRUE)</calculatedColumnFormula>
    </tableColumn>
    <tableColumn id="3" name="Course Identifier" dataDxfId="16">
      <calculatedColumnFormula>CONCATENATE(D2," ",E2)</calculatedColumnFormula>
    </tableColumn>
    <tableColumn id="4" name="Course ID" dataDxfId="15"/>
    <tableColumn id="5" name="Session ID" dataDxfId="14"/>
    <tableColumn id="6" name="Level" dataDxfId="13"/>
    <tableColumn id="7" name="Pre-req 1" dataDxfId="12"/>
    <tableColumn id="8" name="SESSION_FLAG" dataDxfId="11">
      <calculatedColumnFormula>IF(COUNTIF(Course[Course ID],Course[[#This Row],[Course ID]])&gt;1,"S","")</calculatedColumnFormula>
    </tableColumn>
    <tableColumn id="9" name="Column1" dataDxfId="10"/>
    <tableColumn id="10" name="Column2" dataDxfId="9"/>
    <tableColumn id="11" name="Column3" dataDxfId="8"/>
    <tableColumn id="12" name="Column4" dataDxfId="7"/>
    <tableColumn id="13" name="Column5" dataDxfId="6"/>
    <tableColumn id="14" name="Column6" dataDxfId="5"/>
    <tableColumn id="15" name="Column7" dataDxfId="4"/>
    <tableColumn id="16" name="Column8" dataDxfId="3"/>
    <tableColumn id="17" name="ASSIGNED_FLAG"/>
    <tableColumn id="18" name="BLOCK_ASSIGNED"/>
    <tableColumn id="19" name="PROFESSOR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7"/>
  <sheetViews>
    <sheetView showGridLines="0" workbookViewId="0"/>
  </sheetViews>
  <sheetFormatPr defaultRowHeight="14.4" x14ac:dyDescent="0.3"/>
  <sheetData>
    <row r="1" spans="1:1" x14ac:dyDescent="0.3">
      <c r="A1" s="19" t="s">
        <v>73</v>
      </c>
    </row>
    <row r="2" spans="1:1" x14ac:dyDescent="0.3">
      <c r="A2" s="20" t="s">
        <v>64</v>
      </c>
    </row>
    <row r="3" spans="1:1" x14ac:dyDescent="0.3">
      <c r="A3" s="20" t="s">
        <v>72</v>
      </c>
    </row>
    <row r="4" spans="1:1" x14ac:dyDescent="0.3">
      <c r="A4" s="20" t="s">
        <v>65</v>
      </c>
    </row>
    <row r="5" spans="1:1" x14ac:dyDescent="0.3">
      <c r="A5" s="20" t="s">
        <v>66</v>
      </c>
    </row>
    <row r="6" spans="1:1" x14ac:dyDescent="0.3">
      <c r="A6" s="20" t="s">
        <v>68</v>
      </c>
    </row>
    <row r="7" spans="1:1" x14ac:dyDescent="0.3">
      <c r="A7" s="21" t="s">
        <v>67</v>
      </c>
    </row>
    <row r="8" spans="1:1" x14ac:dyDescent="0.3">
      <c r="A8" s="22" t="s">
        <v>74</v>
      </c>
    </row>
    <row r="9" spans="1:1" x14ac:dyDescent="0.3">
      <c r="A9" s="20" t="s">
        <v>69</v>
      </c>
    </row>
    <row r="10" spans="1:1" x14ac:dyDescent="0.3">
      <c r="A10" s="21" t="s">
        <v>67</v>
      </c>
    </row>
    <row r="11" spans="1:1" x14ac:dyDescent="0.3">
      <c r="A11" s="22" t="s">
        <v>75</v>
      </c>
    </row>
    <row r="12" spans="1:1" x14ac:dyDescent="0.3">
      <c r="A12" s="22" t="s">
        <v>70</v>
      </c>
    </row>
    <row r="13" spans="1:1" x14ac:dyDescent="0.3">
      <c r="A13" s="22" t="s">
        <v>71</v>
      </c>
    </row>
    <row r="14" spans="1:1" x14ac:dyDescent="0.3">
      <c r="A14" s="20" t="s">
        <v>86</v>
      </c>
    </row>
    <row r="15" spans="1:1" x14ac:dyDescent="0.3">
      <c r="A15" s="20" t="s">
        <v>87</v>
      </c>
    </row>
    <row r="16" spans="1:1" x14ac:dyDescent="0.3">
      <c r="A16" s="20" t="s">
        <v>88</v>
      </c>
    </row>
    <row r="17" spans="1:1" x14ac:dyDescent="0.3">
      <c r="A17" s="20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F9"/>
  <sheetViews>
    <sheetView workbookViewId="0">
      <pane ySplit="1" topLeftCell="A2" activePane="bottomLeft" state="frozen"/>
      <selection activeCell="T20" sqref="T20"/>
      <selection pane="bottomLeft" activeCell="D28" sqref="D28"/>
    </sheetView>
  </sheetViews>
  <sheetFormatPr defaultColWidth="8.6640625" defaultRowHeight="14.4" x14ac:dyDescent="0.3"/>
  <cols>
    <col min="1" max="1" width="8.5546875" bestFit="1" customWidth="1"/>
    <col min="2" max="2" width="16" bestFit="1" customWidth="1"/>
    <col min="3" max="6" width="15.1093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s="17" t="s">
        <v>10</v>
      </c>
      <c r="B2" s="17" t="s">
        <v>13</v>
      </c>
      <c r="C2" s="17" t="s">
        <v>38</v>
      </c>
      <c r="D2" s="17" t="s">
        <v>39</v>
      </c>
      <c r="E2" s="17" t="s">
        <v>40</v>
      </c>
      <c r="F2" s="17" t="s">
        <v>107</v>
      </c>
    </row>
    <row r="3" spans="1:6" x14ac:dyDescent="0.3">
      <c r="A3" s="17" t="s">
        <v>11</v>
      </c>
      <c r="B3" s="17" t="s">
        <v>13</v>
      </c>
      <c r="C3" s="17" t="s">
        <v>42</v>
      </c>
      <c r="D3" s="17" t="s">
        <v>41</v>
      </c>
      <c r="E3" s="17" t="s">
        <v>108</v>
      </c>
      <c r="F3" s="17" t="s">
        <v>109</v>
      </c>
    </row>
    <row r="4" spans="1:6" x14ac:dyDescent="0.3">
      <c r="A4" s="17" t="s">
        <v>12</v>
      </c>
      <c r="B4" s="17" t="s">
        <v>13</v>
      </c>
      <c r="C4" s="17" t="s">
        <v>51</v>
      </c>
      <c r="D4" s="17" t="s">
        <v>110</v>
      </c>
      <c r="E4" s="17" t="s">
        <v>111</v>
      </c>
      <c r="F4" s="17" t="s">
        <v>112</v>
      </c>
    </row>
    <row r="5" spans="1:6" x14ac:dyDescent="0.3">
      <c r="A5" s="17" t="s">
        <v>93</v>
      </c>
      <c r="B5" s="17" t="s">
        <v>113</v>
      </c>
      <c r="C5" s="17" t="s">
        <v>114</v>
      </c>
      <c r="D5" s="17" t="s">
        <v>115</v>
      </c>
      <c r="E5" s="17" t="s">
        <v>91</v>
      </c>
      <c r="F5" s="17" t="s">
        <v>116</v>
      </c>
    </row>
    <row r="6" spans="1:6" x14ac:dyDescent="0.3">
      <c r="A6" s="17" t="s">
        <v>117</v>
      </c>
      <c r="B6" s="17" t="s">
        <v>13</v>
      </c>
      <c r="C6" s="17" t="s">
        <v>94</v>
      </c>
      <c r="D6" s="17" t="s">
        <v>118</v>
      </c>
      <c r="E6" s="17" t="s">
        <v>119</v>
      </c>
      <c r="F6" s="17" t="s">
        <v>120</v>
      </c>
    </row>
    <row r="7" spans="1:6" x14ac:dyDescent="0.3">
      <c r="A7" s="17" t="s">
        <v>121</v>
      </c>
      <c r="B7" s="17" t="s">
        <v>13</v>
      </c>
      <c r="C7" s="17" t="s">
        <v>122</v>
      </c>
      <c r="D7" s="17" t="s">
        <v>123</v>
      </c>
      <c r="E7" s="17" t="s">
        <v>124</v>
      </c>
      <c r="F7" s="17" t="s">
        <v>125</v>
      </c>
    </row>
    <row r="8" spans="1:6" x14ac:dyDescent="0.3">
      <c r="A8" s="17" t="s">
        <v>126</v>
      </c>
      <c r="B8" s="17" t="s">
        <v>113</v>
      </c>
      <c r="C8" s="17" t="s">
        <v>127</v>
      </c>
      <c r="D8" s="17" t="s">
        <v>128</v>
      </c>
      <c r="E8" s="17" t="s">
        <v>129</v>
      </c>
      <c r="F8" s="17" t="s">
        <v>130</v>
      </c>
    </row>
    <row r="9" spans="1:6" x14ac:dyDescent="0.3">
      <c r="A9" s="17" t="s">
        <v>131</v>
      </c>
      <c r="B9" s="17" t="s">
        <v>13</v>
      </c>
      <c r="C9" s="17" t="s">
        <v>132</v>
      </c>
      <c r="D9" s="17" t="s">
        <v>133</v>
      </c>
      <c r="E9" s="17" t="s">
        <v>134</v>
      </c>
      <c r="F9" s="17" t="s">
        <v>135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B200"/>
  <sheetViews>
    <sheetView topLeftCell="D1" zoomScaleNormal="100" zoomScalePageLayoutView="115" workbookViewId="0">
      <pane ySplit="1" topLeftCell="A2" activePane="bottomLeft" state="frozen"/>
      <selection activeCell="F22" sqref="F22"/>
      <selection pane="bottomLeft" activeCell="V5" sqref="V5"/>
    </sheetView>
  </sheetViews>
  <sheetFormatPr defaultColWidth="8.6640625" defaultRowHeight="14.4" x14ac:dyDescent="0.3"/>
  <cols>
    <col min="1" max="1" width="15.5546875" style="2" hidden="1" customWidth="1"/>
    <col min="2" max="2" width="15.44140625" style="2" hidden="1" customWidth="1"/>
    <col min="3" max="3" width="18.6640625" style="2" hidden="1" customWidth="1"/>
    <col min="4" max="4" width="12" style="4" customWidth="1"/>
    <col min="5" max="5" width="13" style="2" customWidth="1"/>
    <col min="6" max="6" width="7.88671875" style="2" customWidth="1"/>
    <col min="7" max="7" width="11.33203125" style="2" customWidth="1"/>
    <col min="8" max="8" width="16" style="2" hidden="1" customWidth="1"/>
    <col min="9" max="15" width="11.109375" style="2" hidden="1" customWidth="1"/>
    <col min="16" max="16" width="11.109375" style="5" hidden="1" customWidth="1"/>
    <col min="17" max="17" width="17.44140625" hidden="1" customWidth="1"/>
    <col min="18" max="18" width="19.109375" bestFit="1" customWidth="1"/>
    <col min="19" max="19" width="13.33203125" style="2" customWidth="1"/>
    <col min="20" max="20" width="1.88671875" style="2" customWidth="1"/>
    <col min="21" max="25" width="8.6640625" style="2"/>
    <col min="26" max="26" width="9.44140625" style="2" customWidth="1"/>
    <col min="27" max="16384" width="8.6640625" style="2"/>
  </cols>
  <sheetData>
    <row r="1" spans="1:28" x14ac:dyDescent="0.3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35</v>
      </c>
      <c r="I1" s="6" t="s">
        <v>43</v>
      </c>
      <c r="J1" s="6" t="s">
        <v>44</v>
      </c>
      <c r="K1" s="6" t="s">
        <v>45</v>
      </c>
      <c r="L1" s="6" t="s">
        <v>46</v>
      </c>
      <c r="M1" s="6" t="s">
        <v>47</v>
      </c>
      <c r="N1" s="6" t="s">
        <v>48</v>
      </c>
      <c r="O1" s="6" t="s">
        <v>49</v>
      </c>
      <c r="P1" s="6" t="s">
        <v>50</v>
      </c>
      <c r="Q1" t="s">
        <v>59</v>
      </c>
      <c r="R1" t="s">
        <v>60</v>
      </c>
      <c r="S1" s="10" t="s">
        <v>37</v>
      </c>
      <c r="Z1"/>
      <c r="AA1"/>
      <c r="AB1"/>
    </row>
    <row r="2" spans="1:28" x14ac:dyDescent="0.3">
      <c r="A2" s="9" t="b">
        <f t="shared" ref="A2:A8" si="0">IF(F2="G", TRUE,FALSE)</f>
        <v>0</v>
      </c>
      <c r="B2" s="9" t="b">
        <f t="shared" ref="B2:B8" si="1">IF(ISBLANK(G2),FALSE,TRUE)</f>
        <v>0</v>
      </c>
      <c r="C2" s="8" t="str">
        <f>CONCATENATE(D2," ",E2)</f>
        <v>FIN100 100</v>
      </c>
      <c r="D2" s="13" t="s">
        <v>33</v>
      </c>
      <c r="E2" s="13">
        <v>100</v>
      </c>
      <c r="F2" s="14" t="s">
        <v>15</v>
      </c>
      <c r="G2" s="14"/>
      <c r="H2" s="9" t="str">
        <f>IF(COUNTIF(Course[Course ID],Course[[#This Row],[Course ID]])&gt;1,"S","")</f>
        <v>S</v>
      </c>
      <c r="I2" s="8"/>
      <c r="J2" s="8"/>
      <c r="K2" s="8"/>
      <c r="L2" s="8"/>
      <c r="M2" s="8"/>
      <c r="N2" s="8"/>
      <c r="O2" s="8"/>
      <c r="P2" s="8"/>
      <c r="Q2" t="b">
        <v>1</v>
      </c>
      <c r="R2">
        <v>5</v>
      </c>
      <c r="S2" s="8" t="s">
        <v>10</v>
      </c>
      <c r="Z2" s="18"/>
      <c r="AA2"/>
      <c r="AB2"/>
    </row>
    <row r="3" spans="1:28" x14ac:dyDescent="0.3">
      <c r="A3" s="9" t="b">
        <f t="shared" si="0"/>
        <v>0</v>
      </c>
      <c r="B3" s="9" t="b">
        <f t="shared" si="1"/>
        <v>0</v>
      </c>
      <c r="C3" s="8" t="str">
        <f t="shared" ref="C3:C7" si="2">CONCATENATE(D3," ",E3)</f>
        <v>FIN100 200</v>
      </c>
      <c r="D3" s="13" t="s">
        <v>33</v>
      </c>
      <c r="E3" s="13">
        <v>200</v>
      </c>
      <c r="F3" s="14" t="s">
        <v>15</v>
      </c>
      <c r="G3" s="14"/>
      <c r="H3" s="9" t="str">
        <f>IF(COUNTIF(Course[Course ID],Course[[#This Row],[Course ID]])&gt;1,"S","")</f>
        <v>S</v>
      </c>
      <c r="I3" s="8"/>
      <c r="J3" s="8"/>
      <c r="K3" s="8"/>
      <c r="L3" s="8"/>
      <c r="M3" s="8"/>
      <c r="N3" s="8"/>
      <c r="O3" s="8"/>
      <c r="P3" s="8"/>
      <c r="Q3" t="b">
        <v>1</v>
      </c>
      <c r="R3">
        <v>17</v>
      </c>
      <c r="S3" s="8" t="s">
        <v>10</v>
      </c>
      <c r="Z3" s="18"/>
      <c r="AA3"/>
      <c r="AB3"/>
    </row>
    <row r="4" spans="1:28" x14ac:dyDescent="0.3">
      <c r="A4" s="9" t="b">
        <f t="shared" si="0"/>
        <v>0</v>
      </c>
      <c r="B4" s="9" t="b">
        <f t="shared" si="1"/>
        <v>0</v>
      </c>
      <c r="C4" s="8" t="str">
        <f t="shared" si="2"/>
        <v>FIN100 300</v>
      </c>
      <c r="D4" s="13" t="s">
        <v>33</v>
      </c>
      <c r="E4" s="13">
        <v>300</v>
      </c>
      <c r="F4" s="14" t="s">
        <v>15</v>
      </c>
      <c r="G4" s="14"/>
      <c r="H4" s="9" t="str">
        <f>IF(COUNTIF(Course[Course ID],Course[[#This Row],[Course ID]])&gt;1,"S","")</f>
        <v>S</v>
      </c>
      <c r="I4" s="8"/>
      <c r="J4" s="8"/>
      <c r="K4" s="8"/>
      <c r="L4" s="8"/>
      <c r="M4" s="8"/>
      <c r="N4" s="8"/>
      <c r="O4" s="8"/>
      <c r="P4" s="8"/>
      <c r="Q4" t="b">
        <v>1</v>
      </c>
      <c r="R4">
        <v>9</v>
      </c>
      <c r="S4" s="8" t="s">
        <v>10</v>
      </c>
      <c r="Z4" s="18"/>
      <c r="AA4"/>
      <c r="AB4"/>
    </row>
    <row r="5" spans="1:28" x14ac:dyDescent="0.3">
      <c r="A5" s="9" t="b">
        <f t="shared" si="0"/>
        <v>0</v>
      </c>
      <c r="B5" s="9" t="b">
        <f t="shared" si="1"/>
        <v>0</v>
      </c>
      <c r="C5" s="8" t="str">
        <f t="shared" si="2"/>
        <v>FIN100 400</v>
      </c>
      <c r="D5" s="13" t="s">
        <v>33</v>
      </c>
      <c r="E5" s="13">
        <v>400</v>
      </c>
      <c r="F5" s="14" t="s">
        <v>15</v>
      </c>
      <c r="G5" s="14"/>
      <c r="H5" s="9" t="str">
        <f>IF(COUNTIF(Course[Course ID],Course[[#This Row],[Course ID]])&gt;1,"S","")</f>
        <v>S</v>
      </c>
      <c r="I5" s="8"/>
      <c r="J5" s="8"/>
      <c r="K5" s="8"/>
      <c r="L5" s="8"/>
      <c r="M5" s="8"/>
      <c r="N5" s="8"/>
      <c r="O5" s="8"/>
      <c r="P5" s="8"/>
      <c r="Q5" t="b">
        <v>1</v>
      </c>
      <c r="R5">
        <v>9</v>
      </c>
      <c r="S5" s="8" t="s">
        <v>10</v>
      </c>
      <c r="Z5"/>
      <c r="AA5"/>
      <c r="AB5"/>
    </row>
    <row r="6" spans="1:28" x14ac:dyDescent="0.3">
      <c r="A6" s="9" t="b">
        <f t="shared" si="0"/>
        <v>0</v>
      </c>
      <c r="B6" s="9" t="b">
        <f t="shared" si="1"/>
        <v>0</v>
      </c>
      <c r="C6" s="8" t="str">
        <f t="shared" si="2"/>
        <v>FIN200 100</v>
      </c>
      <c r="D6" s="13" t="s">
        <v>34</v>
      </c>
      <c r="E6" s="13">
        <v>100</v>
      </c>
      <c r="F6" s="14" t="s">
        <v>15</v>
      </c>
      <c r="G6" s="14"/>
      <c r="H6" s="9" t="str">
        <f>IF(COUNTIF(Course[Course ID],Course[[#This Row],[Course ID]])&gt;1,"S","")</f>
        <v>S</v>
      </c>
      <c r="I6" s="8"/>
      <c r="J6" s="8"/>
      <c r="K6" s="8"/>
      <c r="L6" s="8"/>
      <c r="M6" s="8"/>
      <c r="N6" s="8"/>
      <c r="O6" s="8"/>
      <c r="P6" s="8"/>
      <c r="Q6" t="b">
        <v>1</v>
      </c>
      <c r="R6">
        <v>1</v>
      </c>
      <c r="S6" s="8" t="s">
        <v>11</v>
      </c>
      <c r="Z6"/>
      <c r="AA6"/>
      <c r="AB6"/>
    </row>
    <row r="7" spans="1:28" x14ac:dyDescent="0.3">
      <c r="A7" s="9" t="b">
        <f t="shared" si="0"/>
        <v>0</v>
      </c>
      <c r="B7" s="9" t="b">
        <f t="shared" si="1"/>
        <v>0</v>
      </c>
      <c r="C7" s="8" t="str">
        <f t="shared" si="2"/>
        <v>FIN200 200</v>
      </c>
      <c r="D7" s="13" t="s">
        <v>34</v>
      </c>
      <c r="E7" s="13">
        <v>200</v>
      </c>
      <c r="F7" s="14" t="s">
        <v>15</v>
      </c>
      <c r="G7" s="14"/>
      <c r="H7" s="9" t="str">
        <f>IF(COUNTIF(Course[Course ID],Course[[#This Row],[Course ID]])&gt;1,"S","")</f>
        <v>S</v>
      </c>
      <c r="I7" s="8"/>
      <c r="J7" s="8"/>
      <c r="K7" s="8"/>
      <c r="L7" s="8"/>
      <c r="M7" s="8"/>
      <c r="N7" s="8"/>
      <c r="O7" s="8"/>
      <c r="P7" s="8"/>
      <c r="Q7" t="b">
        <v>1</v>
      </c>
      <c r="R7">
        <v>14</v>
      </c>
      <c r="S7" s="8" t="s">
        <v>11</v>
      </c>
      <c r="Z7"/>
      <c r="AA7"/>
      <c r="AB7"/>
    </row>
    <row r="8" spans="1:28" s="3" customFormat="1" x14ac:dyDescent="0.3">
      <c r="A8" s="11" t="b">
        <f t="shared" si="0"/>
        <v>0</v>
      </c>
      <c r="B8" s="11" t="b">
        <f t="shared" si="1"/>
        <v>0</v>
      </c>
      <c r="C8" s="12" t="str">
        <f>CONCATENATE(D8," ",E8)</f>
        <v>FIN200 300</v>
      </c>
      <c r="D8" s="15" t="s">
        <v>34</v>
      </c>
      <c r="E8" s="15">
        <v>300</v>
      </c>
      <c r="F8" s="16" t="s">
        <v>15</v>
      </c>
      <c r="G8" s="16"/>
      <c r="H8" s="11" t="str">
        <f>IF(COUNTIF(Course[Course ID],Course[[#This Row],[Course ID]])&gt;1,"S","")</f>
        <v>S</v>
      </c>
      <c r="I8" s="12"/>
      <c r="J8" s="12"/>
      <c r="K8" s="12"/>
      <c r="L8" s="12"/>
      <c r="M8" s="12"/>
      <c r="N8" s="12"/>
      <c r="O8" s="12"/>
      <c r="P8" s="12"/>
      <c r="Q8" t="b">
        <v>1</v>
      </c>
      <c r="R8">
        <v>8</v>
      </c>
      <c r="S8" s="12" t="s">
        <v>11</v>
      </c>
      <c r="Z8"/>
      <c r="AA8"/>
      <c r="AB8"/>
    </row>
    <row r="9" spans="1:28" s="3" customFormat="1" x14ac:dyDescent="0.3">
      <c r="A9" s="39" t="b">
        <f>IF(F9="G", TRUE,FALSE)</f>
        <v>0</v>
      </c>
      <c r="B9" s="39" t="b">
        <f>IF(ISBLANK(G9),FALSE,TRUE)</f>
        <v>0</v>
      </c>
      <c r="C9" s="12" t="str">
        <f>CONCATENATE(D9," ",E9)</f>
        <v>FIN200 400</v>
      </c>
      <c r="D9" s="15" t="s">
        <v>34</v>
      </c>
      <c r="E9" s="15">
        <v>400</v>
      </c>
      <c r="F9" s="16" t="s">
        <v>15</v>
      </c>
      <c r="G9" s="16"/>
      <c r="H9" s="39" t="str">
        <f>IF(COUNTIF(Course[Course ID],Course[[#This Row],[Course ID]])&gt;1,"S","")</f>
        <v>S</v>
      </c>
      <c r="I9" s="12"/>
      <c r="J9" s="12"/>
      <c r="K9" s="12"/>
      <c r="L9" s="12"/>
      <c r="M9" s="12"/>
      <c r="N9" s="12"/>
      <c r="O9" s="12"/>
      <c r="P9" s="12"/>
      <c r="Q9" t="b">
        <v>1</v>
      </c>
      <c r="R9">
        <v>12</v>
      </c>
      <c r="S9" s="12" t="s">
        <v>11</v>
      </c>
      <c r="Z9"/>
      <c r="AA9"/>
      <c r="AB9"/>
    </row>
    <row r="10" spans="1:28" x14ac:dyDescent="0.3">
      <c r="A10" s="40" t="b">
        <f>IF(F10="G", TRUE,FALSE)</f>
        <v>0</v>
      </c>
      <c r="B10" s="40" t="b">
        <f>IF(ISBLANK(G10),FALSE,TRUE)</f>
        <v>1</v>
      </c>
      <c r="C10" s="8" t="str">
        <f>CONCATENATE(D10," ",E10)</f>
        <v>FIN300 100</v>
      </c>
      <c r="D10" s="13" t="s">
        <v>52</v>
      </c>
      <c r="E10" s="13">
        <v>100</v>
      </c>
      <c r="F10" s="14" t="s">
        <v>15</v>
      </c>
      <c r="G10" s="14" t="s">
        <v>33</v>
      </c>
      <c r="H10" s="40" t="str">
        <f>IF(COUNTIF(Course[Course ID],Course[[#This Row],[Course ID]])&gt;1,"S","")</f>
        <v>S</v>
      </c>
      <c r="I10" s="8"/>
      <c r="J10" s="8"/>
      <c r="K10" s="8"/>
      <c r="L10" s="8"/>
      <c r="M10" s="8"/>
      <c r="N10" s="8"/>
      <c r="O10" s="8"/>
      <c r="P10" s="8"/>
      <c r="Q10" t="b">
        <v>1</v>
      </c>
      <c r="R10">
        <v>7</v>
      </c>
      <c r="S10" s="8" t="s">
        <v>12</v>
      </c>
      <c r="Z10"/>
      <c r="AA10"/>
      <c r="AB10"/>
    </row>
    <row r="11" spans="1:28" s="3" customFormat="1" x14ac:dyDescent="0.3">
      <c r="A11" s="39" t="b">
        <f t="shared" ref="A11:A33" si="3">IF(F11="G", TRUE,FALSE)</f>
        <v>0</v>
      </c>
      <c r="B11" s="39" t="b">
        <f t="shared" ref="B11:B33" si="4">IF(ISBLANK(G11),FALSE,TRUE)</f>
        <v>1</v>
      </c>
      <c r="C11" s="12" t="str">
        <f t="shared" ref="C11:C33" si="5">CONCATENATE(D11," ",E11)</f>
        <v>FIN300 200</v>
      </c>
      <c r="D11" s="15" t="s">
        <v>52</v>
      </c>
      <c r="E11" s="15">
        <v>200</v>
      </c>
      <c r="F11" s="16" t="s">
        <v>15</v>
      </c>
      <c r="G11" s="16" t="s">
        <v>33</v>
      </c>
      <c r="H11" s="39" t="str">
        <f>IF(COUNTIF(Course[Course ID],Course[[#This Row],[Course ID]])&gt;1,"S","")</f>
        <v>S</v>
      </c>
      <c r="I11" s="12"/>
      <c r="J11" s="12"/>
      <c r="K11" s="12"/>
      <c r="L11" s="12"/>
      <c r="M11" s="12"/>
      <c r="N11" s="12"/>
      <c r="O11" s="12"/>
      <c r="P11" s="12"/>
      <c r="Q11" t="b">
        <v>1</v>
      </c>
      <c r="R11">
        <v>18</v>
      </c>
      <c r="S11" s="12" t="s">
        <v>12</v>
      </c>
      <c r="Z11"/>
      <c r="AA11"/>
      <c r="AB11"/>
    </row>
    <row r="12" spans="1:28" s="3" customFormat="1" x14ac:dyDescent="0.3">
      <c r="A12" s="39" t="b">
        <f t="shared" si="3"/>
        <v>0</v>
      </c>
      <c r="B12" s="39" t="b">
        <f t="shared" si="4"/>
        <v>1</v>
      </c>
      <c r="C12" s="12" t="str">
        <f t="shared" si="5"/>
        <v>FIN300 300</v>
      </c>
      <c r="D12" s="15" t="s">
        <v>52</v>
      </c>
      <c r="E12" s="15">
        <v>300</v>
      </c>
      <c r="F12" s="16" t="s">
        <v>15</v>
      </c>
      <c r="G12" s="16" t="s">
        <v>33</v>
      </c>
      <c r="H12" s="39" t="str">
        <f>IF(COUNTIF(Course[Course ID],Course[[#This Row],[Course ID]])&gt;1,"S","")</f>
        <v>S</v>
      </c>
      <c r="I12" s="12"/>
      <c r="J12" s="12"/>
      <c r="K12" s="12"/>
      <c r="L12" s="12"/>
      <c r="M12" s="12"/>
      <c r="N12" s="12"/>
      <c r="O12" s="12"/>
      <c r="P12" s="12"/>
      <c r="Q12" t="b">
        <v>1</v>
      </c>
      <c r="R12">
        <v>16</v>
      </c>
      <c r="S12" s="12" t="s">
        <v>12</v>
      </c>
      <c r="Z12"/>
      <c r="AA12"/>
      <c r="AB12"/>
    </row>
    <row r="13" spans="1:28" x14ac:dyDescent="0.3">
      <c r="A13" s="40" t="b">
        <f t="shared" si="3"/>
        <v>0</v>
      </c>
      <c r="B13" s="40" t="b">
        <f t="shared" si="4"/>
        <v>1</v>
      </c>
      <c r="C13" s="8" t="str">
        <f t="shared" si="5"/>
        <v>FIN300 400</v>
      </c>
      <c r="D13" s="13" t="s">
        <v>52</v>
      </c>
      <c r="E13" s="13">
        <v>400</v>
      </c>
      <c r="F13" s="14" t="s">
        <v>15</v>
      </c>
      <c r="G13" s="14" t="s">
        <v>33</v>
      </c>
      <c r="H13" s="40" t="str">
        <f>IF(COUNTIF(Course[Course ID],Course[[#This Row],[Course ID]])&gt;1,"S","")</f>
        <v>S</v>
      </c>
      <c r="I13" s="8"/>
      <c r="J13" s="8"/>
      <c r="K13" s="8"/>
      <c r="L13" s="8"/>
      <c r="M13" s="8"/>
      <c r="N13" s="8"/>
      <c r="O13" s="8"/>
      <c r="P13" s="8"/>
      <c r="Q13" t="b">
        <v>1</v>
      </c>
      <c r="R13">
        <v>20</v>
      </c>
      <c r="S13" s="8" t="s">
        <v>12</v>
      </c>
      <c r="Z13"/>
      <c r="AA13"/>
      <c r="AB13"/>
    </row>
    <row r="14" spans="1:28" x14ac:dyDescent="0.3">
      <c r="A14" s="40" t="b">
        <f t="shared" si="3"/>
        <v>0</v>
      </c>
      <c r="B14" s="40" t="b">
        <f t="shared" si="4"/>
        <v>0</v>
      </c>
      <c r="C14" s="8" t="str">
        <f t="shared" si="5"/>
        <v>FIN400 100</v>
      </c>
      <c r="D14" s="13" t="s">
        <v>90</v>
      </c>
      <c r="E14" s="13">
        <v>100</v>
      </c>
      <c r="F14" s="14" t="s">
        <v>15</v>
      </c>
      <c r="G14" s="14"/>
      <c r="H14" s="40" t="str">
        <f>IF(COUNTIF(Course[Course ID],Course[[#This Row],[Course ID]])&gt;1,"S","")</f>
        <v>S</v>
      </c>
      <c r="I14" s="8"/>
      <c r="J14" s="8"/>
      <c r="K14" s="8"/>
      <c r="L14" s="8"/>
      <c r="M14" s="8"/>
      <c r="N14" s="8"/>
      <c r="O14" s="8"/>
      <c r="P14" s="8"/>
      <c r="Q14" t="b">
        <v>1</v>
      </c>
      <c r="R14">
        <v>1</v>
      </c>
      <c r="S14" s="8" t="s">
        <v>93</v>
      </c>
      <c r="Z14"/>
      <c r="AA14"/>
      <c r="AB14"/>
    </row>
    <row r="15" spans="1:28" s="3" customFormat="1" x14ac:dyDescent="0.3">
      <c r="A15" s="39" t="b">
        <f t="shared" si="3"/>
        <v>0</v>
      </c>
      <c r="B15" s="39" t="b">
        <f t="shared" si="4"/>
        <v>0</v>
      </c>
      <c r="C15" s="12" t="str">
        <f t="shared" si="5"/>
        <v>FIN400 200</v>
      </c>
      <c r="D15" s="15" t="s">
        <v>90</v>
      </c>
      <c r="E15" s="15">
        <v>200</v>
      </c>
      <c r="F15" s="16" t="s">
        <v>15</v>
      </c>
      <c r="G15" s="16"/>
      <c r="H15" s="39" t="str">
        <f>IF(COUNTIF(Course[Course ID],Course[[#This Row],[Course ID]])&gt;1,"S","")</f>
        <v>S</v>
      </c>
      <c r="I15" s="12"/>
      <c r="J15" s="12"/>
      <c r="K15" s="12"/>
      <c r="L15" s="12"/>
      <c r="M15" s="12"/>
      <c r="N15" s="12"/>
      <c r="O15" s="12"/>
      <c r="P15" s="12"/>
      <c r="Q15" t="b">
        <v>1</v>
      </c>
      <c r="R15">
        <v>9</v>
      </c>
      <c r="S15" s="12" t="s">
        <v>93</v>
      </c>
      <c r="Z15"/>
      <c r="AA15"/>
      <c r="AB15"/>
    </row>
    <row r="16" spans="1:28" s="3" customFormat="1" x14ac:dyDescent="0.3">
      <c r="A16" s="39" t="b">
        <f t="shared" si="3"/>
        <v>0</v>
      </c>
      <c r="B16" s="39" t="b">
        <f t="shared" si="4"/>
        <v>0</v>
      </c>
      <c r="C16" s="12" t="str">
        <f t="shared" si="5"/>
        <v>FIN400 300</v>
      </c>
      <c r="D16" s="15" t="s">
        <v>90</v>
      </c>
      <c r="E16" s="15">
        <v>300</v>
      </c>
      <c r="F16" s="16" t="s">
        <v>15</v>
      </c>
      <c r="G16" s="16"/>
      <c r="H16" s="39" t="str">
        <f>IF(COUNTIF(Course[Course ID],Course[[#This Row],[Course ID]])&gt;1,"S","")</f>
        <v>S</v>
      </c>
      <c r="I16" s="12"/>
      <c r="J16" s="12"/>
      <c r="K16" s="12"/>
      <c r="L16" s="12"/>
      <c r="M16" s="12"/>
      <c r="N16" s="12"/>
      <c r="O16" s="12"/>
      <c r="P16" s="12"/>
      <c r="Q16" t="b">
        <v>1</v>
      </c>
      <c r="R16">
        <v>15</v>
      </c>
      <c r="S16" s="12" t="s">
        <v>93</v>
      </c>
      <c r="Z16"/>
      <c r="AA16"/>
      <c r="AB16"/>
    </row>
    <row r="17" spans="1:28" x14ac:dyDescent="0.3">
      <c r="A17" s="40" t="b">
        <f t="shared" si="3"/>
        <v>0</v>
      </c>
      <c r="B17" s="40" t="b">
        <f t="shared" si="4"/>
        <v>0</v>
      </c>
      <c r="C17" s="8" t="str">
        <f t="shared" si="5"/>
        <v>FIN400 400</v>
      </c>
      <c r="D17" s="13" t="s">
        <v>90</v>
      </c>
      <c r="E17" s="13">
        <v>400</v>
      </c>
      <c r="F17" s="14" t="s">
        <v>15</v>
      </c>
      <c r="G17" s="14"/>
      <c r="H17" s="40" t="str">
        <f>IF(COUNTIF(Course[Course ID],Course[[#This Row],[Course ID]])&gt;1,"S","")</f>
        <v>S</v>
      </c>
      <c r="I17" s="8"/>
      <c r="J17" s="8"/>
      <c r="K17" s="8"/>
      <c r="L17" s="8"/>
      <c r="M17" s="8"/>
      <c r="N17" s="8"/>
      <c r="O17" s="8"/>
      <c r="P17" s="8"/>
      <c r="Q17" t="b">
        <v>1</v>
      </c>
      <c r="R17">
        <v>8</v>
      </c>
      <c r="S17" s="8" t="s">
        <v>93</v>
      </c>
      <c r="Z17"/>
      <c r="AA17"/>
      <c r="AB17"/>
    </row>
    <row r="18" spans="1:28" x14ac:dyDescent="0.3">
      <c r="A18" s="40" t="b">
        <f t="shared" si="3"/>
        <v>0</v>
      </c>
      <c r="B18" s="40" t="b">
        <f t="shared" si="4"/>
        <v>1</v>
      </c>
      <c r="C18" s="8" t="str">
        <f t="shared" si="5"/>
        <v>FIN500 100</v>
      </c>
      <c r="D18" s="13" t="s">
        <v>92</v>
      </c>
      <c r="E18" s="13">
        <v>100</v>
      </c>
      <c r="F18" s="14" t="s">
        <v>15</v>
      </c>
      <c r="G18" s="14" t="s">
        <v>52</v>
      </c>
      <c r="H18" s="40" t="str">
        <f>IF(COUNTIF(Course[Course ID],Course[[#This Row],[Course ID]])&gt;1,"S","")</f>
        <v>S</v>
      </c>
      <c r="I18" s="8"/>
      <c r="J18" s="8"/>
      <c r="K18" s="8"/>
      <c r="L18" s="8"/>
      <c r="M18" s="8"/>
      <c r="N18" s="8"/>
      <c r="O18" s="8"/>
      <c r="P18" s="8"/>
      <c r="Q18" t="b">
        <v>1</v>
      </c>
      <c r="R18">
        <v>6</v>
      </c>
      <c r="S18" s="8" t="s">
        <v>117</v>
      </c>
      <c r="Z18"/>
      <c r="AA18"/>
      <c r="AB18"/>
    </row>
    <row r="19" spans="1:28" x14ac:dyDescent="0.3">
      <c r="A19" s="40" t="b">
        <f t="shared" si="3"/>
        <v>0</v>
      </c>
      <c r="B19" s="40" t="b">
        <f t="shared" si="4"/>
        <v>1</v>
      </c>
      <c r="C19" s="8" t="str">
        <f t="shared" si="5"/>
        <v>FIN500 200</v>
      </c>
      <c r="D19" s="13" t="s">
        <v>92</v>
      </c>
      <c r="E19" s="13">
        <v>200</v>
      </c>
      <c r="F19" s="14" t="s">
        <v>15</v>
      </c>
      <c r="G19" s="14" t="s">
        <v>52</v>
      </c>
      <c r="H19" s="40" t="str">
        <f>IF(COUNTIF(Course[Course ID],Course[[#This Row],[Course ID]])&gt;1,"S","")</f>
        <v>S</v>
      </c>
      <c r="I19" s="8"/>
      <c r="J19" s="8"/>
      <c r="K19" s="8"/>
      <c r="L19" s="8"/>
      <c r="M19" s="8"/>
      <c r="N19" s="8"/>
      <c r="O19" s="8"/>
      <c r="P19" s="8"/>
      <c r="Q19" t="b">
        <v>1</v>
      </c>
      <c r="R19">
        <v>12</v>
      </c>
      <c r="S19" s="8" t="s">
        <v>117</v>
      </c>
    </row>
    <row r="20" spans="1:28" x14ac:dyDescent="0.3">
      <c r="A20" s="40" t="b">
        <f t="shared" si="3"/>
        <v>0</v>
      </c>
      <c r="B20" s="40" t="b">
        <f t="shared" si="4"/>
        <v>1</v>
      </c>
      <c r="C20" s="8" t="str">
        <f t="shared" si="5"/>
        <v>FIN500 300</v>
      </c>
      <c r="D20" s="13" t="s">
        <v>92</v>
      </c>
      <c r="E20" s="13">
        <v>300</v>
      </c>
      <c r="F20" s="14" t="s">
        <v>15</v>
      </c>
      <c r="G20" s="14" t="s">
        <v>52</v>
      </c>
      <c r="H20" s="40" t="str">
        <f>IF(COUNTIF(Course[Course ID],Course[[#This Row],[Course ID]])&gt;1,"S","")</f>
        <v>S</v>
      </c>
      <c r="I20" s="8"/>
      <c r="J20" s="8"/>
      <c r="K20" s="8"/>
      <c r="L20" s="8"/>
      <c r="M20" s="8"/>
      <c r="N20" s="8"/>
      <c r="O20" s="8"/>
      <c r="P20" s="8"/>
      <c r="Q20" t="b">
        <v>1</v>
      </c>
      <c r="R20">
        <v>15</v>
      </c>
      <c r="S20" s="8" t="s">
        <v>117</v>
      </c>
    </row>
    <row r="21" spans="1:28" x14ac:dyDescent="0.3">
      <c r="A21" s="40" t="b">
        <f t="shared" si="3"/>
        <v>0</v>
      </c>
      <c r="B21" s="40" t="b">
        <f t="shared" si="4"/>
        <v>1</v>
      </c>
      <c r="C21" s="8" t="str">
        <f t="shared" si="5"/>
        <v>FIN500 400</v>
      </c>
      <c r="D21" s="13" t="s">
        <v>92</v>
      </c>
      <c r="E21" s="13">
        <v>400</v>
      </c>
      <c r="F21" s="14" t="s">
        <v>15</v>
      </c>
      <c r="G21" s="14" t="s">
        <v>52</v>
      </c>
      <c r="H21" s="40" t="str">
        <f>IF(COUNTIF(Course[Course ID],Course[[#This Row],[Course ID]])&gt;1,"S","")</f>
        <v>S</v>
      </c>
      <c r="I21" s="8"/>
      <c r="J21" s="8"/>
      <c r="K21" s="8"/>
      <c r="L21" s="8"/>
      <c r="M21" s="8"/>
      <c r="N21" s="8"/>
      <c r="O21" s="8"/>
      <c r="P21" s="8"/>
      <c r="Q21" t="b">
        <v>1</v>
      </c>
      <c r="R21">
        <v>16</v>
      </c>
      <c r="S21" s="8" t="s">
        <v>117</v>
      </c>
    </row>
    <row r="22" spans="1:28" x14ac:dyDescent="0.3">
      <c r="A22" s="40" t="b">
        <f t="shared" si="3"/>
        <v>1</v>
      </c>
      <c r="B22" s="40" t="b">
        <f t="shared" si="4"/>
        <v>0</v>
      </c>
      <c r="C22" s="8" t="str">
        <f t="shared" si="5"/>
        <v>CS100 100</v>
      </c>
      <c r="D22" s="13" t="s">
        <v>95</v>
      </c>
      <c r="E22" s="13">
        <v>100</v>
      </c>
      <c r="F22" s="14" t="s">
        <v>16</v>
      </c>
      <c r="G22" s="14"/>
      <c r="H22" s="40" t="str">
        <f>IF(COUNTIF(Course[Course ID],Course[[#This Row],[Course ID]])&gt;1,"S","")</f>
        <v/>
      </c>
      <c r="I22" s="8"/>
      <c r="J22" s="8"/>
      <c r="K22" s="8"/>
      <c r="L22" s="8"/>
      <c r="M22" s="8"/>
      <c r="N22" s="8"/>
      <c r="O22" s="8"/>
      <c r="P22" s="8"/>
      <c r="Q22" t="b">
        <v>1</v>
      </c>
      <c r="R22">
        <v>21</v>
      </c>
      <c r="S22" s="8" t="s">
        <v>121</v>
      </c>
    </row>
    <row r="23" spans="1:28" x14ac:dyDescent="0.3">
      <c r="A23" s="40" t="b">
        <f t="shared" si="3"/>
        <v>1</v>
      </c>
      <c r="B23" s="40" t="b">
        <f t="shared" si="4"/>
        <v>0</v>
      </c>
      <c r="C23" s="8" t="str">
        <f t="shared" si="5"/>
        <v>CS200 100</v>
      </c>
      <c r="D23" s="13" t="s">
        <v>96</v>
      </c>
      <c r="E23" s="13">
        <v>100</v>
      </c>
      <c r="F23" s="14" t="s">
        <v>16</v>
      </c>
      <c r="G23" s="14"/>
      <c r="H23" s="40" t="str">
        <f>IF(COUNTIF(Course[Course ID],Course[[#This Row],[Course ID]])&gt;1,"S","")</f>
        <v/>
      </c>
      <c r="I23" s="8"/>
      <c r="J23" s="8"/>
      <c r="K23" s="8"/>
      <c r="L23" s="8"/>
      <c r="M23" s="8"/>
      <c r="N23" s="8"/>
      <c r="O23" s="8"/>
      <c r="P23" s="8"/>
      <c r="Q23" t="b">
        <v>1</v>
      </c>
      <c r="R23">
        <v>21</v>
      </c>
      <c r="S23" s="8" t="s">
        <v>121</v>
      </c>
    </row>
    <row r="24" spans="1:28" x14ac:dyDescent="0.3">
      <c r="A24" s="40" t="b">
        <f t="shared" si="3"/>
        <v>1</v>
      </c>
      <c r="B24" s="40" t="b">
        <f t="shared" si="4"/>
        <v>0</v>
      </c>
      <c r="C24" s="8" t="str">
        <f t="shared" si="5"/>
        <v>CS300 100</v>
      </c>
      <c r="D24" s="13" t="s">
        <v>97</v>
      </c>
      <c r="E24" s="13">
        <v>100</v>
      </c>
      <c r="F24" s="14" t="s">
        <v>16</v>
      </c>
      <c r="G24" s="14"/>
      <c r="H24" s="40" t="str">
        <f>IF(COUNTIF(Course[Course ID],Course[[#This Row],[Course ID]])&gt;1,"S","")</f>
        <v/>
      </c>
      <c r="I24" s="8"/>
      <c r="J24" s="8"/>
      <c r="K24" s="8"/>
      <c r="L24" s="8"/>
      <c r="M24" s="8"/>
      <c r="N24" s="8"/>
      <c r="O24" s="8"/>
      <c r="P24" s="8"/>
      <c r="Q24" t="b">
        <v>1</v>
      </c>
      <c r="R24">
        <v>21</v>
      </c>
      <c r="S24" s="8" t="s">
        <v>121</v>
      </c>
    </row>
    <row r="25" spans="1:28" x14ac:dyDescent="0.3">
      <c r="A25" s="40" t="b">
        <f t="shared" si="3"/>
        <v>1</v>
      </c>
      <c r="B25" s="40" t="b">
        <f t="shared" si="4"/>
        <v>0</v>
      </c>
      <c r="C25" s="8" t="str">
        <f t="shared" si="5"/>
        <v>CS400 100</v>
      </c>
      <c r="D25" s="13" t="s">
        <v>98</v>
      </c>
      <c r="E25" s="13">
        <v>100</v>
      </c>
      <c r="F25" s="14" t="s">
        <v>16</v>
      </c>
      <c r="G25" s="14"/>
      <c r="H25" s="40" t="str">
        <f>IF(COUNTIF(Course[Course ID],Course[[#This Row],[Course ID]])&gt;1,"S","")</f>
        <v/>
      </c>
      <c r="I25" s="8"/>
      <c r="J25" s="8"/>
      <c r="K25" s="8"/>
      <c r="L25" s="8"/>
      <c r="M25" s="8"/>
      <c r="N25" s="8"/>
      <c r="O25" s="8"/>
      <c r="P25" s="8"/>
      <c r="Q25" t="b">
        <v>1</v>
      </c>
      <c r="R25">
        <v>21</v>
      </c>
      <c r="S25" s="8" t="s">
        <v>121</v>
      </c>
    </row>
    <row r="26" spans="1:28" x14ac:dyDescent="0.3">
      <c r="A26" s="40" t="b">
        <f t="shared" si="3"/>
        <v>1</v>
      </c>
      <c r="B26" s="40" t="b">
        <f t="shared" si="4"/>
        <v>0</v>
      </c>
      <c r="C26" s="8" t="str">
        <f t="shared" si="5"/>
        <v>CS500 100</v>
      </c>
      <c r="D26" s="13" t="s">
        <v>99</v>
      </c>
      <c r="E26" s="13">
        <v>100</v>
      </c>
      <c r="F26" s="14" t="s">
        <v>16</v>
      </c>
      <c r="G26" s="14"/>
      <c r="H26" s="40" t="str">
        <f>IF(COUNTIF(Course[Course ID],Course[[#This Row],[Course ID]])&gt;1,"S","")</f>
        <v/>
      </c>
      <c r="I26" s="8"/>
      <c r="J26" s="8"/>
      <c r="K26" s="8"/>
      <c r="L26" s="8"/>
      <c r="M26" s="8"/>
      <c r="N26" s="8"/>
      <c r="O26" s="8"/>
      <c r="P26" s="8"/>
      <c r="Q26" t="b">
        <v>1</v>
      </c>
      <c r="R26">
        <v>21</v>
      </c>
      <c r="S26" s="8" t="s">
        <v>126</v>
      </c>
    </row>
    <row r="27" spans="1:28" x14ac:dyDescent="0.3">
      <c r="A27" s="40" t="b">
        <f t="shared" si="3"/>
        <v>1</v>
      </c>
      <c r="B27" s="40" t="b">
        <f t="shared" si="4"/>
        <v>0</v>
      </c>
      <c r="C27" s="8" t="str">
        <f t="shared" si="5"/>
        <v>CS600 100</v>
      </c>
      <c r="D27" s="13" t="s">
        <v>100</v>
      </c>
      <c r="E27" s="13">
        <v>100</v>
      </c>
      <c r="F27" s="14" t="s">
        <v>16</v>
      </c>
      <c r="G27" s="14"/>
      <c r="H27" s="40" t="str">
        <f>IF(COUNTIF(Course[Course ID],Course[[#This Row],[Course ID]])&gt;1,"S","")</f>
        <v/>
      </c>
      <c r="I27" s="8"/>
      <c r="J27" s="8"/>
      <c r="K27" s="8"/>
      <c r="L27" s="8"/>
      <c r="M27" s="8"/>
      <c r="N27" s="8"/>
      <c r="O27" s="8"/>
      <c r="P27" s="8"/>
      <c r="Q27" t="b">
        <v>1</v>
      </c>
      <c r="R27">
        <v>25</v>
      </c>
      <c r="S27" s="8" t="s">
        <v>126</v>
      </c>
    </row>
    <row r="28" spans="1:28" x14ac:dyDescent="0.3">
      <c r="A28" s="40" t="b">
        <f t="shared" si="3"/>
        <v>1</v>
      </c>
      <c r="B28" s="40" t="b">
        <f t="shared" si="4"/>
        <v>1</v>
      </c>
      <c r="C28" s="8" t="str">
        <f t="shared" si="5"/>
        <v>CS700 100</v>
      </c>
      <c r="D28" s="13" t="s">
        <v>101</v>
      </c>
      <c r="E28" s="13">
        <v>100</v>
      </c>
      <c r="F28" s="14" t="s">
        <v>16</v>
      </c>
      <c r="G28" s="14" t="s">
        <v>100</v>
      </c>
      <c r="H28" s="40" t="str">
        <f>IF(COUNTIF(Course[Course ID],Course[[#This Row],[Course ID]])&gt;1,"S","")</f>
        <v/>
      </c>
      <c r="I28" s="8"/>
      <c r="J28" s="8"/>
      <c r="K28" s="8"/>
      <c r="L28" s="8"/>
      <c r="M28" s="8"/>
      <c r="N28" s="8"/>
      <c r="O28" s="8"/>
      <c r="P28" s="8"/>
      <c r="Q28" t="b">
        <v>1</v>
      </c>
      <c r="R28">
        <v>24</v>
      </c>
      <c r="S28" s="8" t="s">
        <v>126</v>
      </c>
    </row>
    <row r="29" spans="1:28" x14ac:dyDescent="0.3">
      <c r="A29" s="40" t="b">
        <f t="shared" si="3"/>
        <v>1</v>
      </c>
      <c r="B29" s="40" t="b">
        <f t="shared" si="4"/>
        <v>1</v>
      </c>
      <c r="C29" s="8" t="str">
        <f t="shared" si="5"/>
        <v>CS800 100</v>
      </c>
      <c r="D29" s="13" t="s">
        <v>102</v>
      </c>
      <c r="E29" s="13">
        <v>100</v>
      </c>
      <c r="F29" s="14" t="s">
        <v>16</v>
      </c>
      <c r="G29" s="14" t="s">
        <v>100</v>
      </c>
      <c r="H29" s="40" t="str">
        <f>IF(COUNTIF(Course[Course ID],Course[[#This Row],[Course ID]])&gt;1,"S","")</f>
        <v/>
      </c>
      <c r="I29" s="8"/>
      <c r="J29" s="8"/>
      <c r="K29" s="8"/>
      <c r="L29" s="8"/>
      <c r="M29" s="8"/>
      <c r="N29" s="8"/>
      <c r="O29" s="8"/>
      <c r="P29" s="8"/>
      <c r="Q29" t="b">
        <v>1</v>
      </c>
      <c r="R29">
        <v>25</v>
      </c>
      <c r="S29" s="8" t="s">
        <v>126</v>
      </c>
    </row>
    <row r="30" spans="1:28" x14ac:dyDescent="0.3">
      <c r="A30" s="40" t="b">
        <f t="shared" si="3"/>
        <v>1</v>
      </c>
      <c r="B30" s="40" t="b">
        <f t="shared" si="4"/>
        <v>1</v>
      </c>
      <c r="C30" s="8" t="str">
        <f t="shared" si="5"/>
        <v>CS900 100</v>
      </c>
      <c r="D30" s="13" t="s">
        <v>103</v>
      </c>
      <c r="E30" s="13">
        <v>100</v>
      </c>
      <c r="F30" s="14" t="s">
        <v>16</v>
      </c>
      <c r="G30" s="14" t="s">
        <v>100</v>
      </c>
      <c r="H30" s="40" t="str">
        <f>IF(COUNTIF(Course[Course ID],Course[[#This Row],[Course ID]])&gt;1,"S","")</f>
        <v/>
      </c>
      <c r="I30" s="8"/>
      <c r="J30" s="8"/>
      <c r="K30" s="8"/>
      <c r="L30" s="8"/>
      <c r="M30" s="8"/>
      <c r="N30" s="8"/>
      <c r="O30" s="8"/>
      <c r="P30" s="8"/>
      <c r="Q30" t="b">
        <v>1</v>
      </c>
      <c r="R30">
        <v>25</v>
      </c>
      <c r="S30" s="8" t="s">
        <v>131</v>
      </c>
    </row>
    <row r="31" spans="1:28" x14ac:dyDescent="0.3">
      <c r="A31" s="40" t="b">
        <f t="shared" si="3"/>
        <v>1</v>
      </c>
      <c r="B31" s="40" t="b">
        <f t="shared" si="4"/>
        <v>1</v>
      </c>
      <c r="C31" s="8" t="str">
        <f t="shared" si="5"/>
        <v>CS901 100</v>
      </c>
      <c r="D31" s="13" t="s">
        <v>104</v>
      </c>
      <c r="E31" s="13">
        <v>100</v>
      </c>
      <c r="F31" s="14" t="s">
        <v>16</v>
      </c>
      <c r="G31" s="14" t="s">
        <v>100</v>
      </c>
      <c r="H31" s="40" t="str">
        <f>IF(COUNTIF(Course[Course ID],Course[[#This Row],[Course ID]])&gt;1,"S","")</f>
        <v/>
      </c>
      <c r="I31" s="8"/>
      <c r="J31" s="8"/>
      <c r="K31" s="8"/>
      <c r="L31" s="8"/>
      <c r="M31" s="8"/>
      <c r="N31" s="8"/>
      <c r="O31" s="8"/>
      <c r="P31" s="8"/>
      <c r="Q31" t="b">
        <v>1</v>
      </c>
      <c r="R31">
        <v>22</v>
      </c>
      <c r="S31" s="8" t="s">
        <v>131</v>
      </c>
    </row>
    <row r="32" spans="1:28" x14ac:dyDescent="0.3">
      <c r="A32" s="40" t="b">
        <f t="shared" si="3"/>
        <v>1</v>
      </c>
      <c r="B32" s="40" t="b">
        <f t="shared" si="4"/>
        <v>0</v>
      </c>
      <c r="C32" s="8" t="str">
        <f t="shared" si="5"/>
        <v>CS902 100</v>
      </c>
      <c r="D32" s="13" t="s">
        <v>105</v>
      </c>
      <c r="E32" s="13">
        <v>100</v>
      </c>
      <c r="F32" s="14" t="s">
        <v>16</v>
      </c>
      <c r="G32" s="14"/>
      <c r="H32" s="40" t="str">
        <f>IF(COUNTIF(Course[Course ID],Course[[#This Row],[Course ID]])&gt;1,"S","")</f>
        <v/>
      </c>
      <c r="I32" s="8"/>
      <c r="J32" s="8"/>
      <c r="K32" s="8"/>
      <c r="L32" s="8"/>
      <c r="M32" s="8"/>
      <c r="N32" s="8"/>
      <c r="O32" s="8"/>
      <c r="P32" s="8"/>
      <c r="Q32" t="b">
        <v>1</v>
      </c>
      <c r="R32">
        <v>21</v>
      </c>
      <c r="S32" s="8" t="s">
        <v>131</v>
      </c>
    </row>
    <row r="33" spans="1:19" x14ac:dyDescent="0.3">
      <c r="A33" s="40" t="b">
        <f t="shared" si="3"/>
        <v>1</v>
      </c>
      <c r="B33" s="40" t="b">
        <f t="shared" si="4"/>
        <v>0</v>
      </c>
      <c r="C33" s="8" t="str">
        <f t="shared" si="5"/>
        <v>CS903 100</v>
      </c>
      <c r="D33" s="13" t="s">
        <v>106</v>
      </c>
      <c r="E33" s="13">
        <v>100</v>
      </c>
      <c r="F33" s="14" t="s">
        <v>16</v>
      </c>
      <c r="G33" s="14"/>
      <c r="H33" s="40" t="str">
        <f>IF(COUNTIF(Course[Course ID],Course[[#This Row],[Course ID]])&gt;1,"S","")</f>
        <v/>
      </c>
      <c r="I33" s="8"/>
      <c r="J33" s="8"/>
      <c r="K33" s="8"/>
      <c r="L33" s="8"/>
      <c r="M33" s="8"/>
      <c r="N33" s="8"/>
      <c r="O33" s="8"/>
      <c r="P33" s="8"/>
      <c r="Q33" t="b">
        <v>1</v>
      </c>
      <c r="R33">
        <v>21</v>
      </c>
      <c r="S33" s="8" t="s">
        <v>131</v>
      </c>
    </row>
    <row r="34" spans="1:19" x14ac:dyDescent="0.3">
      <c r="A34" s="40" t="b">
        <f>IF(F34="G", TRUE,FALSE)</f>
        <v>0</v>
      </c>
      <c r="B34" s="40" t="b">
        <f>IF(ISBLANK(G34),FALSE,TRUE)</f>
        <v>0</v>
      </c>
      <c r="C34" s="8" t="str">
        <f>CONCATENATE(D34," ",E34)</f>
        <v xml:space="preserve">ACCT100 </v>
      </c>
      <c r="D34" s="13" t="s">
        <v>136</v>
      </c>
      <c r="E34" s="13"/>
      <c r="F34" s="14" t="s">
        <v>15</v>
      </c>
      <c r="G34" s="14"/>
      <c r="H34" s="40" t="str">
        <f>IF(COUNTIF(Course[Course ID],Course[[#This Row],[Course ID]])&gt;1,"S","")</f>
        <v/>
      </c>
      <c r="I34" s="8"/>
      <c r="J34" s="8"/>
      <c r="K34" s="8"/>
      <c r="L34" s="8"/>
      <c r="M34" s="8"/>
      <c r="N34" s="8"/>
      <c r="O34" s="8"/>
      <c r="P34" s="8"/>
      <c r="Q34" t="b">
        <v>1</v>
      </c>
      <c r="R34">
        <v>1</v>
      </c>
      <c r="S34" s="8" t="s">
        <v>203</v>
      </c>
    </row>
    <row r="35" spans="1:19" x14ac:dyDescent="0.3">
      <c r="A35" s="40" t="b">
        <f t="shared" ref="A35:A66" si="6">IF(F35="G", TRUE,FALSE)</f>
        <v>0</v>
      </c>
      <c r="B35" s="40" t="b">
        <f t="shared" ref="B35:B66" si="7">IF(ISBLANK(G35),FALSE,TRUE)</f>
        <v>0</v>
      </c>
      <c r="C35" s="8" t="str">
        <f t="shared" ref="C35:C66" si="8">CONCATENATE(D35," ",E35)</f>
        <v xml:space="preserve">ACCT101 </v>
      </c>
      <c r="D35" s="13" t="s">
        <v>137</v>
      </c>
      <c r="E35" s="13"/>
      <c r="F35" s="14" t="s">
        <v>15</v>
      </c>
      <c r="G35" s="14"/>
      <c r="H35" s="40" t="str">
        <f>IF(COUNTIF(Course[Course ID],Course[[#This Row],[Course ID]])&gt;1,"S","")</f>
        <v/>
      </c>
      <c r="I35" s="8"/>
      <c r="J35" s="8"/>
      <c r="K35" s="8"/>
      <c r="L35" s="8"/>
      <c r="M35" s="8"/>
      <c r="N35" s="8"/>
      <c r="O35" s="8"/>
      <c r="P35" s="8"/>
      <c r="Q35" t="b">
        <v>1</v>
      </c>
      <c r="R35">
        <v>1</v>
      </c>
      <c r="S35" s="8" t="s">
        <v>203</v>
      </c>
    </row>
    <row r="36" spans="1:19" x14ac:dyDescent="0.3">
      <c r="A36" s="40" t="b">
        <f t="shared" si="6"/>
        <v>0</v>
      </c>
      <c r="B36" s="40" t="b">
        <f t="shared" si="7"/>
        <v>0</v>
      </c>
      <c r="C36" s="8" t="str">
        <f t="shared" si="8"/>
        <v xml:space="preserve">ACCT102 </v>
      </c>
      <c r="D36" s="13" t="s">
        <v>138</v>
      </c>
      <c r="E36" s="13"/>
      <c r="F36" s="14" t="s">
        <v>15</v>
      </c>
      <c r="G36" s="14"/>
      <c r="H36" s="40" t="str">
        <f>IF(COUNTIF(Course[Course ID],Course[[#This Row],[Course ID]])&gt;1,"S","")</f>
        <v/>
      </c>
      <c r="I36" s="8"/>
      <c r="J36" s="8"/>
      <c r="K36" s="8"/>
      <c r="L36" s="8"/>
      <c r="M36" s="8"/>
      <c r="N36" s="8"/>
      <c r="O36" s="8"/>
      <c r="P36" s="8"/>
      <c r="Q36" t="b">
        <v>1</v>
      </c>
      <c r="R36">
        <v>1</v>
      </c>
      <c r="S36" s="8" t="s">
        <v>203</v>
      </c>
    </row>
    <row r="37" spans="1:19" x14ac:dyDescent="0.3">
      <c r="A37" s="40" t="b">
        <f t="shared" si="6"/>
        <v>0</v>
      </c>
      <c r="B37" s="40" t="b">
        <f t="shared" si="7"/>
        <v>0</v>
      </c>
      <c r="C37" s="8" t="str">
        <f t="shared" si="8"/>
        <v xml:space="preserve">ACCT103 </v>
      </c>
      <c r="D37" s="13" t="s">
        <v>139</v>
      </c>
      <c r="E37" s="13"/>
      <c r="F37" s="14" t="s">
        <v>15</v>
      </c>
      <c r="G37" s="14"/>
      <c r="H37" s="40" t="str">
        <f>IF(COUNTIF(Course[Course ID],Course[[#This Row],[Course ID]])&gt;1,"S","")</f>
        <v/>
      </c>
      <c r="I37" s="8"/>
      <c r="J37" s="8"/>
      <c r="K37" s="8"/>
      <c r="L37" s="8"/>
      <c r="M37" s="8"/>
      <c r="N37" s="8"/>
      <c r="O37" s="8"/>
      <c r="P37" s="8"/>
      <c r="Q37" t="b">
        <v>1</v>
      </c>
      <c r="R37">
        <v>2</v>
      </c>
      <c r="S37" s="8" t="s">
        <v>203</v>
      </c>
    </row>
    <row r="38" spans="1:19" x14ac:dyDescent="0.3">
      <c r="A38" s="40" t="b">
        <f t="shared" si="6"/>
        <v>0</v>
      </c>
      <c r="B38" s="40" t="b">
        <f t="shared" si="7"/>
        <v>0</v>
      </c>
      <c r="C38" s="8" t="str">
        <f t="shared" si="8"/>
        <v xml:space="preserve">ACCT104 </v>
      </c>
      <c r="D38" s="13" t="s">
        <v>140</v>
      </c>
      <c r="E38" s="13"/>
      <c r="F38" s="14" t="s">
        <v>15</v>
      </c>
      <c r="G38" s="14"/>
      <c r="H38" s="40" t="str">
        <f>IF(COUNTIF(Course[Course ID],Course[[#This Row],[Course ID]])&gt;1,"S","")</f>
        <v/>
      </c>
      <c r="I38" s="8"/>
      <c r="J38" s="8"/>
      <c r="K38" s="8"/>
      <c r="L38" s="8"/>
      <c r="M38" s="8"/>
      <c r="N38" s="8"/>
      <c r="O38" s="8"/>
      <c r="P38" s="8"/>
      <c r="Q38" t="b">
        <v>1</v>
      </c>
      <c r="R38">
        <v>2</v>
      </c>
      <c r="S38" s="8" t="s">
        <v>203</v>
      </c>
    </row>
    <row r="39" spans="1:19" x14ac:dyDescent="0.3">
      <c r="A39" s="40" t="b">
        <f t="shared" si="6"/>
        <v>0</v>
      </c>
      <c r="B39" s="40" t="b">
        <f t="shared" si="7"/>
        <v>0</v>
      </c>
      <c r="C39" s="8" t="str">
        <f t="shared" si="8"/>
        <v xml:space="preserve">ACCT105 </v>
      </c>
      <c r="D39" s="13" t="s">
        <v>141</v>
      </c>
      <c r="E39" s="13"/>
      <c r="F39" s="14" t="s">
        <v>15</v>
      </c>
      <c r="G39" s="14"/>
      <c r="H39" s="40" t="str">
        <f>IF(COUNTIF(Course[Course ID],Course[[#This Row],[Course ID]])&gt;1,"S","")</f>
        <v/>
      </c>
      <c r="I39" s="8"/>
      <c r="J39" s="8"/>
      <c r="K39" s="8"/>
      <c r="L39" s="8"/>
      <c r="M39" s="8"/>
      <c r="N39" s="8"/>
      <c r="O39" s="8"/>
      <c r="P39" s="8"/>
      <c r="Q39" t="b">
        <v>1</v>
      </c>
      <c r="R39">
        <v>2</v>
      </c>
      <c r="S39" s="8" t="s">
        <v>203</v>
      </c>
    </row>
    <row r="40" spans="1:19" x14ac:dyDescent="0.3">
      <c r="A40" s="40" t="b">
        <f t="shared" si="6"/>
        <v>0</v>
      </c>
      <c r="B40" s="40" t="b">
        <f t="shared" si="7"/>
        <v>0</v>
      </c>
      <c r="C40" s="8" t="str">
        <f t="shared" si="8"/>
        <v xml:space="preserve">ACCT106 </v>
      </c>
      <c r="D40" s="13" t="s">
        <v>142</v>
      </c>
      <c r="E40" s="13"/>
      <c r="F40" s="14" t="s">
        <v>15</v>
      </c>
      <c r="G40" s="14"/>
      <c r="H40" s="40" t="str">
        <f>IF(COUNTIF(Course[Course ID],Course[[#This Row],[Course ID]])&gt;1,"S","")</f>
        <v/>
      </c>
      <c r="I40" s="8"/>
      <c r="J40" s="8"/>
      <c r="K40" s="8"/>
      <c r="L40" s="8"/>
      <c r="M40" s="8"/>
      <c r="N40" s="8"/>
      <c r="O40" s="8"/>
      <c r="P40" s="8"/>
      <c r="Q40" t="b">
        <v>1</v>
      </c>
      <c r="R40">
        <v>2</v>
      </c>
      <c r="S40" s="8" t="s">
        <v>203</v>
      </c>
    </row>
    <row r="41" spans="1:19" x14ac:dyDescent="0.3">
      <c r="A41" s="40" t="b">
        <f t="shared" si="6"/>
        <v>0</v>
      </c>
      <c r="B41" s="40" t="b">
        <f t="shared" si="7"/>
        <v>0</v>
      </c>
      <c r="C41" s="8" t="str">
        <f t="shared" si="8"/>
        <v xml:space="preserve">ACCT107 </v>
      </c>
      <c r="D41" s="13" t="s">
        <v>143</v>
      </c>
      <c r="E41" s="13"/>
      <c r="F41" s="14" t="s">
        <v>15</v>
      </c>
      <c r="G41" s="14"/>
      <c r="H41" s="40" t="str">
        <f>IF(COUNTIF(Course[Course ID],Course[[#This Row],[Course ID]])&gt;1,"S","")</f>
        <v/>
      </c>
      <c r="I41" s="8"/>
      <c r="J41" s="8"/>
      <c r="K41" s="8"/>
      <c r="L41" s="8"/>
      <c r="M41" s="8"/>
      <c r="N41" s="8"/>
      <c r="O41" s="8"/>
      <c r="P41" s="8"/>
      <c r="Q41" t="b">
        <v>1</v>
      </c>
      <c r="R41">
        <v>2</v>
      </c>
      <c r="S41" s="8" t="s">
        <v>203</v>
      </c>
    </row>
    <row r="42" spans="1:19" x14ac:dyDescent="0.3">
      <c r="A42" s="40" t="b">
        <f t="shared" si="6"/>
        <v>0</v>
      </c>
      <c r="B42" s="40" t="b">
        <f t="shared" si="7"/>
        <v>0</v>
      </c>
      <c r="C42" s="8" t="str">
        <f t="shared" si="8"/>
        <v xml:space="preserve">ACCT108 </v>
      </c>
      <c r="D42" s="13" t="s">
        <v>144</v>
      </c>
      <c r="E42" s="13"/>
      <c r="F42" s="14" t="s">
        <v>15</v>
      </c>
      <c r="G42" s="14"/>
      <c r="H42" s="40" t="str">
        <f>IF(COUNTIF(Course[Course ID],Course[[#This Row],[Course ID]])&gt;1,"S","")</f>
        <v/>
      </c>
      <c r="I42" s="8"/>
      <c r="J42" s="8"/>
      <c r="K42" s="8"/>
      <c r="L42" s="8"/>
      <c r="M42" s="8"/>
      <c r="N42" s="8"/>
      <c r="O42" s="8"/>
      <c r="P42" s="8"/>
      <c r="Q42" t="b">
        <v>1</v>
      </c>
      <c r="R42">
        <v>3</v>
      </c>
      <c r="S42" s="8" t="s">
        <v>203</v>
      </c>
    </row>
    <row r="43" spans="1:19" x14ac:dyDescent="0.3">
      <c r="A43" s="40" t="b">
        <f t="shared" si="6"/>
        <v>0</v>
      </c>
      <c r="B43" s="40" t="b">
        <f t="shared" si="7"/>
        <v>0</v>
      </c>
      <c r="C43" s="8" t="str">
        <f t="shared" si="8"/>
        <v xml:space="preserve">ACCT109 </v>
      </c>
      <c r="D43" s="13" t="s">
        <v>145</v>
      </c>
      <c r="E43" s="13"/>
      <c r="F43" s="14" t="s">
        <v>15</v>
      </c>
      <c r="G43" s="14"/>
      <c r="H43" s="40" t="str">
        <f>IF(COUNTIF(Course[Course ID],Course[[#This Row],[Course ID]])&gt;1,"S","")</f>
        <v/>
      </c>
      <c r="I43" s="8"/>
      <c r="J43" s="8"/>
      <c r="K43" s="8"/>
      <c r="L43" s="8"/>
      <c r="M43" s="8"/>
      <c r="N43" s="8"/>
      <c r="O43" s="8"/>
      <c r="P43" s="8"/>
      <c r="Q43" t="b">
        <v>1</v>
      </c>
      <c r="R43">
        <v>3</v>
      </c>
      <c r="S43" s="8" t="s">
        <v>203</v>
      </c>
    </row>
    <row r="44" spans="1:19" x14ac:dyDescent="0.3">
      <c r="A44" s="40" t="b">
        <f t="shared" si="6"/>
        <v>0</v>
      </c>
      <c r="B44" s="40" t="b">
        <f t="shared" si="7"/>
        <v>0</v>
      </c>
      <c r="C44" s="8" t="str">
        <f t="shared" si="8"/>
        <v xml:space="preserve">ACCT110 </v>
      </c>
      <c r="D44" s="13" t="s">
        <v>146</v>
      </c>
      <c r="E44" s="13"/>
      <c r="F44" s="14" t="s">
        <v>15</v>
      </c>
      <c r="G44" s="14"/>
      <c r="H44" s="40" t="str">
        <f>IF(COUNTIF(Course[Course ID],Course[[#This Row],[Course ID]])&gt;1,"S","")</f>
        <v/>
      </c>
      <c r="I44" s="8"/>
      <c r="J44" s="8"/>
      <c r="K44" s="8"/>
      <c r="L44" s="8"/>
      <c r="M44" s="8"/>
      <c r="N44" s="8"/>
      <c r="O44" s="8"/>
      <c r="P44" s="8"/>
      <c r="Q44" t="b">
        <v>1</v>
      </c>
      <c r="R44">
        <v>3</v>
      </c>
      <c r="S44" s="8" t="s">
        <v>203</v>
      </c>
    </row>
    <row r="45" spans="1:19" x14ac:dyDescent="0.3">
      <c r="A45" s="40" t="b">
        <f t="shared" si="6"/>
        <v>0</v>
      </c>
      <c r="B45" s="40" t="b">
        <f t="shared" si="7"/>
        <v>0</v>
      </c>
      <c r="C45" s="8" t="str">
        <f t="shared" si="8"/>
        <v xml:space="preserve">ACCT111 </v>
      </c>
      <c r="D45" s="13" t="s">
        <v>147</v>
      </c>
      <c r="E45" s="13"/>
      <c r="F45" s="14" t="s">
        <v>15</v>
      </c>
      <c r="G45" s="14"/>
      <c r="H45" s="40" t="str">
        <f>IF(COUNTIF(Course[Course ID],Course[[#This Row],[Course ID]])&gt;1,"S","")</f>
        <v/>
      </c>
      <c r="I45" s="8"/>
      <c r="J45" s="8"/>
      <c r="K45" s="8"/>
      <c r="L45" s="8"/>
      <c r="M45" s="8"/>
      <c r="N45" s="8"/>
      <c r="O45" s="8"/>
      <c r="P45" s="8"/>
      <c r="Q45" t="b">
        <v>1</v>
      </c>
      <c r="R45">
        <v>3</v>
      </c>
      <c r="S45" s="8" t="s">
        <v>203</v>
      </c>
    </row>
    <row r="46" spans="1:19" x14ac:dyDescent="0.3">
      <c r="A46" s="40" t="b">
        <f t="shared" si="6"/>
        <v>0</v>
      </c>
      <c r="B46" s="40" t="b">
        <f t="shared" si="7"/>
        <v>0</v>
      </c>
      <c r="C46" s="8" t="str">
        <f t="shared" si="8"/>
        <v xml:space="preserve">ACCT112 </v>
      </c>
      <c r="D46" s="13" t="s">
        <v>148</v>
      </c>
      <c r="E46" s="13"/>
      <c r="F46" s="14" t="s">
        <v>15</v>
      </c>
      <c r="G46" s="14"/>
      <c r="H46" s="40" t="str">
        <f>IF(COUNTIF(Course[Course ID],Course[[#This Row],[Course ID]])&gt;1,"S","")</f>
        <v/>
      </c>
      <c r="I46" s="8"/>
      <c r="J46" s="8"/>
      <c r="K46" s="8"/>
      <c r="L46" s="8"/>
      <c r="M46" s="8"/>
      <c r="N46" s="8"/>
      <c r="O46" s="8"/>
      <c r="P46" s="8"/>
      <c r="Q46" t="b">
        <v>1</v>
      </c>
      <c r="R46">
        <v>3</v>
      </c>
      <c r="S46" s="8" t="s">
        <v>203</v>
      </c>
    </row>
    <row r="47" spans="1:19" x14ac:dyDescent="0.3">
      <c r="A47" s="40" t="b">
        <f t="shared" si="6"/>
        <v>0</v>
      </c>
      <c r="B47" s="40" t="b">
        <f t="shared" si="7"/>
        <v>0</v>
      </c>
      <c r="C47" s="8" t="str">
        <f t="shared" si="8"/>
        <v xml:space="preserve">ACCT113 </v>
      </c>
      <c r="D47" s="13" t="s">
        <v>149</v>
      </c>
      <c r="E47" s="13"/>
      <c r="F47" s="14" t="s">
        <v>15</v>
      </c>
      <c r="G47" s="14"/>
      <c r="H47" s="40" t="str">
        <f>IF(COUNTIF(Course[Course ID],Course[[#This Row],[Course ID]])&gt;1,"S","")</f>
        <v/>
      </c>
      <c r="I47" s="8"/>
      <c r="J47" s="8"/>
      <c r="K47" s="8"/>
      <c r="L47" s="8"/>
      <c r="M47" s="8"/>
      <c r="N47" s="8"/>
      <c r="O47" s="8"/>
      <c r="P47" s="8"/>
      <c r="Q47" t="b">
        <v>1</v>
      </c>
      <c r="R47">
        <v>4</v>
      </c>
      <c r="S47" s="8" t="s">
        <v>203</v>
      </c>
    </row>
    <row r="48" spans="1:19" x14ac:dyDescent="0.3">
      <c r="A48" s="40" t="b">
        <f t="shared" si="6"/>
        <v>0</v>
      </c>
      <c r="B48" s="40" t="b">
        <f t="shared" si="7"/>
        <v>0</v>
      </c>
      <c r="C48" s="8" t="str">
        <f t="shared" si="8"/>
        <v xml:space="preserve">ACCT114 </v>
      </c>
      <c r="D48" s="13" t="s">
        <v>150</v>
      </c>
      <c r="E48" s="13"/>
      <c r="F48" s="14" t="s">
        <v>15</v>
      </c>
      <c r="G48" s="14"/>
      <c r="H48" s="40" t="str">
        <f>IF(COUNTIF(Course[Course ID],Course[[#This Row],[Course ID]])&gt;1,"S","")</f>
        <v/>
      </c>
      <c r="I48" s="8"/>
      <c r="J48" s="8"/>
      <c r="K48" s="8"/>
      <c r="L48" s="8"/>
      <c r="M48" s="8"/>
      <c r="N48" s="8"/>
      <c r="O48" s="8"/>
      <c r="P48" s="8"/>
      <c r="Q48" t="b">
        <v>1</v>
      </c>
      <c r="R48">
        <v>4</v>
      </c>
      <c r="S48" s="8" t="s">
        <v>203</v>
      </c>
    </row>
    <row r="49" spans="1:19" x14ac:dyDescent="0.3">
      <c r="A49" s="40" t="b">
        <f t="shared" si="6"/>
        <v>0</v>
      </c>
      <c r="B49" s="40" t="b">
        <f t="shared" si="7"/>
        <v>0</v>
      </c>
      <c r="C49" s="8" t="str">
        <f t="shared" si="8"/>
        <v xml:space="preserve">ACCT115 </v>
      </c>
      <c r="D49" s="13" t="s">
        <v>151</v>
      </c>
      <c r="E49" s="13"/>
      <c r="F49" s="14" t="s">
        <v>15</v>
      </c>
      <c r="G49" s="14"/>
      <c r="H49" s="40" t="str">
        <f>IF(COUNTIF(Course[Course ID],Course[[#This Row],[Course ID]])&gt;1,"S","")</f>
        <v/>
      </c>
      <c r="I49" s="8"/>
      <c r="J49" s="8"/>
      <c r="K49" s="8"/>
      <c r="L49" s="8"/>
      <c r="M49" s="8"/>
      <c r="N49" s="8"/>
      <c r="O49" s="8"/>
      <c r="P49" s="8"/>
      <c r="Q49" t="b">
        <v>1</v>
      </c>
      <c r="R49">
        <v>4</v>
      </c>
      <c r="S49" s="8" t="s">
        <v>203</v>
      </c>
    </row>
    <row r="50" spans="1:19" x14ac:dyDescent="0.3">
      <c r="A50" s="40" t="b">
        <f t="shared" si="6"/>
        <v>0</v>
      </c>
      <c r="B50" s="40" t="b">
        <f t="shared" si="7"/>
        <v>0</v>
      </c>
      <c r="C50" s="8" t="str">
        <f t="shared" si="8"/>
        <v xml:space="preserve">ACCT116 </v>
      </c>
      <c r="D50" s="13" t="s">
        <v>152</v>
      </c>
      <c r="E50" s="13"/>
      <c r="F50" s="14" t="s">
        <v>15</v>
      </c>
      <c r="G50" s="14"/>
      <c r="H50" s="40" t="str">
        <f>IF(COUNTIF(Course[Course ID],Course[[#This Row],[Course ID]])&gt;1,"S","")</f>
        <v/>
      </c>
      <c r="I50" s="8"/>
      <c r="J50" s="8"/>
      <c r="K50" s="8"/>
      <c r="L50" s="8"/>
      <c r="M50" s="8"/>
      <c r="N50" s="8"/>
      <c r="O50" s="8"/>
      <c r="P50" s="8"/>
      <c r="Q50" t="b">
        <v>1</v>
      </c>
      <c r="R50">
        <v>4</v>
      </c>
      <c r="S50" s="8" t="s">
        <v>203</v>
      </c>
    </row>
    <row r="51" spans="1:19" x14ac:dyDescent="0.3">
      <c r="A51" s="40" t="b">
        <f t="shared" si="6"/>
        <v>0</v>
      </c>
      <c r="B51" s="40" t="b">
        <f t="shared" si="7"/>
        <v>0</v>
      </c>
      <c r="C51" s="8" t="str">
        <f t="shared" si="8"/>
        <v xml:space="preserve">ACCT117 </v>
      </c>
      <c r="D51" s="13" t="s">
        <v>153</v>
      </c>
      <c r="E51" s="13"/>
      <c r="F51" s="14" t="s">
        <v>15</v>
      </c>
      <c r="G51" s="14"/>
      <c r="H51" s="40" t="str">
        <f>IF(COUNTIF(Course[Course ID],Course[[#This Row],[Course ID]])&gt;1,"S","")</f>
        <v/>
      </c>
      <c r="I51" s="8"/>
      <c r="J51" s="8"/>
      <c r="K51" s="8"/>
      <c r="L51" s="8"/>
      <c r="M51" s="8"/>
      <c r="N51" s="8"/>
      <c r="O51" s="8"/>
      <c r="P51" s="8"/>
      <c r="Q51" t="b">
        <v>1</v>
      </c>
      <c r="R51">
        <v>4</v>
      </c>
      <c r="S51" s="8" t="s">
        <v>203</v>
      </c>
    </row>
    <row r="52" spans="1:19" x14ac:dyDescent="0.3">
      <c r="A52" s="40" t="b">
        <f t="shared" si="6"/>
        <v>0</v>
      </c>
      <c r="B52" s="40" t="b">
        <f t="shared" si="7"/>
        <v>0</v>
      </c>
      <c r="C52" s="8" t="str">
        <f t="shared" si="8"/>
        <v xml:space="preserve">ACCT118 </v>
      </c>
      <c r="D52" s="13" t="s">
        <v>154</v>
      </c>
      <c r="E52" s="13"/>
      <c r="F52" s="14" t="s">
        <v>15</v>
      </c>
      <c r="G52" s="14"/>
      <c r="H52" s="40" t="str">
        <f>IF(COUNTIF(Course[Course ID],Course[[#This Row],[Course ID]])&gt;1,"S","")</f>
        <v/>
      </c>
      <c r="I52" s="8"/>
      <c r="J52" s="8"/>
      <c r="K52" s="8"/>
      <c r="L52" s="8"/>
      <c r="M52" s="8"/>
      <c r="N52" s="8"/>
      <c r="O52" s="8"/>
      <c r="P52" s="8"/>
      <c r="Q52" t="b">
        <v>1</v>
      </c>
      <c r="R52">
        <v>5</v>
      </c>
      <c r="S52" s="8" t="s">
        <v>203</v>
      </c>
    </row>
    <row r="53" spans="1:19" x14ac:dyDescent="0.3">
      <c r="A53" s="40" t="b">
        <f t="shared" si="6"/>
        <v>0</v>
      </c>
      <c r="B53" s="40" t="b">
        <f t="shared" si="7"/>
        <v>0</v>
      </c>
      <c r="C53" s="8" t="str">
        <f t="shared" si="8"/>
        <v xml:space="preserve">ACCT119 </v>
      </c>
      <c r="D53" s="13" t="s">
        <v>155</v>
      </c>
      <c r="E53" s="13"/>
      <c r="F53" s="14" t="s">
        <v>15</v>
      </c>
      <c r="G53" s="14"/>
      <c r="H53" s="40" t="str">
        <f>IF(COUNTIF(Course[Course ID],Course[[#This Row],[Course ID]])&gt;1,"S","")</f>
        <v/>
      </c>
      <c r="I53" s="8"/>
      <c r="J53" s="8"/>
      <c r="K53" s="8"/>
      <c r="L53" s="8"/>
      <c r="M53" s="8"/>
      <c r="N53" s="8"/>
      <c r="O53" s="8"/>
      <c r="P53" s="8"/>
      <c r="Q53" t="b">
        <v>1</v>
      </c>
      <c r="R53">
        <v>5</v>
      </c>
      <c r="S53" s="8" t="s">
        <v>203</v>
      </c>
    </row>
    <row r="54" spans="1:19" x14ac:dyDescent="0.3">
      <c r="A54" s="40" t="b">
        <f t="shared" si="6"/>
        <v>0</v>
      </c>
      <c r="B54" s="40" t="b">
        <f t="shared" si="7"/>
        <v>0</v>
      </c>
      <c r="C54" s="8" t="str">
        <f t="shared" si="8"/>
        <v xml:space="preserve">ACCT120 </v>
      </c>
      <c r="D54" s="13" t="s">
        <v>156</v>
      </c>
      <c r="E54" s="13"/>
      <c r="F54" s="14" t="s">
        <v>15</v>
      </c>
      <c r="G54" s="14"/>
      <c r="H54" s="40" t="str">
        <f>IF(COUNTIF(Course[Course ID],Course[[#This Row],[Course ID]])&gt;1,"S","")</f>
        <v/>
      </c>
      <c r="I54" s="8"/>
      <c r="J54" s="8"/>
      <c r="K54" s="8"/>
      <c r="L54" s="8"/>
      <c r="M54" s="8"/>
      <c r="N54" s="8"/>
      <c r="O54" s="8"/>
      <c r="P54" s="8"/>
      <c r="Q54" t="b">
        <v>1</v>
      </c>
      <c r="R54">
        <v>5</v>
      </c>
      <c r="S54" s="8" t="s">
        <v>203</v>
      </c>
    </row>
    <row r="55" spans="1:19" x14ac:dyDescent="0.3">
      <c r="A55" s="40" t="b">
        <f t="shared" si="6"/>
        <v>0</v>
      </c>
      <c r="B55" s="40" t="b">
        <f t="shared" si="7"/>
        <v>0</v>
      </c>
      <c r="C55" s="8" t="str">
        <f t="shared" si="8"/>
        <v xml:space="preserve">ACCT121 </v>
      </c>
      <c r="D55" s="13" t="s">
        <v>157</v>
      </c>
      <c r="E55" s="13"/>
      <c r="F55" s="14" t="s">
        <v>15</v>
      </c>
      <c r="G55" s="14"/>
      <c r="H55" s="40" t="str">
        <f>IF(COUNTIF(Course[Course ID],Course[[#This Row],[Course ID]])&gt;1,"S","")</f>
        <v/>
      </c>
      <c r="I55" s="8"/>
      <c r="J55" s="8"/>
      <c r="K55" s="8"/>
      <c r="L55" s="8"/>
      <c r="M55" s="8"/>
      <c r="N55" s="8"/>
      <c r="O55" s="8"/>
      <c r="P55" s="8"/>
      <c r="Q55" t="b">
        <v>1</v>
      </c>
      <c r="R55">
        <v>5</v>
      </c>
      <c r="S55" s="8" t="s">
        <v>203</v>
      </c>
    </row>
    <row r="56" spans="1:19" x14ac:dyDescent="0.3">
      <c r="A56" s="40" t="b">
        <f t="shared" si="6"/>
        <v>0</v>
      </c>
      <c r="B56" s="40" t="b">
        <f t="shared" si="7"/>
        <v>0</v>
      </c>
      <c r="C56" s="8" t="str">
        <f t="shared" si="8"/>
        <v xml:space="preserve">ACCT122 </v>
      </c>
      <c r="D56" s="13" t="s">
        <v>158</v>
      </c>
      <c r="E56" s="13"/>
      <c r="F56" s="14" t="s">
        <v>15</v>
      </c>
      <c r="G56" s="14"/>
      <c r="H56" s="40" t="str">
        <f>IF(COUNTIF(Course[Course ID],Course[[#This Row],[Course ID]])&gt;1,"S","")</f>
        <v/>
      </c>
      <c r="I56" s="8"/>
      <c r="J56" s="8"/>
      <c r="K56" s="8"/>
      <c r="L56" s="8"/>
      <c r="M56" s="8"/>
      <c r="N56" s="8"/>
      <c r="O56" s="8"/>
      <c r="P56" s="8"/>
      <c r="Q56" t="b">
        <v>1</v>
      </c>
      <c r="R56">
        <v>6</v>
      </c>
      <c r="S56" s="8" t="s">
        <v>203</v>
      </c>
    </row>
    <row r="57" spans="1:19" x14ac:dyDescent="0.3">
      <c r="A57" s="40" t="b">
        <f t="shared" si="6"/>
        <v>0</v>
      </c>
      <c r="B57" s="40" t="b">
        <f t="shared" si="7"/>
        <v>0</v>
      </c>
      <c r="C57" s="8" t="str">
        <f t="shared" si="8"/>
        <v xml:space="preserve">ACCT123 </v>
      </c>
      <c r="D57" s="13" t="s">
        <v>159</v>
      </c>
      <c r="E57" s="13"/>
      <c r="F57" s="14" t="s">
        <v>15</v>
      </c>
      <c r="G57" s="14"/>
      <c r="H57" s="40" t="str">
        <f>IF(COUNTIF(Course[Course ID],Course[[#This Row],[Course ID]])&gt;1,"S","")</f>
        <v/>
      </c>
      <c r="I57" s="8"/>
      <c r="J57" s="8"/>
      <c r="K57" s="8"/>
      <c r="L57" s="8"/>
      <c r="M57" s="8"/>
      <c r="N57" s="8"/>
      <c r="O57" s="8"/>
      <c r="P57" s="8"/>
      <c r="Q57" t="b">
        <v>1</v>
      </c>
      <c r="R57">
        <v>6</v>
      </c>
      <c r="S57" s="8" t="s">
        <v>203</v>
      </c>
    </row>
    <row r="58" spans="1:19" x14ac:dyDescent="0.3">
      <c r="A58" s="40" t="b">
        <f t="shared" si="6"/>
        <v>0</v>
      </c>
      <c r="B58" s="40" t="b">
        <f t="shared" si="7"/>
        <v>0</v>
      </c>
      <c r="C58" s="8" t="str">
        <f t="shared" si="8"/>
        <v xml:space="preserve">ACCT124 </v>
      </c>
      <c r="D58" s="13" t="s">
        <v>160</v>
      </c>
      <c r="E58" s="13"/>
      <c r="F58" s="14" t="s">
        <v>15</v>
      </c>
      <c r="G58" s="14"/>
      <c r="H58" s="40" t="str">
        <f>IF(COUNTIF(Course[Course ID],Course[[#This Row],[Course ID]])&gt;1,"S","")</f>
        <v/>
      </c>
      <c r="I58" s="8"/>
      <c r="J58" s="8"/>
      <c r="K58" s="8"/>
      <c r="L58" s="8"/>
      <c r="M58" s="8"/>
      <c r="N58" s="8"/>
      <c r="O58" s="8"/>
      <c r="P58" s="8"/>
      <c r="Q58" t="b">
        <v>1</v>
      </c>
      <c r="R58">
        <v>6</v>
      </c>
      <c r="S58" s="8" t="s">
        <v>203</v>
      </c>
    </row>
    <row r="59" spans="1:19" x14ac:dyDescent="0.3">
      <c r="A59" s="40" t="b">
        <f t="shared" si="6"/>
        <v>0</v>
      </c>
      <c r="B59" s="40" t="b">
        <f t="shared" si="7"/>
        <v>0</v>
      </c>
      <c r="C59" s="8" t="str">
        <f t="shared" si="8"/>
        <v xml:space="preserve">ACCT125 </v>
      </c>
      <c r="D59" s="13" t="s">
        <v>161</v>
      </c>
      <c r="E59" s="13"/>
      <c r="F59" s="14" t="s">
        <v>15</v>
      </c>
      <c r="G59" s="14"/>
      <c r="H59" s="40" t="str">
        <f>IF(COUNTIF(Course[Course ID],Course[[#This Row],[Course ID]])&gt;1,"S","")</f>
        <v/>
      </c>
      <c r="I59" s="8"/>
      <c r="J59" s="8"/>
      <c r="K59" s="8"/>
      <c r="L59" s="8"/>
      <c r="M59" s="8"/>
      <c r="N59" s="8"/>
      <c r="O59" s="8"/>
      <c r="P59" s="8"/>
      <c r="Q59" t="b">
        <v>1</v>
      </c>
      <c r="R59">
        <v>6</v>
      </c>
      <c r="S59" s="8" t="s">
        <v>203</v>
      </c>
    </row>
    <row r="60" spans="1:19" x14ac:dyDescent="0.3">
      <c r="A60" s="40" t="b">
        <f t="shared" si="6"/>
        <v>0</v>
      </c>
      <c r="B60" s="40" t="b">
        <f t="shared" si="7"/>
        <v>0</v>
      </c>
      <c r="C60" s="8" t="str">
        <f t="shared" si="8"/>
        <v xml:space="preserve">ACCT126 </v>
      </c>
      <c r="D60" s="13" t="s">
        <v>162</v>
      </c>
      <c r="E60" s="13"/>
      <c r="F60" s="14" t="s">
        <v>15</v>
      </c>
      <c r="G60" s="14"/>
      <c r="H60" s="40" t="str">
        <f>IF(COUNTIF(Course[Course ID],Course[[#This Row],[Course ID]])&gt;1,"S","")</f>
        <v/>
      </c>
      <c r="I60" s="8"/>
      <c r="J60" s="8"/>
      <c r="K60" s="8"/>
      <c r="L60" s="8"/>
      <c r="M60" s="8"/>
      <c r="N60" s="8"/>
      <c r="O60" s="8"/>
      <c r="P60" s="8"/>
      <c r="Q60" t="b">
        <v>1</v>
      </c>
      <c r="R60">
        <v>7</v>
      </c>
      <c r="S60" s="8" t="s">
        <v>203</v>
      </c>
    </row>
    <row r="61" spans="1:19" x14ac:dyDescent="0.3">
      <c r="A61" s="40" t="b">
        <f t="shared" si="6"/>
        <v>0</v>
      </c>
      <c r="B61" s="40" t="b">
        <f t="shared" si="7"/>
        <v>0</v>
      </c>
      <c r="C61" s="8" t="str">
        <f t="shared" si="8"/>
        <v xml:space="preserve">MGT100 </v>
      </c>
      <c r="D61" s="13" t="s">
        <v>163</v>
      </c>
      <c r="E61" s="13"/>
      <c r="F61" s="14" t="s">
        <v>15</v>
      </c>
      <c r="G61" s="14"/>
      <c r="H61" s="40" t="str">
        <f>IF(COUNTIF(Course[Course ID],Course[[#This Row],[Course ID]])&gt;1,"S","")</f>
        <v/>
      </c>
      <c r="I61" s="8"/>
      <c r="J61" s="8"/>
      <c r="K61" s="8"/>
      <c r="L61" s="8"/>
      <c r="M61" s="8"/>
      <c r="N61" s="8"/>
      <c r="O61" s="8"/>
      <c r="P61" s="8"/>
      <c r="Q61" t="b">
        <v>1</v>
      </c>
      <c r="R61">
        <v>7</v>
      </c>
      <c r="S61" s="8" t="s">
        <v>203</v>
      </c>
    </row>
    <row r="62" spans="1:19" x14ac:dyDescent="0.3">
      <c r="A62" s="40" t="b">
        <f t="shared" si="6"/>
        <v>0</v>
      </c>
      <c r="B62" s="40" t="b">
        <f t="shared" si="7"/>
        <v>0</v>
      </c>
      <c r="C62" s="8" t="str">
        <f t="shared" si="8"/>
        <v xml:space="preserve">MGT101 </v>
      </c>
      <c r="D62" s="13" t="s">
        <v>164</v>
      </c>
      <c r="E62" s="13"/>
      <c r="F62" s="14" t="s">
        <v>15</v>
      </c>
      <c r="G62" s="14"/>
      <c r="H62" s="40" t="str">
        <f>IF(COUNTIF(Course[Course ID],Course[[#This Row],[Course ID]])&gt;1,"S","")</f>
        <v/>
      </c>
      <c r="I62" s="8"/>
      <c r="J62" s="8"/>
      <c r="K62" s="8"/>
      <c r="L62" s="8"/>
      <c r="M62" s="8"/>
      <c r="N62" s="8"/>
      <c r="O62" s="8"/>
      <c r="P62" s="8"/>
      <c r="Q62" t="b">
        <v>1</v>
      </c>
      <c r="R62">
        <v>7</v>
      </c>
      <c r="S62" s="8" t="s">
        <v>203</v>
      </c>
    </row>
    <row r="63" spans="1:19" x14ac:dyDescent="0.3">
      <c r="A63" s="40" t="b">
        <f t="shared" si="6"/>
        <v>0</v>
      </c>
      <c r="B63" s="40" t="b">
        <f t="shared" si="7"/>
        <v>0</v>
      </c>
      <c r="C63" s="8" t="str">
        <f t="shared" si="8"/>
        <v xml:space="preserve">MGT102 </v>
      </c>
      <c r="D63" s="13" t="s">
        <v>165</v>
      </c>
      <c r="E63" s="13"/>
      <c r="F63" s="14" t="s">
        <v>15</v>
      </c>
      <c r="G63" s="14"/>
      <c r="H63" s="40" t="str">
        <f>IF(COUNTIF(Course[Course ID],Course[[#This Row],[Course ID]])&gt;1,"S","")</f>
        <v/>
      </c>
      <c r="I63" s="8"/>
      <c r="J63" s="8"/>
      <c r="K63" s="8"/>
      <c r="L63" s="8"/>
      <c r="M63" s="8"/>
      <c r="N63" s="8"/>
      <c r="O63" s="8"/>
      <c r="P63" s="8"/>
      <c r="Q63" t="b">
        <v>1</v>
      </c>
      <c r="R63">
        <v>7</v>
      </c>
      <c r="S63" s="8" t="s">
        <v>203</v>
      </c>
    </row>
    <row r="64" spans="1:19" x14ac:dyDescent="0.3">
      <c r="A64" s="40" t="b">
        <f t="shared" si="6"/>
        <v>0</v>
      </c>
      <c r="B64" s="40" t="b">
        <f t="shared" si="7"/>
        <v>0</v>
      </c>
      <c r="C64" s="8" t="str">
        <f t="shared" si="8"/>
        <v xml:space="preserve">MGT103 </v>
      </c>
      <c r="D64" s="13" t="s">
        <v>166</v>
      </c>
      <c r="E64" s="13"/>
      <c r="F64" s="14" t="s">
        <v>15</v>
      </c>
      <c r="G64" s="14"/>
      <c r="H64" s="40" t="str">
        <f>IF(COUNTIF(Course[Course ID],Course[[#This Row],[Course ID]])&gt;1,"S","")</f>
        <v/>
      </c>
      <c r="I64" s="8"/>
      <c r="J64" s="8"/>
      <c r="K64" s="8"/>
      <c r="L64" s="8"/>
      <c r="M64" s="8"/>
      <c r="N64" s="8"/>
      <c r="O64" s="8"/>
      <c r="P64" s="8"/>
      <c r="Q64" t="b">
        <v>1</v>
      </c>
      <c r="R64">
        <v>8</v>
      </c>
      <c r="S64" s="8" t="s">
        <v>203</v>
      </c>
    </row>
    <row r="65" spans="1:19" x14ac:dyDescent="0.3">
      <c r="A65" s="40" t="b">
        <f t="shared" si="6"/>
        <v>0</v>
      </c>
      <c r="B65" s="40" t="b">
        <f t="shared" si="7"/>
        <v>0</v>
      </c>
      <c r="C65" s="8" t="str">
        <f t="shared" si="8"/>
        <v xml:space="preserve">MGT104 </v>
      </c>
      <c r="D65" s="13" t="s">
        <v>167</v>
      </c>
      <c r="E65" s="13"/>
      <c r="F65" s="14" t="s">
        <v>15</v>
      </c>
      <c r="G65" s="14"/>
      <c r="H65" s="40" t="str">
        <f>IF(COUNTIF(Course[Course ID],Course[[#This Row],[Course ID]])&gt;1,"S","")</f>
        <v/>
      </c>
      <c r="I65" s="8"/>
      <c r="J65" s="8"/>
      <c r="K65" s="8"/>
      <c r="L65" s="8"/>
      <c r="M65" s="8"/>
      <c r="N65" s="8"/>
      <c r="O65" s="8"/>
      <c r="P65" s="8"/>
      <c r="Q65" t="b">
        <v>1</v>
      </c>
      <c r="R65">
        <v>8</v>
      </c>
      <c r="S65" s="8" t="s">
        <v>203</v>
      </c>
    </row>
    <row r="66" spans="1:19" x14ac:dyDescent="0.3">
      <c r="A66" s="40" t="b">
        <f t="shared" si="6"/>
        <v>0</v>
      </c>
      <c r="B66" s="40" t="b">
        <f t="shared" si="7"/>
        <v>0</v>
      </c>
      <c r="C66" s="8" t="str">
        <f t="shared" si="8"/>
        <v xml:space="preserve">MGT105 </v>
      </c>
      <c r="D66" s="13" t="s">
        <v>168</v>
      </c>
      <c r="E66" s="13"/>
      <c r="F66" s="14" t="s">
        <v>15</v>
      </c>
      <c r="G66" s="14"/>
      <c r="H66" s="40" t="str">
        <f>IF(COUNTIF(Course[Course ID],Course[[#This Row],[Course ID]])&gt;1,"S","")</f>
        <v/>
      </c>
      <c r="I66" s="8"/>
      <c r="J66" s="8"/>
      <c r="K66" s="8"/>
      <c r="L66" s="8"/>
      <c r="M66" s="8"/>
      <c r="N66" s="8"/>
      <c r="O66" s="8"/>
      <c r="P66" s="8"/>
      <c r="Q66" t="b">
        <v>1</v>
      </c>
      <c r="R66">
        <v>8</v>
      </c>
      <c r="S66" s="8" t="s">
        <v>203</v>
      </c>
    </row>
    <row r="67" spans="1:19" x14ac:dyDescent="0.3">
      <c r="A67" s="40" t="b">
        <f t="shared" ref="A67:A100" si="9">IF(F67="G", TRUE,FALSE)</f>
        <v>0</v>
      </c>
      <c r="B67" s="40" t="b">
        <f t="shared" ref="B67:B100" si="10">IF(ISBLANK(G67),FALSE,TRUE)</f>
        <v>0</v>
      </c>
      <c r="C67" s="8" t="str">
        <f t="shared" ref="C67:C98" si="11">CONCATENATE(D67," ",E67)</f>
        <v xml:space="preserve">MGT106 </v>
      </c>
      <c r="D67" s="13" t="s">
        <v>169</v>
      </c>
      <c r="E67" s="13"/>
      <c r="F67" s="14" t="s">
        <v>15</v>
      </c>
      <c r="G67" s="14"/>
      <c r="H67" s="40" t="str">
        <f>IF(COUNTIF(Course[Course ID],Course[[#This Row],[Course ID]])&gt;1,"S","")</f>
        <v/>
      </c>
      <c r="I67" s="8"/>
      <c r="J67" s="8"/>
      <c r="K67" s="8"/>
      <c r="L67" s="8"/>
      <c r="M67" s="8"/>
      <c r="N67" s="8"/>
      <c r="O67" s="8"/>
      <c r="P67" s="8"/>
      <c r="Q67" t="b">
        <v>1</v>
      </c>
      <c r="R67">
        <v>9</v>
      </c>
      <c r="S67" s="8" t="s">
        <v>203</v>
      </c>
    </row>
    <row r="68" spans="1:19" x14ac:dyDescent="0.3">
      <c r="A68" s="40" t="b">
        <f t="shared" si="9"/>
        <v>0</v>
      </c>
      <c r="B68" s="40" t="b">
        <f t="shared" si="10"/>
        <v>0</v>
      </c>
      <c r="C68" s="8" t="str">
        <f t="shared" si="11"/>
        <v xml:space="preserve">MGT107 </v>
      </c>
      <c r="D68" s="13" t="s">
        <v>170</v>
      </c>
      <c r="E68" s="13"/>
      <c r="F68" s="14" t="s">
        <v>15</v>
      </c>
      <c r="G68" s="14"/>
      <c r="H68" s="40" t="str">
        <f>IF(COUNTIF(Course[Course ID],Course[[#This Row],[Course ID]])&gt;1,"S","")</f>
        <v/>
      </c>
      <c r="I68" s="8"/>
      <c r="J68" s="8"/>
      <c r="K68" s="8"/>
      <c r="L68" s="8"/>
      <c r="M68" s="8"/>
      <c r="N68" s="8"/>
      <c r="O68" s="8"/>
      <c r="P68" s="8"/>
      <c r="Q68" t="b">
        <v>1</v>
      </c>
      <c r="R68">
        <v>9</v>
      </c>
      <c r="S68" s="8" t="s">
        <v>203</v>
      </c>
    </row>
    <row r="69" spans="1:19" x14ac:dyDescent="0.3">
      <c r="A69" s="40" t="b">
        <f t="shared" si="9"/>
        <v>0</v>
      </c>
      <c r="B69" s="40" t="b">
        <f t="shared" si="10"/>
        <v>0</v>
      </c>
      <c r="C69" s="8" t="str">
        <f t="shared" si="11"/>
        <v xml:space="preserve">MGT108 </v>
      </c>
      <c r="D69" s="13" t="s">
        <v>171</v>
      </c>
      <c r="E69" s="13"/>
      <c r="F69" s="14" t="s">
        <v>15</v>
      </c>
      <c r="G69" s="14"/>
      <c r="H69" s="40" t="str">
        <f>IF(COUNTIF(Course[Course ID],Course[[#This Row],[Course ID]])&gt;1,"S","")</f>
        <v/>
      </c>
      <c r="I69" s="8"/>
      <c r="J69" s="8"/>
      <c r="K69" s="8"/>
      <c r="L69" s="8"/>
      <c r="M69" s="8"/>
      <c r="N69" s="8"/>
      <c r="O69" s="8"/>
      <c r="P69" s="8"/>
      <c r="Q69" t="b">
        <v>1</v>
      </c>
      <c r="R69">
        <v>10</v>
      </c>
      <c r="S69" s="8" t="s">
        <v>203</v>
      </c>
    </row>
    <row r="70" spans="1:19" x14ac:dyDescent="0.3">
      <c r="A70" s="40" t="b">
        <f t="shared" si="9"/>
        <v>0</v>
      </c>
      <c r="B70" s="40" t="b">
        <f t="shared" si="10"/>
        <v>0</v>
      </c>
      <c r="C70" s="8" t="str">
        <f t="shared" si="11"/>
        <v xml:space="preserve">MGT109 </v>
      </c>
      <c r="D70" s="13" t="s">
        <v>172</v>
      </c>
      <c r="E70" s="13"/>
      <c r="F70" s="14" t="s">
        <v>15</v>
      </c>
      <c r="G70" s="14"/>
      <c r="H70" s="40" t="str">
        <f>IF(COUNTIF(Course[Course ID],Course[[#This Row],[Course ID]])&gt;1,"S","")</f>
        <v/>
      </c>
      <c r="I70" s="8"/>
      <c r="J70" s="8"/>
      <c r="K70" s="8"/>
      <c r="L70" s="8"/>
      <c r="M70" s="8"/>
      <c r="N70" s="8"/>
      <c r="O70" s="8"/>
      <c r="P70" s="8"/>
      <c r="Q70" t="b">
        <v>1</v>
      </c>
      <c r="R70">
        <v>10</v>
      </c>
      <c r="S70" s="8" t="s">
        <v>203</v>
      </c>
    </row>
    <row r="71" spans="1:19" x14ac:dyDescent="0.3">
      <c r="A71" s="40" t="b">
        <f t="shared" si="9"/>
        <v>0</v>
      </c>
      <c r="B71" s="40" t="b">
        <f t="shared" si="10"/>
        <v>0</v>
      </c>
      <c r="C71" s="8" t="str">
        <f t="shared" si="11"/>
        <v xml:space="preserve">MGT110 </v>
      </c>
      <c r="D71" s="13" t="s">
        <v>173</v>
      </c>
      <c r="E71" s="13"/>
      <c r="F71" s="14" t="s">
        <v>15</v>
      </c>
      <c r="G71" s="14"/>
      <c r="H71" s="40" t="str">
        <f>IF(COUNTIF(Course[Course ID],Course[[#This Row],[Course ID]])&gt;1,"S","")</f>
        <v/>
      </c>
      <c r="I71" s="8"/>
      <c r="J71" s="8"/>
      <c r="K71" s="8"/>
      <c r="L71" s="8"/>
      <c r="M71" s="8"/>
      <c r="N71" s="8"/>
      <c r="O71" s="8"/>
      <c r="P71" s="8"/>
      <c r="Q71" t="b">
        <v>1</v>
      </c>
      <c r="R71">
        <v>10</v>
      </c>
      <c r="S71" s="8" t="s">
        <v>203</v>
      </c>
    </row>
    <row r="72" spans="1:19" x14ac:dyDescent="0.3">
      <c r="A72" s="40" t="b">
        <f t="shared" si="9"/>
        <v>0</v>
      </c>
      <c r="B72" s="40" t="b">
        <f t="shared" si="10"/>
        <v>0</v>
      </c>
      <c r="C72" s="8" t="str">
        <f t="shared" si="11"/>
        <v xml:space="preserve">MGT111 </v>
      </c>
      <c r="D72" s="13" t="s">
        <v>174</v>
      </c>
      <c r="E72" s="13"/>
      <c r="F72" s="14" t="s">
        <v>15</v>
      </c>
      <c r="G72" s="14"/>
      <c r="H72" s="40" t="str">
        <f>IF(COUNTIF(Course[Course ID],Course[[#This Row],[Course ID]])&gt;1,"S","")</f>
        <v/>
      </c>
      <c r="I72" s="8"/>
      <c r="J72" s="8"/>
      <c r="K72" s="8"/>
      <c r="L72" s="8"/>
      <c r="M72" s="8"/>
      <c r="N72" s="8"/>
      <c r="O72" s="8"/>
      <c r="P72" s="8"/>
      <c r="Q72" t="b">
        <v>1</v>
      </c>
      <c r="R72">
        <v>10</v>
      </c>
      <c r="S72" s="8" t="s">
        <v>203</v>
      </c>
    </row>
    <row r="73" spans="1:19" x14ac:dyDescent="0.3">
      <c r="A73" s="40" t="b">
        <f t="shared" si="9"/>
        <v>0</v>
      </c>
      <c r="B73" s="40" t="b">
        <f t="shared" si="10"/>
        <v>0</v>
      </c>
      <c r="C73" s="8" t="str">
        <f t="shared" si="11"/>
        <v xml:space="preserve">CIS100 </v>
      </c>
      <c r="D73" s="13" t="s">
        <v>175</v>
      </c>
      <c r="E73" s="13"/>
      <c r="F73" s="14" t="s">
        <v>15</v>
      </c>
      <c r="G73" s="14"/>
      <c r="H73" s="40" t="str">
        <f>IF(COUNTIF(Course[Course ID],Course[[#This Row],[Course ID]])&gt;1,"S","")</f>
        <v/>
      </c>
      <c r="I73" s="8"/>
      <c r="J73" s="8"/>
      <c r="K73" s="8"/>
      <c r="L73" s="8"/>
      <c r="M73" s="8"/>
      <c r="N73" s="8"/>
      <c r="O73" s="8"/>
      <c r="P73" s="8"/>
      <c r="Q73" t="b">
        <v>1</v>
      </c>
      <c r="R73">
        <v>10</v>
      </c>
      <c r="S73" s="8" t="s">
        <v>203</v>
      </c>
    </row>
    <row r="74" spans="1:19" x14ac:dyDescent="0.3">
      <c r="A74" s="40" t="b">
        <f t="shared" si="9"/>
        <v>0</v>
      </c>
      <c r="B74" s="40" t="b">
        <f t="shared" si="10"/>
        <v>0</v>
      </c>
      <c r="C74" s="8" t="str">
        <f t="shared" si="11"/>
        <v xml:space="preserve">CIS101 </v>
      </c>
      <c r="D74" s="13" t="s">
        <v>176</v>
      </c>
      <c r="E74" s="13"/>
      <c r="F74" s="14" t="s">
        <v>15</v>
      </c>
      <c r="G74" s="14"/>
      <c r="H74" s="40" t="str">
        <f>IF(COUNTIF(Course[Course ID],Course[[#This Row],[Course ID]])&gt;1,"S","")</f>
        <v/>
      </c>
      <c r="I74" s="8"/>
      <c r="J74" s="8"/>
      <c r="K74" s="8"/>
      <c r="L74" s="8"/>
      <c r="M74" s="8"/>
      <c r="N74" s="8"/>
      <c r="O74" s="8"/>
      <c r="P74" s="8"/>
      <c r="Q74" t="b">
        <v>1</v>
      </c>
      <c r="R74">
        <v>11</v>
      </c>
      <c r="S74" s="8" t="s">
        <v>203</v>
      </c>
    </row>
    <row r="75" spans="1:19" x14ac:dyDescent="0.3">
      <c r="A75" s="40" t="b">
        <f t="shared" si="9"/>
        <v>0</v>
      </c>
      <c r="B75" s="40" t="b">
        <f t="shared" si="10"/>
        <v>0</v>
      </c>
      <c r="C75" s="8" t="str">
        <f t="shared" si="11"/>
        <v xml:space="preserve">CIS102 </v>
      </c>
      <c r="D75" s="13" t="s">
        <v>177</v>
      </c>
      <c r="E75" s="13"/>
      <c r="F75" s="14" t="s">
        <v>15</v>
      </c>
      <c r="G75" s="14"/>
      <c r="H75" s="40" t="str">
        <f>IF(COUNTIF(Course[Course ID],Course[[#This Row],[Course ID]])&gt;1,"S","")</f>
        <v/>
      </c>
      <c r="I75" s="8"/>
      <c r="J75" s="8"/>
      <c r="K75" s="8"/>
      <c r="L75" s="8"/>
      <c r="M75" s="8"/>
      <c r="N75" s="8"/>
      <c r="O75" s="8"/>
      <c r="P75" s="8"/>
      <c r="Q75" t="b">
        <v>1</v>
      </c>
      <c r="R75">
        <v>11</v>
      </c>
      <c r="S75" s="8" t="s">
        <v>203</v>
      </c>
    </row>
    <row r="76" spans="1:19" x14ac:dyDescent="0.3">
      <c r="A76" s="40" t="b">
        <f t="shared" si="9"/>
        <v>0</v>
      </c>
      <c r="B76" s="40" t="b">
        <f t="shared" si="10"/>
        <v>0</v>
      </c>
      <c r="C76" s="8" t="str">
        <f t="shared" si="11"/>
        <v xml:space="preserve">CIS103 </v>
      </c>
      <c r="D76" s="13" t="s">
        <v>178</v>
      </c>
      <c r="E76" s="13"/>
      <c r="F76" s="14" t="s">
        <v>15</v>
      </c>
      <c r="G76" s="14"/>
      <c r="H76" s="40" t="str">
        <f>IF(COUNTIF(Course[Course ID],Course[[#This Row],[Course ID]])&gt;1,"S","")</f>
        <v/>
      </c>
      <c r="I76" s="8"/>
      <c r="J76" s="8"/>
      <c r="K76" s="8"/>
      <c r="L76" s="8"/>
      <c r="M76" s="8"/>
      <c r="N76" s="8"/>
      <c r="O76" s="8"/>
      <c r="P76" s="8"/>
      <c r="Q76" t="b">
        <v>1</v>
      </c>
      <c r="R76">
        <v>11</v>
      </c>
      <c r="S76" s="8" t="s">
        <v>203</v>
      </c>
    </row>
    <row r="77" spans="1:19" x14ac:dyDescent="0.3">
      <c r="A77" s="40" t="b">
        <f t="shared" si="9"/>
        <v>0</v>
      </c>
      <c r="B77" s="40" t="b">
        <f t="shared" si="10"/>
        <v>0</v>
      </c>
      <c r="C77" s="8" t="str">
        <f t="shared" si="11"/>
        <v xml:space="preserve">CIS104 </v>
      </c>
      <c r="D77" s="13" t="s">
        <v>179</v>
      </c>
      <c r="E77" s="13"/>
      <c r="F77" s="14" t="s">
        <v>15</v>
      </c>
      <c r="G77" s="14"/>
      <c r="H77" s="40" t="str">
        <f>IF(COUNTIF(Course[Course ID],Course[[#This Row],[Course ID]])&gt;1,"S","")</f>
        <v/>
      </c>
      <c r="I77" s="8"/>
      <c r="J77" s="8"/>
      <c r="K77" s="8"/>
      <c r="L77" s="8"/>
      <c r="M77" s="8"/>
      <c r="N77" s="8"/>
      <c r="O77" s="8"/>
      <c r="P77" s="8"/>
      <c r="Q77" t="b">
        <v>1</v>
      </c>
      <c r="R77">
        <v>11</v>
      </c>
      <c r="S77" s="8" t="s">
        <v>203</v>
      </c>
    </row>
    <row r="78" spans="1:19" x14ac:dyDescent="0.3">
      <c r="A78" s="40" t="b">
        <f t="shared" si="9"/>
        <v>0</v>
      </c>
      <c r="B78" s="40" t="b">
        <f t="shared" si="10"/>
        <v>0</v>
      </c>
      <c r="C78" s="8" t="str">
        <f t="shared" si="11"/>
        <v xml:space="preserve">CIS105 </v>
      </c>
      <c r="D78" s="13" t="s">
        <v>180</v>
      </c>
      <c r="E78" s="13"/>
      <c r="F78" s="14" t="s">
        <v>15</v>
      </c>
      <c r="G78" s="14"/>
      <c r="H78" s="40" t="str">
        <f>IF(COUNTIF(Course[Course ID],Course[[#This Row],[Course ID]])&gt;1,"S","")</f>
        <v/>
      </c>
      <c r="I78" s="8"/>
      <c r="J78" s="8"/>
      <c r="K78" s="8"/>
      <c r="L78" s="8"/>
      <c r="M78" s="8"/>
      <c r="N78" s="8"/>
      <c r="O78" s="8"/>
      <c r="P78" s="8"/>
      <c r="Q78" t="b">
        <v>1</v>
      </c>
      <c r="R78">
        <v>11</v>
      </c>
      <c r="S78" s="8" t="s">
        <v>203</v>
      </c>
    </row>
    <row r="79" spans="1:19" x14ac:dyDescent="0.3">
      <c r="A79" s="40" t="b">
        <f t="shared" si="9"/>
        <v>0</v>
      </c>
      <c r="B79" s="40" t="b">
        <f t="shared" si="10"/>
        <v>0</v>
      </c>
      <c r="C79" s="8" t="str">
        <f t="shared" si="11"/>
        <v xml:space="preserve">CIS106 </v>
      </c>
      <c r="D79" s="13" t="s">
        <v>181</v>
      </c>
      <c r="E79" s="13"/>
      <c r="F79" s="14" t="s">
        <v>15</v>
      </c>
      <c r="G79" s="14"/>
      <c r="H79" s="40" t="str">
        <f>IF(COUNTIF(Course[Course ID],Course[[#This Row],[Course ID]])&gt;1,"S","")</f>
        <v/>
      </c>
      <c r="I79" s="8"/>
      <c r="J79" s="8"/>
      <c r="K79" s="8"/>
      <c r="L79" s="8"/>
      <c r="M79" s="8"/>
      <c r="N79" s="8"/>
      <c r="O79" s="8"/>
      <c r="P79" s="8"/>
      <c r="Q79" t="b">
        <v>1</v>
      </c>
      <c r="R79">
        <v>12</v>
      </c>
      <c r="S79" s="8" t="s">
        <v>203</v>
      </c>
    </row>
    <row r="80" spans="1:19" x14ac:dyDescent="0.3">
      <c r="A80" s="40" t="b">
        <f t="shared" si="9"/>
        <v>0</v>
      </c>
      <c r="B80" s="40" t="b">
        <f t="shared" si="10"/>
        <v>0</v>
      </c>
      <c r="C80" s="8" t="str">
        <f t="shared" si="11"/>
        <v xml:space="preserve">CIS107 </v>
      </c>
      <c r="D80" s="13" t="s">
        <v>182</v>
      </c>
      <c r="E80" s="13"/>
      <c r="F80" s="14" t="s">
        <v>15</v>
      </c>
      <c r="G80" s="14"/>
      <c r="H80" s="40" t="str">
        <f>IF(COUNTIF(Course[Course ID],Course[[#This Row],[Course ID]])&gt;1,"S","")</f>
        <v/>
      </c>
      <c r="I80" s="8"/>
      <c r="J80" s="8"/>
      <c r="K80" s="8"/>
      <c r="L80" s="8"/>
      <c r="M80" s="8"/>
      <c r="N80" s="8"/>
      <c r="O80" s="8"/>
      <c r="P80" s="8"/>
      <c r="Q80" t="b">
        <v>1</v>
      </c>
      <c r="R80">
        <v>12</v>
      </c>
      <c r="S80" s="8" t="s">
        <v>203</v>
      </c>
    </row>
    <row r="81" spans="1:19" x14ac:dyDescent="0.3">
      <c r="A81" s="40" t="b">
        <f t="shared" si="9"/>
        <v>0</v>
      </c>
      <c r="B81" s="40" t="b">
        <f t="shared" si="10"/>
        <v>0</v>
      </c>
      <c r="C81" s="8" t="str">
        <f t="shared" si="11"/>
        <v xml:space="preserve">CIS108 </v>
      </c>
      <c r="D81" s="13" t="s">
        <v>183</v>
      </c>
      <c r="E81" s="13"/>
      <c r="F81" s="14" t="s">
        <v>15</v>
      </c>
      <c r="G81" s="14"/>
      <c r="H81" s="40" t="str">
        <f>IF(COUNTIF(Course[Course ID],Course[[#This Row],[Course ID]])&gt;1,"S","")</f>
        <v/>
      </c>
      <c r="I81" s="8"/>
      <c r="J81" s="8"/>
      <c r="K81" s="8"/>
      <c r="L81" s="8"/>
      <c r="M81" s="8"/>
      <c r="N81" s="8"/>
      <c r="O81" s="8"/>
      <c r="P81" s="8"/>
      <c r="Q81" t="b">
        <v>1</v>
      </c>
      <c r="R81">
        <v>12</v>
      </c>
      <c r="S81" s="8" t="s">
        <v>203</v>
      </c>
    </row>
    <row r="82" spans="1:19" x14ac:dyDescent="0.3">
      <c r="A82" s="40" t="b">
        <f t="shared" si="9"/>
        <v>0</v>
      </c>
      <c r="B82" s="40" t="b">
        <f t="shared" si="10"/>
        <v>0</v>
      </c>
      <c r="C82" s="8" t="str">
        <f t="shared" si="11"/>
        <v xml:space="preserve">CIS109 </v>
      </c>
      <c r="D82" s="13" t="s">
        <v>184</v>
      </c>
      <c r="E82" s="13"/>
      <c r="F82" s="14" t="s">
        <v>15</v>
      </c>
      <c r="G82" s="14"/>
      <c r="H82" s="40" t="str">
        <f>IF(COUNTIF(Course[Course ID],Course[[#This Row],[Course ID]])&gt;1,"S","")</f>
        <v/>
      </c>
      <c r="I82" s="8"/>
      <c r="J82" s="8"/>
      <c r="K82" s="8"/>
      <c r="L82" s="8"/>
      <c r="M82" s="8"/>
      <c r="N82" s="8"/>
      <c r="O82" s="8"/>
      <c r="P82" s="8"/>
      <c r="Q82" t="b">
        <v>1</v>
      </c>
      <c r="R82">
        <v>13</v>
      </c>
      <c r="S82" s="8" t="s">
        <v>203</v>
      </c>
    </row>
    <row r="83" spans="1:19" x14ac:dyDescent="0.3">
      <c r="A83" s="40" t="b">
        <f t="shared" si="9"/>
        <v>0</v>
      </c>
      <c r="B83" s="40" t="b">
        <f t="shared" si="10"/>
        <v>0</v>
      </c>
      <c r="C83" s="8" t="str">
        <f t="shared" si="11"/>
        <v xml:space="preserve">CIS110 </v>
      </c>
      <c r="D83" s="13" t="s">
        <v>185</v>
      </c>
      <c r="E83" s="13"/>
      <c r="F83" s="14" t="s">
        <v>15</v>
      </c>
      <c r="G83" s="14"/>
      <c r="H83" s="40" t="str">
        <f>IF(COUNTIF(Course[Course ID],Course[[#This Row],[Course ID]])&gt;1,"S","")</f>
        <v/>
      </c>
      <c r="I83" s="8"/>
      <c r="J83" s="8"/>
      <c r="K83" s="8"/>
      <c r="L83" s="8"/>
      <c r="M83" s="8"/>
      <c r="N83" s="8"/>
      <c r="O83" s="8"/>
      <c r="P83" s="8"/>
      <c r="Q83" t="b">
        <v>1</v>
      </c>
      <c r="R83">
        <v>13</v>
      </c>
      <c r="S83" s="8" t="s">
        <v>203</v>
      </c>
    </row>
    <row r="84" spans="1:19" x14ac:dyDescent="0.3">
      <c r="A84" s="40" t="b">
        <f t="shared" si="9"/>
        <v>0</v>
      </c>
      <c r="B84" s="40" t="b">
        <f t="shared" si="10"/>
        <v>0</v>
      </c>
      <c r="C84" s="8" t="str">
        <f t="shared" si="11"/>
        <v xml:space="preserve">CIS111 </v>
      </c>
      <c r="D84" s="13" t="s">
        <v>186</v>
      </c>
      <c r="E84" s="13"/>
      <c r="F84" s="14" t="s">
        <v>15</v>
      </c>
      <c r="G84" s="14"/>
      <c r="H84" s="40" t="str">
        <f>IF(COUNTIF(Course[Course ID],Course[[#This Row],[Course ID]])&gt;1,"S","")</f>
        <v/>
      </c>
      <c r="I84" s="8"/>
      <c r="J84" s="8"/>
      <c r="K84" s="8"/>
      <c r="L84" s="8"/>
      <c r="M84" s="8"/>
      <c r="N84" s="8"/>
      <c r="O84" s="8"/>
      <c r="P84" s="8"/>
      <c r="Q84" t="b">
        <v>1</v>
      </c>
      <c r="R84">
        <v>13</v>
      </c>
      <c r="S84" s="8" t="s">
        <v>203</v>
      </c>
    </row>
    <row r="85" spans="1:19" x14ac:dyDescent="0.3">
      <c r="A85" s="40" t="b">
        <f t="shared" si="9"/>
        <v>0</v>
      </c>
      <c r="B85" s="40" t="b">
        <f t="shared" si="10"/>
        <v>0</v>
      </c>
      <c r="C85" s="8" t="str">
        <f t="shared" si="11"/>
        <v xml:space="preserve">CIS112 </v>
      </c>
      <c r="D85" s="13" t="s">
        <v>187</v>
      </c>
      <c r="E85" s="13"/>
      <c r="F85" s="14" t="s">
        <v>15</v>
      </c>
      <c r="G85" s="14"/>
      <c r="H85" s="40" t="str">
        <f>IF(COUNTIF(Course[Course ID],Course[[#This Row],[Course ID]])&gt;1,"S","")</f>
        <v/>
      </c>
      <c r="I85" s="8"/>
      <c r="J85" s="8"/>
      <c r="K85" s="8"/>
      <c r="L85" s="8"/>
      <c r="M85" s="8"/>
      <c r="N85" s="8"/>
      <c r="O85" s="8"/>
      <c r="P85" s="8"/>
      <c r="Q85" t="b">
        <v>1</v>
      </c>
      <c r="R85">
        <v>13</v>
      </c>
      <c r="S85" s="8" t="s">
        <v>203</v>
      </c>
    </row>
    <row r="86" spans="1:19" x14ac:dyDescent="0.3">
      <c r="A86" s="40" t="b">
        <f t="shared" si="9"/>
        <v>0</v>
      </c>
      <c r="B86" s="40" t="b">
        <f t="shared" si="10"/>
        <v>0</v>
      </c>
      <c r="C86" s="8" t="str">
        <f t="shared" si="11"/>
        <v xml:space="preserve">CIS113 </v>
      </c>
      <c r="D86" s="13" t="s">
        <v>188</v>
      </c>
      <c r="E86" s="13"/>
      <c r="F86" s="14" t="s">
        <v>15</v>
      </c>
      <c r="G86" s="13"/>
      <c r="H86" s="40" t="str">
        <f>IF(COUNTIF(Course[Course ID],Course[[#This Row],[Course ID]])&gt;1,"S","")</f>
        <v/>
      </c>
      <c r="I86" s="8"/>
      <c r="J86" s="8"/>
      <c r="K86" s="8"/>
      <c r="L86" s="8"/>
      <c r="M86" s="8"/>
      <c r="N86" s="8"/>
      <c r="O86" s="8"/>
      <c r="P86" s="8"/>
      <c r="Q86" t="b">
        <v>1</v>
      </c>
      <c r="R86">
        <v>13</v>
      </c>
      <c r="S86" s="8" t="s">
        <v>203</v>
      </c>
    </row>
    <row r="87" spans="1:19" x14ac:dyDescent="0.3">
      <c r="A87" s="40" t="b">
        <f t="shared" si="9"/>
        <v>0</v>
      </c>
      <c r="B87" s="40" t="b">
        <f t="shared" si="10"/>
        <v>0</v>
      </c>
      <c r="C87" s="8" t="str">
        <f t="shared" si="11"/>
        <v xml:space="preserve">CIS114 </v>
      </c>
      <c r="D87" s="13" t="s">
        <v>189</v>
      </c>
      <c r="E87" s="13"/>
      <c r="F87" s="14" t="s">
        <v>15</v>
      </c>
      <c r="G87" s="13"/>
      <c r="H87" s="40" t="str">
        <f>IF(COUNTIF(Course[Course ID],Course[[#This Row],[Course ID]])&gt;1,"S","")</f>
        <v/>
      </c>
      <c r="I87" s="8"/>
      <c r="J87" s="8"/>
      <c r="K87" s="8"/>
      <c r="L87" s="8"/>
      <c r="M87" s="8"/>
      <c r="N87" s="8"/>
      <c r="O87" s="8"/>
      <c r="P87" s="8"/>
      <c r="Q87" t="b">
        <v>1</v>
      </c>
      <c r="R87">
        <v>14</v>
      </c>
      <c r="S87" s="8" t="s">
        <v>203</v>
      </c>
    </row>
    <row r="88" spans="1:19" x14ac:dyDescent="0.3">
      <c r="A88" s="40" t="b">
        <f t="shared" si="9"/>
        <v>0</v>
      </c>
      <c r="B88" s="40" t="b">
        <f t="shared" si="10"/>
        <v>0</v>
      </c>
      <c r="C88" s="8" t="str">
        <f t="shared" si="11"/>
        <v xml:space="preserve">HIS100 </v>
      </c>
      <c r="D88" s="13" t="s">
        <v>190</v>
      </c>
      <c r="E88" s="13"/>
      <c r="F88" s="14" t="s">
        <v>15</v>
      </c>
      <c r="G88" s="13"/>
      <c r="H88" s="40" t="str">
        <f>IF(COUNTIF(Course[Course ID],Course[[#This Row],[Course ID]])&gt;1,"S","")</f>
        <v/>
      </c>
      <c r="I88" s="8"/>
      <c r="J88" s="8"/>
      <c r="K88" s="8"/>
      <c r="L88" s="8"/>
      <c r="M88" s="8"/>
      <c r="N88" s="8"/>
      <c r="O88" s="8"/>
      <c r="P88" s="8"/>
      <c r="Q88" t="b">
        <v>1</v>
      </c>
      <c r="R88">
        <v>14</v>
      </c>
      <c r="S88" s="8" t="s">
        <v>203</v>
      </c>
    </row>
    <row r="89" spans="1:19" x14ac:dyDescent="0.3">
      <c r="A89" s="40" t="b">
        <f t="shared" si="9"/>
        <v>0</v>
      </c>
      <c r="B89" s="40" t="b">
        <f t="shared" si="10"/>
        <v>0</v>
      </c>
      <c r="C89" s="8" t="str">
        <f t="shared" si="11"/>
        <v xml:space="preserve">HIS101 </v>
      </c>
      <c r="D89" s="13" t="s">
        <v>191</v>
      </c>
      <c r="E89" s="13"/>
      <c r="F89" s="14" t="s">
        <v>15</v>
      </c>
      <c r="G89" s="14"/>
      <c r="H89" s="40" t="str">
        <f>IF(COUNTIF(Course[Course ID],Course[[#This Row],[Course ID]])&gt;1,"S","")</f>
        <v/>
      </c>
      <c r="I89" s="8"/>
      <c r="J89" s="8"/>
      <c r="K89" s="8"/>
      <c r="L89" s="8"/>
      <c r="M89" s="8"/>
      <c r="N89" s="8"/>
      <c r="O89" s="8"/>
      <c r="P89" s="8"/>
      <c r="Q89" t="b">
        <v>1</v>
      </c>
      <c r="R89">
        <v>14</v>
      </c>
      <c r="S89" s="8" t="s">
        <v>203</v>
      </c>
    </row>
    <row r="90" spans="1:19" x14ac:dyDescent="0.3">
      <c r="A90" s="40" t="b">
        <f t="shared" si="9"/>
        <v>0</v>
      </c>
      <c r="B90" s="40" t="b">
        <f t="shared" si="10"/>
        <v>0</v>
      </c>
      <c r="C90" s="8" t="str">
        <f t="shared" si="11"/>
        <v xml:space="preserve">HIS102 </v>
      </c>
      <c r="D90" s="13" t="s">
        <v>192</v>
      </c>
      <c r="E90" s="13"/>
      <c r="F90" s="14" t="s">
        <v>15</v>
      </c>
      <c r="G90" s="14"/>
      <c r="H90" s="40" t="str">
        <f>IF(COUNTIF(Course[Course ID],Course[[#This Row],[Course ID]])&gt;1,"S","")</f>
        <v/>
      </c>
      <c r="I90" s="8"/>
      <c r="J90" s="8"/>
      <c r="K90" s="8"/>
      <c r="L90" s="8"/>
      <c r="M90" s="8"/>
      <c r="N90" s="8"/>
      <c r="O90" s="8"/>
      <c r="P90" s="8"/>
      <c r="Q90" t="b">
        <v>1</v>
      </c>
      <c r="R90">
        <v>14</v>
      </c>
      <c r="S90" s="8" t="s">
        <v>203</v>
      </c>
    </row>
    <row r="91" spans="1:19" x14ac:dyDescent="0.3">
      <c r="A91" s="40" t="b">
        <f t="shared" si="9"/>
        <v>0</v>
      </c>
      <c r="B91" s="40" t="b">
        <f t="shared" si="10"/>
        <v>0</v>
      </c>
      <c r="C91" s="8" t="str">
        <f t="shared" si="11"/>
        <v xml:space="preserve">HIS103 </v>
      </c>
      <c r="D91" s="13" t="s">
        <v>193</v>
      </c>
      <c r="E91" s="13"/>
      <c r="F91" s="14" t="s">
        <v>15</v>
      </c>
      <c r="G91" s="14"/>
      <c r="H91" s="40" t="str">
        <f>IF(COUNTIF(Course[Course ID],Course[[#This Row],[Course ID]])&gt;1,"S","")</f>
        <v/>
      </c>
      <c r="I91" s="8"/>
      <c r="J91" s="8"/>
      <c r="K91" s="8"/>
      <c r="L91" s="8"/>
      <c r="M91" s="8"/>
      <c r="N91" s="8"/>
      <c r="O91" s="8"/>
      <c r="P91" s="8"/>
      <c r="Q91" t="b">
        <v>1</v>
      </c>
      <c r="R91">
        <v>15</v>
      </c>
      <c r="S91" s="8" t="s">
        <v>203</v>
      </c>
    </row>
    <row r="92" spans="1:19" x14ac:dyDescent="0.3">
      <c r="A92" s="40" t="b">
        <f t="shared" si="9"/>
        <v>0</v>
      </c>
      <c r="B92" s="40" t="b">
        <f t="shared" si="10"/>
        <v>0</v>
      </c>
      <c r="C92" s="8" t="str">
        <f t="shared" si="11"/>
        <v xml:space="preserve">HIS104 </v>
      </c>
      <c r="D92" s="13" t="s">
        <v>194</v>
      </c>
      <c r="E92" s="13"/>
      <c r="F92" s="14" t="s">
        <v>15</v>
      </c>
      <c r="G92" s="14"/>
      <c r="H92" s="40" t="str">
        <f>IF(COUNTIF(Course[Course ID],Course[[#This Row],[Course ID]])&gt;1,"S","")</f>
        <v/>
      </c>
      <c r="I92" s="8"/>
      <c r="J92" s="8"/>
      <c r="K92" s="8"/>
      <c r="L92" s="8"/>
      <c r="M92" s="8"/>
      <c r="N92" s="8"/>
      <c r="O92" s="8"/>
      <c r="P92" s="8"/>
      <c r="Q92" t="b">
        <v>1</v>
      </c>
      <c r="R92">
        <v>15</v>
      </c>
      <c r="S92" s="8" t="s">
        <v>203</v>
      </c>
    </row>
    <row r="93" spans="1:19" x14ac:dyDescent="0.3">
      <c r="A93" s="40" t="b">
        <f t="shared" si="9"/>
        <v>0</v>
      </c>
      <c r="B93" s="40" t="b">
        <f t="shared" si="10"/>
        <v>0</v>
      </c>
      <c r="C93" s="8" t="str">
        <f t="shared" si="11"/>
        <v xml:space="preserve">HIS105 </v>
      </c>
      <c r="D93" s="13" t="s">
        <v>195</v>
      </c>
      <c r="E93" s="13"/>
      <c r="F93" s="14" t="s">
        <v>15</v>
      </c>
      <c r="G93" s="14"/>
      <c r="H93" s="40" t="str">
        <f>IF(COUNTIF(Course[Course ID],Course[[#This Row],[Course ID]])&gt;1,"S","")</f>
        <v/>
      </c>
      <c r="I93" s="8"/>
      <c r="J93" s="8"/>
      <c r="K93" s="8"/>
      <c r="L93" s="8"/>
      <c r="M93" s="8"/>
      <c r="N93" s="8"/>
      <c r="O93" s="8"/>
      <c r="P93" s="8"/>
      <c r="Q93" t="b">
        <v>1</v>
      </c>
      <c r="R93">
        <v>15</v>
      </c>
      <c r="S93" s="8" t="s">
        <v>203</v>
      </c>
    </row>
    <row r="94" spans="1:19" x14ac:dyDescent="0.3">
      <c r="A94" s="40" t="b">
        <f t="shared" si="9"/>
        <v>0</v>
      </c>
      <c r="B94" s="40" t="b">
        <f t="shared" si="10"/>
        <v>0</v>
      </c>
      <c r="C94" s="8" t="str">
        <f t="shared" si="11"/>
        <v xml:space="preserve">HIS106 </v>
      </c>
      <c r="D94" s="13" t="s">
        <v>196</v>
      </c>
      <c r="E94" s="13"/>
      <c r="F94" s="14" t="s">
        <v>15</v>
      </c>
      <c r="G94" s="14"/>
      <c r="H94" s="40" t="str">
        <f>IF(COUNTIF(Course[Course ID],Course[[#This Row],[Course ID]])&gt;1,"S","")</f>
        <v/>
      </c>
      <c r="I94" s="8"/>
      <c r="J94" s="8"/>
      <c r="K94" s="8"/>
      <c r="L94" s="8"/>
      <c r="M94" s="8"/>
      <c r="N94" s="8"/>
      <c r="O94" s="8"/>
      <c r="P94" s="8"/>
      <c r="Q94" t="b">
        <v>1</v>
      </c>
      <c r="R94">
        <v>16</v>
      </c>
      <c r="S94" s="8" t="s">
        <v>203</v>
      </c>
    </row>
    <row r="95" spans="1:19" x14ac:dyDescent="0.3">
      <c r="A95" s="40" t="b">
        <f t="shared" si="9"/>
        <v>0</v>
      </c>
      <c r="B95" s="40" t="b">
        <f t="shared" si="10"/>
        <v>0</v>
      </c>
      <c r="C95" s="8" t="str">
        <f t="shared" si="11"/>
        <v xml:space="preserve">HIS107 </v>
      </c>
      <c r="D95" s="13" t="s">
        <v>197</v>
      </c>
      <c r="E95" s="13"/>
      <c r="F95" s="14" t="s">
        <v>15</v>
      </c>
      <c r="G95" s="14"/>
      <c r="H95" s="40" t="str">
        <f>IF(COUNTIF(Course[Course ID],Course[[#This Row],[Course ID]])&gt;1,"S","")</f>
        <v/>
      </c>
      <c r="I95" s="8"/>
      <c r="J95" s="8"/>
      <c r="K95" s="8"/>
      <c r="L95" s="8"/>
      <c r="M95" s="8"/>
      <c r="N95" s="8"/>
      <c r="O95" s="8"/>
      <c r="P95" s="8"/>
      <c r="Q95" t="b">
        <v>1</v>
      </c>
      <c r="R95">
        <v>16</v>
      </c>
      <c r="S95" s="8" t="s">
        <v>203</v>
      </c>
    </row>
    <row r="96" spans="1:19" x14ac:dyDescent="0.3">
      <c r="A96" s="40" t="b">
        <f t="shared" si="9"/>
        <v>0</v>
      </c>
      <c r="B96" s="40" t="b">
        <f t="shared" si="10"/>
        <v>0</v>
      </c>
      <c r="C96" s="8" t="str">
        <f t="shared" si="11"/>
        <v xml:space="preserve">HIS108 </v>
      </c>
      <c r="D96" s="13" t="s">
        <v>198</v>
      </c>
      <c r="E96" s="13"/>
      <c r="F96" s="14" t="s">
        <v>15</v>
      </c>
      <c r="G96" s="14"/>
      <c r="H96" s="40" t="str">
        <f>IF(COUNTIF(Course[Course ID],Course[[#This Row],[Course ID]])&gt;1,"S","")</f>
        <v/>
      </c>
      <c r="I96" s="8"/>
      <c r="J96" s="8"/>
      <c r="K96" s="8"/>
      <c r="L96" s="8"/>
      <c r="M96" s="8"/>
      <c r="N96" s="8"/>
      <c r="O96" s="8"/>
      <c r="P96" s="8"/>
      <c r="Q96" t="b">
        <v>1</v>
      </c>
      <c r="R96">
        <v>16</v>
      </c>
      <c r="S96" s="8" t="s">
        <v>203</v>
      </c>
    </row>
    <row r="97" spans="1:19" x14ac:dyDescent="0.3">
      <c r="A97" s="40" t="b">
        <f t="shared" si="9"/>
        <v>0</v>
      </c>
      <c r="B97" s="40" t="b">
        <f t="shared" si="10"/>
        <v>0</v>
      </c>
      <c r="C97" s="8" t="str">
        <f t="shared" si="11"/>
        <v xml:space="preserve">HIS109 </v>
      </c>
      <c r="D97" s="13" t="s">
        <v>199</v>
      </c>
      <c r="E97" s="13"/>
      <c r="F97" s="14" t="s">
        <v>15</v>
      </c>
      <c r="G97" s="14"/>
      <c r="H97" s="40" t="str">
        <f>IF(COUNTIF(Course[Course ID],Course[[#This Row],[Course ID]])&gt;1,"S","")</f>
        <v/>
      </c>
      <c r="I97" s="8"/>
      <c r="J97" s="8"/>
      <c r="K97" s="8"/>
      <c r="L97" s="8"/>
      <c r="M97" s="8"/>
      <c r="N97" s="8"/>
      <c r="O97" s="8"/>
      <c r="P97" s="8"/>
      <c r="Q97" t="b">
        <v>1</v>
      </c>
      <c r="R97">
        <v>17</v>
      </c>
      <c r="S97" s="8" t="s">
        <v>203</v>
      </c>
    </row>
    <row r="98" spans="1:19" x14ac:dyDescent="0.3">
      <c r="A98" s="40" t="b">
        <f t="shared" si="9"/>
        <v>0</v>
      </c>
      <c r="B98" s="40" t="b">
        <f t="shared" si="10"/>
        <v>0</v>
      </c>
      <c r="C98" s="8" t="str">
        <f t="shared" si="11"/>
        <v xml:space="preserve">HIS110 </v>
      </c>
      <c r="D98" s="13" t="s">
        <v>200</v>
      </c>
      <c r="E98" s="13"/>
      <c r="F98" s="14" t="s">
        <v>15</v>
      </c>
      <c r="G98" s="14"/>
      <c r="H98" s="40" t="str">
        <f>IF(COUNTIF(Course[Course ID],Course[[#This Row],[Course ID]])&gt;1,"S","")</f>
        <v/>
      </c>
      <c r="I98" s="8"/>
      <c r="J98" s="8"/>
      <c r="K98" s="8"/>
      <c r="L98" s="8"/>
      <c r="M98" s="8"/>
      <c r="N98" s="8"/>
      <c r="O98" s="8"/>
      <c r="P98" s="8"/>
      <c r="Q98" t="b">
        <v>1</v>
      </c>
      <c r="R98">
        <v>17</v>
      </c>
      <c r="S98" s="8" t="s">
        <v>203</v>
      </c>
    </row>
    <row r="99" spans="1:19" x14ac:dyDescent="0.3">
      <c r="A99" s="40" t="b">
        <f t="shared" si="9"/>
        <v>0</v>
      </c>
      <c r="B99" s="40" t="b">
        <f t="shared" si="10"/>
        <v>0</v>
      </c>
      <c r="C99" s="8" t="str">
        <f t="shared" ref="C99:C100" si="12">CONCATENATE(D99," ",E99)</f>
        <v xml:space="preserve">HIS111 </v>
      </c>
      <c r="D99" s="13" t="s">
        <v>201</v>
      </c>
      <c r="E99" s="13"/>
      <c r="F99" s="14" t="s">
        <v>15</v>
      </c>
      <c r="G99" s="14"/>
      <c r="H99" s="40" t="str">
        <f>IF(COUNTIF(Course[Course ID],Course[[#This Row],[Course ID]])&gt;1,"S","")</f>
        <v/>
      </c>
      <c r="I99" s="8"/>
      <c r="J99" s="8"/>
      <c r="K99" s="8"/>
      <c r="L99" s="8"/>
      <c r="M99" s="8"/>
      <c r="N99" s="8"/>
      <c r="O99" s="8"/>
      <c r="P99" s="8"/>
      <c r="Q99" t="b">
        <v>1</v>
      </c>
      <c r="R99">
        <v>17</v>
      </c>
      <c r="S99" s="8" t="s">
        <v>203</v>
      </c>
    </row>
    <row r="100" spans="1:19" x14ac:dyDescent="0.3">
      <c r="A100" s="40" t="b">
        <f t="shared" si="9"/>
        <v>0</v>
      </c>
      <c r="B100" s="40" t="b">
        <f t="shared" si="10"/>
        <v>0</v>
      </c>
      <c r="C100" s="8" t="str">
        <f t="shared" si="12"/>
        <v xml:space="preserve">HIS112 </v>
      </c>
      <c r="D100" s="13" t="s">
        <v>202</v>
      </c>
      <c r="E100" s="13"/>
      <c r="F100" s="14" t="s">
        <v>15</v>
      </c>
      <c r="G100" s="14"/>
      <c r="H100" s="40" t="str">
        <f>IF(COUNTIF(Course[Course ID],Course[[#This Row],[Course ID]])&gt;1,"S","")</f>
        <v/>
      </c>
      <c r="I100" s="8"/>
      <c r="J100" s="8"/>
      <c r="K100" s="8"/>
      <c r="L100" s="8"/>
      <c r="M100" s="8"/>
      <c r="N100" s="8"/>
      <c r="O100" s="8"/>
      <c r="P100" s="8"/>
      <c r="Q100" t="b">
        <v>1</v>
      </c>
      <c r="R100">
        <v>17</v>
      </c>
      <c r="S100" s="8" t="s">
        <v>203</v>
      </c>
    </row>
    <row r="101" spans="1:19" x14ac:dyDescent="0.3">
      <c r="A101" s="40" t="b">
        <f>IF(F101="G", TRUE,FALSE)</f>
        <v>1</v>
      </c>
      <c r="B101" s="40" t="b">
        <f>IF(ISBLANK(G101),FALSE,TRUE)</f>
        <v>0</v>
      </c>
      <c r="C101" s="8" t="str">
        <f>CONCATENATE(D101," ",E101)</f>
        <v xml:space="preserve">LIT100 </v>
      </c>
      <c r="D101" s="13" t="s">
        <v>204</v>
      </c>
      <c r="E101" s="13"/>
      <c r="F101" s="14" t="s">
        <v>16</v>
      </c>
      <c r="G101" s="14"/>
      <c r="H101" s="40" t="str">
        <f>IF(COUNTIF(Course[Course ID],Course[[#This Row],[Course ID]])&gt;1,"S","")</f>
        <v/>
      </c>
      <c r="I101" s="8"/>
      <c r="J101" s="8"/>
      <c r="K101" s="8"/>
      <c r="L101" s="8"/>
      <c r="M101" s="8"/>
      <c r="N101" s="8"/>
      <c r="O101" s="8"/>
      <c r="P101" s="8"/>
      <c r="Q101" t="b">
        <v>1</v>
      </c>
      <c r="R101">
        <v>21</v>
      </c>
      <c r="S101" s="8"/>
    </row>
    <row r="102" spans="1:19" x14ac:dyDescent="0.3">
      <c r="A102" s="40" t="b">
        <f t="shared" ref="A102:A115" si="13">IF(F102="G", TRUE,FALSE)</f>
        <v>1</v>
      </c>
      <c r="B102" s="40" t="b">
        <f t="shared" ref="B102:B115" si="14">IF(ISBLANK(G102),FALSE,TRUE)</f>
        <v>0</v>
      </c>
      <c r="C102" s="8" t="str">
        <f t="shared" ref="C102:C115" si="15">CONCATENATE(D102," ",E102)</f>
        <v xml:space="preserve">LIT101 </v>
      </c>
      <c r="D102" s="13" t="s">
        <v>205</v>
      </c>
      <c r="E102" s="13"/>
      <c r="F102" s="14" t="s">
        <v>16</v>
      </c>
      <c r="G102" s="14"/>
      <c r="H102" s="40" t="str">
        <f>IF(COUNTIF(Course[Course ID],Course[[#This Row],[Course ID]])&gt;1,"S","")</f>
        <v/>
      </c>
      <c r="I102" s="8"/>
      <c r="J102" s="8"/>
      <c r="K102" s="8"/>
      <c r="L102" s="8"/>
      <c r="M102" s="8"/>
      <c r="N102" s="8"/>
      <c r="O102" s="8"/>
      <c r="P102" s="8"/>
      <c r="Q102" t="b">
        <v>1</v>
      </c>
      <c r="R102">
        <v>21</v>
      </c>
      <c r="S102" s="8"/>
    </row>
    <row r="103" spans="1:19" x14ac:dyDescent="0.3">
      <c r="A103" s="40" t="b">
        <f t="shared" si="13"/>
        <v>1</v>
      </c>
      <c r="B103" s="40" t="b">
        <f t="shared" si="14"/>
        <v>0</v>
      </c>
      <c r="C103" s="8" t="str">
        <f t="shared" si="15"/>
        <v xml:space="preserve">LIT102 </v>
      </c>
      <c r="D103" s="13" t="s">
        <v>206</v>
      </c>
      <c r="E103" s="13"/>
      <c r="F103" s="14" t="s">
        <v>16</v>
      </c>
      <c r="G103" s="14"/>
      <c r="H103" s="40" t="str">
        <f>IF(COUNTIF(Course[Course ID],Course[[#This Row],[Course ID]])&gt;1,"S","")</f>
        <v/>
      </c>
      <c r="I103" s="8"/>
      <c r="J103" s="8"/>
      <c r="K103" s="8"/>
      <c r="L103" s="8"/>
      <c r="M103" s="8"/>
      <c r="N103" s="8"/>
      <c r="O103" s="8"/>
      <c r="P103" s="8"/>
      <c r="Q103" t="b">
        <v>1</v>
      </c>
      <c r="R103">
        <v>21</v>
      </c>
      <c r="S103" s="8"/>
    </row>
    <row r="104" spans="1:19" x14ac:dyDescent="0.3">
      <c r="A104" s="40" t="b">
        <f t="shared" si="13"/>
        <v>1</v>
      </c>
      <c r="B104" s="40" t="b">
        <f t="shared" si="14"/>
        <v>0</v>
      </c>
      <c r="C104" s="8" t="str">
        <f t="shared" si="15"/>
        <v xml:space="preserve">LIT103 </v>
      </c>
      <c r="D104" s="13" t="s">
        <v>207</v>
      </c>
      <c r="E104" s="13"/>
      <c r="F104" s="14" t="s">
        <v>16</v>
      </c>
      <c r="G104" s="14"/>
      <c r="H104" s="40" t="str">
        <f>IF(COUNTIF(Course[Course ID],Course[[#This Row],[Course ID]])&gt;1,"S","")</f>
        <v/>
      </c>
      <c r="I104" s="8"/>
      <c r="J104" s="8"/>
      <c r="K104" s="8"/>
      <c r="L104" s="8"/>
      <c r="M104" s="8"/>
      <c r="N104" s="8"/>
      <c r="O104" s="8"/>
      <c r="P104" s="8"/>
      <c r="Q104" t="b">
        <v>1</v>
      </c>
      <c r="R104">
        <v>21</v>
      </c>
      <c r="S104" s="8"/>
    </row>
    <row r="105" spans="1:19" x14ac:dyDescent="0.3">
      <c r="A105" s="40" t="b">
        <f t="shared" si="13"/>
        <v>1</v>
      </c>
      <c r="B105" s="40" t="b">
        <f t="shared" si="14"/>
        <v>0</v>
      </c>
      <c r="C105" s="8" t="str">
        <f t="shared" si="15"/>
        <v xml:space="preserve">LIT104 </v>
      </c>
      <c r="D105" s="13" t="s">
        <v>208</v>
      </c>
      <c r="E105" s="13"/>
      <c r="F105" s="14" t="s">
        <v>16</v>
      </c>
      <c r="G105" s="14"/>
      <c r="H105" s="40" t="str">
        <f>IF(COUNTIF(Course[Course ID],Course[[#This Row],[Course ID]])&gt;1,"S","")</f>
        <v/>
      </c>
      <c r="I105" s="8"/>
      <c r="J105" s="8"/>
      <c r="K105" s="8"/>
      <c r="L105" s="8"/>
      <c r="M105" s="8"/>
      <c r="N105" s="8"/>
      <c r="O105" s="8"/>
      <c r="P105" s="8"/>
      <c r="Q105" t="b">
        <v>1</v>
      </c>
      <c r="R105">
        <v>22</v>
      </c>
      <c r="S105" s="8"/>
    </row>
    <row r="106" spans="1:19" x14ac:dyDescent="0.3">
      <c r="A106" s="40" t="b">
        <f t="shared" si="13"/>
        <v>1</v>
      </c>
      <c r="B106" s="40" t="b">
        <f t="shared" si="14"/>
        <v>0</v>
      </c>
      <c r="C106" s="8" t="str">
        <f t="shared" si="15"/>
        <v xml:space="preserve">LIT105 </v>
      </c>
      <c r="D106" s="13" t="s">
        <v>209</v>
      </c>
      <c r="E106" s="13"/>
      <c r="F106" s="14" t="s">
        <v>16</v>
      </c>
      <c r="G106" s="14"/>
      <c r="H106" s="40" t="str">
        <f>IF(COUNTIF(Course[Course ID],Course[[#This Row],[Course ID]])&gt;1,"S","")</f>
        <v/>
      </c>
      <c r="I106" s="8"/>
      <c r="J106" s="8"/>
      <c r="K106" s="8"/>
      <c r="L106" s="8"/>
      <c r="M106" s="8"/>
      <c r="N106" s="8"/>
      <c r="O106" s="8"/>
      <c r="P106" s="8"/>
      <c r="Q106" t="b">
        <v>1</v>
      </c>
      <c r="R106">
        <v>22</v>
      </c>
      <c r="S106" s="8"/>
    </row>
    <row r="107" spans="1:19" x14ac:dyDescent="0.3">
      <c r="A107" s="40" t="b">
        <f t="shared" si="13"/>
        <v>1</v>
      </c>
      <c r="B107" s="40" t="b">
        <f t="shared" si="14"/>
        <v>0</v>
      </c>
      <c r="C107" s="8" t="str">
        <f t="shared" si="15"/>
        <v xml:space="preserve">LIT106 </v>
      </c>
      <c r="D107" s="13" t="s">
        <v>210</v>
      </c>
      <c r="E107" s="13"/>
      <c r="F107" s="14" t="s">
        <v>16</v>
      </c>
      <c r="G107" s="14"/>
      <c r="H107" s="40" t="str">
        <f>IF(COUNTIF(Course[Course ID],Course[[#This Row],[Course ID]])&gt;1,"S","")</f>
        <v/>
      </c>
      <c r="I107" s="8"/>
      <c r="J107" s="8"/>
      <c r="K107" s="8"/>
      <c r="L107" s="8"/>
      <c r="M107" s="8"/>
      <c r="N107" s="8"/>
      <c r="O107" s="8"/>
      <c r="P107" s="8"/>
      <c r="Q107" t="b">
        <v>1</v>
      </c>
      <c r="R107">
        <v>22</v>
      </c>
      <c r="S107" s="8"/>
    </row>
    <row r="108" spans="1:19" x14ac:dyDescent="0.3">
      <c r="A108" s="40" t="b">
        <f t="shared" si="13"/>
        <v>1</v>
      </c>
      <c r="B108" s="40" t="b">
        <f t="shared" si="14"/>
        <v>0</v>
      </c>
      <c r="C108" s="8" t="str">
        <f t="shared" si="15"/>
        <v xml:space="preserve">LIT107 </v>
      </c>
      <c r="D108" s="13" t="s">
        <v>211</v>
      </c>
      <c r="E108" s="13"/>
      <c r="F108" s="14" t="s">
        <v>16</v>
      </c>
      <c r="G108" s="14"/>
      <c r="H108" s="40" t="str">
        <f>IF(COUNTIF(Course[Course ID],Course[[#This Row],[Course ID]])&gt;1,"S","")</f>
        <v/>
      </c>
      <c r="I108" s="8"/>
      <c r="J108" s="8"/>
      <c r="K108" s="8"/>
      <c r="L108" s="8"/>
      <c r="M108" s="8"/>
      <c r="N108" s="8"/>
      <c r="O108" s="8"/>
      <c r="P108" s="8"/>
      <c r="Q108" t="b">
        <v>1</v>
      </c>
      <c r="R108">
        <v>22</v>
      </c>
      <c r="S108" s="8"/>
    </row>
    <row r="109" spans="1:19" x14ac:dyDescent="0.3">
      <c r="A109" s="40" t="b">
        <f t="shared" si="13"/>
        <v>1</v>
      </c>
      <c r="B109" s="40" t="b">
        <f t="shared" si="14"/>
        <v>0</v>
      </c>
      <c r="C109" s="8" t="str">
        <f t="shared" si="15"/>
        <v xml:space="preserve">LIT108 </v>
      </c>
      <c r="D109" s="13" t="s">
        <v>212</v>
      </c>
      <c r="E109" s="13"/>
      <c r="F109" s="14" t="s">
        <v>16</v>
      </c>
      <c r="G109" s="14"/>
      <c r="H109" s="40" t="str">
        <f>IF(COUNTIF(Course[Course ID],Course[[#This Row],[Course ID]])&gt;1,"S","")</f>
        <v/>
      </c>
      <c r="I109" s="8"/>
      <c r="J109" s="8"/>
      <c r="K109" s="8"/>
      <c r="L109" s="8"/>
      <c r="M109" s="8"/>
      <c r="N109" s="8"/>
      <c r="O109" s="8"/>
      <c r="P109" s="8"/>
      <c r="Q109" t="b">
        <v>1</v>
      </c>
      <c r="R109">
        <v>22</v>
      </c>
      <c r="S109" s="8"/>
    </row>
    <row r="110" spans="1:19" x14ac:dyDescent="0.3">
      <c r="A110" s="40" t="b">
        <f t="shared" si="13"/>
        <v>1</v>
      </c>
      <c r="B110" s="40" t="b">
        <f t="shared" si="14"/>
        <v>0</v>
      </c>
      <c r="C110" s="8" t="str">
        <f t="shared" si="15"/>
        <v xml:space="preserve">LIT109 </v>
      </c>
      <c r="D110" s="13" t="s">
        <v>213</v>
      </c>
      <c r="E110" s="13"/>
      <c r="F110" s="14" t="s">
        <v>16</v>
      </c>
      <c r="G110" s="14"/>
      <c r="H110" s="40" t="str">
        <f>IF(COUNTIF(Course[Course ID],Course[[#This Row],[Course ID]])&gt;1,"S","")</f>
        <v/>
      </c>
      <c r="I110" s="8"/>
      <c r="J110" s="8"/>
      <c r="K110" s="8"/>
      <c r="L110" s="8"/>
      <c r="M110" s="8"/>
      <c r="N110" s="8"/>
      <c r="O110" s="8"/>
      <c r="P110" s="8"/>
      <c r="Q110" t="b">
        <v>1</v>
      </c>
      <c r="R110">
        <v>22</v>
      </c>
      <c r="S110" s="8"/>
    </row>
    <row r="111" spans="1:19" x14ac:dyDescent="0.3">
      <c r="A111" s="40" t="b">
        <f t="shared" si="13"/>
        <v>1</v>
      </c>
      <c r="B111" s="40" t="b">
        <f t="shared" si="14"/>
        <v>0</v>
      </c>
      <c r="C111" s="8" t="str">
        <f t="shared" si="15"/>
        <v xml:space="preserve">LIT110 </v>
      </c>
      <c r="D111" s="13" t="s">
        <v>214</v>
      </c>
      <c r="E111" s="13"/>
      <c r="F111" s="14" t="s">
        <v>16</v>
      </c>
      <c r="G111" s="14"/>
      <c r="H111" s="40" t="str">
        <f>IF(COUNTIF(Course[Course ID],Course[[#This Row],[Course ID]])&gt;1,"S","")</f>
        <v/>
      </c>
      <c r="I111" s="8"/>
      <c r="J111" s="8"/>
      <c r="K111" s="8"/>
      <c r="L111" s="8"/>
      <c r="M111" s="8"/>
      <c r="N111" s="8"/>
      <c r="O111" s="8"/>
      <c r="P111" s="8"/>
      <c r="Q111" t="b">
        <v>1</v>
      </c>
      <c r="R111">
        <v>22</v>
      </c>
      <c r="S111" s="8"/>
    </row>
    <row r="112" spans="1:19" x14ac:dyDescent="0.3">
      <c r="A112" s="40" t="b">
        <f t="shared" si="13"/>
        <v>1</v>
      </c>
      <c r="B112" s="40" t="b">
        <f t="shared" si="14"/>
        <v>0</v>
      </c>
      <c r="C112" s="8" t="str">
        <f t="shared" si="15"/>
        <v xml:space="preserve">LIT111 </v>
      </c>
      <c r="D112" s="13" t="s">
        <v>215</v>
      </c>
      <c r="E112" s="13"/>
      <c r="F112" s="14" t="s">
        <v>16</v>
      </c>
      <c r="G112" s="14"/>
      <c r="H112" s="40" t="str">
        <f>IF(COUNTIF(Course[Course ID],Course[[#This Row],[Course ID]])&gt;1,"S","")</f>
        <v/>
      </c>
      <c r="I112" s="8"/>
      <c r="J112" s="8"/>
      <c r="K112" s="8"/>
      <c r="L112" s="8"/>
      <c r="M112" s="8"/>
      <c r="N112" s="8"/>
      <c r="O112" s="8"/>
      <c r="P112" s="8"/>
      <c r="Q112" t="b">
        <v>1</v>
      </c>
      <c r="R112">
        <v>22</v>
      </c>
      <c r="S112" s="8"/>
    </row>
    <row r="113" spans="1:19" x14ac:dyDescent="0.3">
      <c r="A113" s="40" t="b">
        <f t="shared" si="13"/>
        <v>1</v>
      </c>
      <c r="B113" s="40" t="b">
        <f t="shared" si="14"/>
        <v>0</v>
      </c>
      <c r="C113" s="8" t="str">
        <f t="shared" si="15"/>
        <v xml:space="preserve">LIT112 </v>
      </c>
      <c r="D113" s="13" t="s">
        <v>216</v>
      </c>
      <c r="E113" s="13"/>
      <c r="F113" s="14" t="s">
        <v>16</v>
      </c>
      <c r="G113" s="14"/>
      <c r="H113" s="40" t="str">
        <f>IF(COUNTIF(Course[Course ID],Course[[#This Row],[Course ID]])&gt;1,"S","")</f>
        <v/>
      </c>
      <c r="I113" s="8"/>
      <c r="J113" s="8"/>
      <c r="K113" s="8"/>
      <c r="L113" s="8"/>
      <c r="M113" s="8"/>
      <c r="N113" s="8"/>
      <c r="O113" s="8"/>
      <c r="P113" s="8"/>
      <c r="Q113" t="b">
        <v>1</v>
      </c>
      <c r="R113">
        <v>22</v>
      </c>
      <c r="S113" s="8"/>
    </row>
    <row r="114" spans="1:19" x14ac:dyDescent="0.3">
      <c r="A114" s="40" t="b">
        <f t="shared" si="13"/>
        <v>1</v>
      </c>
      <c r="B114" s="40" t="b">
        <f t="shared" si="14"/>
        <v>0</v>
      </c>
      <c r="C114" s="8" t="str">
        <f t="shared" si="15"/>
        <v xml:space="preserve">LIT113 </v>
      </c>
      <c r="D114" s="13" t="s">
        <v>217</v>
      </c>
      <c r="E114" s="13"/>
      <c r="F114" s="14" t="s">
        <v>16</v>
      </c>
      <c r="G114" s="14"/>
      <c r="H114" s="40" t="str">
        <f>IF(COUNTIF(Course[Course ID],Course[[#This Row],[Course ID]])&gt;1,"S","")</f>
        <v/>
      </c>
      <c r="I114" s="8"/>
      <c r="J114" s="8"/>
      <c r="K114" s="8"/>
      <c r="L114" s="8"/>
      <c r="M114" s="8"/>
      <c r="N114" s="8"/>
      <c r="O114" s="8"/>
      <c r="P114" s="8"/>
      <c r="Q114" t="b">
        <v>1</v>
      </c>
      <c r="R114">
        <v>22</v>
      </c>
      <c r="S114" s="8"/>
    </row>
    <row r="115" spans="1:19" x14ac:dyDescent="0.3">
      <c r="A115" s="40" t="b">
        <f t="shared" si="13"/>
        <v>1</v>
      </c>
      <c r="B115" s="40" t="b">
        <f t="shared" si="14"/>
        <v>0</v>
      </c>
      <c r="C115" s="8" t="str">
        <f t="shared" si="15"/>
        <v xml:space="preserve">LIT114 </v>
      </c>
      <c r="D115" s="13" t="s">
        <v>218</v>
      </c>
      <c r="E115" s="13"/>
      <c r="F115" s="14" t="s">
        <v>16</v>
      </c>
      <c r="G115" s="14"/>
      <c r="H115" s="40" t="str">
        <f>IF(COUNTIF(Course[Course ID],Course[[#This Row],[Course ID]])&gt;1,"S","")</f>
        <v/>
      </c>
      <c r="I115" s="8"/>
      <c r="J115" s="8"/>
      <c r="K115" s="8"/>
      <c r="L115" s="8"/>
      <c r="M115" s="8"/>
      <c r="N115" s="8"/>
      <c r="O115" s="8"/>
      <c r="P115" s="8"/>
      <c r="Q115" t="b">
        <v>1</v>
      </c>
      <c r="R115">
        <v>23</v>
      </c>
      <c r="S115" s="8"/>
    </row>
    <row r="116" spans="1:19" x14ac:dyDescent="0.3">
      <c r="A116" s="40" t="b">
        <f>IF(F116="G", TRUE,FALSE)</f>
        <v>1</v>
      </c>
      <c r="B116" s="40" t="b">
        <f>IF(ISBLANK(G116),FALSE,TRUE)</f>
        <v>0</v>
      </c>
      <c r="C116" s="8" t="str">
        <f>CONCATENATE(D116," ",E116)</f>
        <v xml:space="preserve">HFD100 </v>
      </c>
      <c r="D116" s="13" t="s">
        <v>219</v>
      </c>
      <c r="E116" s="13"/>
      <c r="F116" s="14" t="s">
        <v>16</v>
      </c>
      <c r="G116" s="14"/>
      <c r="H116" s="40" t="str">
        <f>IF(COUNTIF(Course[Course ID],Course[[#This Row],[Course ID]])&gt;1,"S","")</f>
        <v/>
      </c>
      <c r="I116" s="8"/>
      <c r="J116" s="8"/>
      <c r="K116" s="8"/>
      <c r="L116" s="8"/>
      <c r="M116" s="8"/>
      <c r="N116" s="8"/>
      <c r="O116" s="8"/>
      <c r="P116" s="8"/>
      <c r="Q116" t="b">
        <v>1</v>
      </c>
      <c r="R116">
        <v>23</v>
      </c>
      <c r="S116" s="8"/>
    </row>
    <row r="117" spans="1:19" x14ac:dyDescent="0.3">
      <c r="A117" s="40" t="b">
        <f t="shared" ref="A117:A148" si="16">IF(F117="G", TRUE,FALSE)</f>
        <v>1</v>
      </c>
      <c r="B117" s="40" t="b">
        <f t="shared" ref="B117:B148" si="17">IF(ISBLANK(G117),FALSE,TRUE)</f>
        <v>0</v>
      </c>
      <c r="C117" s="8" t="str">
        <f t="shared" ref="C117:C148" si="18">CONCATENATE(D117," ",E117)</f>
        <v xml:space="preserve">HFD101 </v>
      </c>
      <c r="D117" s="13" t="s">
        <v>220</v>
      </c>
      <c r="E117" s="13"/>
      <c r="F117" s="14" t="s">
        <v>16</v>
      </c>
      <c r="G117" s="14"/>
      <c r="H117" s="40" t="str">
        <f>IF(COUNTIF(Course[Course ID],Course[[#This Row],[Course ID]])&gt;1,"S","")</f>
        <v/>
      </c>
      <c r="I117" s="8"/>
      <c r="J117" s="8"/>
      <c r="K117" s="8"/>
      <c r="L117" s="8"/>
      <c r="M117" s="8"/>
      <c r="N117" s="8"/>
      <c r="O117" s="8"/>
      <c r="P117" s="8"/>
      <c r="Q117" t="b">
        <v>1</v>
      </c>
      <c r="R117">
        <v>23</v>
      </c>
      <c r="S117" s="8"/>
    </row>
    <row r="118" spans="1:19" x14ac:dyDescent="0.3">
      <c r="A118" s="40" t="b">
        <f t="shared" si="16"/>
        <v>1</v>
      </c>
      <c r="B118" s="40" t="b">
        <f t="shared" si="17"/>
        <v>0</v>
      </c>
      <c r="C118" s="8" t="str">
        <f t="shared" si="18"/>
        <v xml:space="preserve">HFD102 </v>
      </c>
      <c r="D118" s="13" t="s">
        <v>221</v>
      </c>
      <c r="E118" s="13"/>
      <c r="F118" s="14" t="s">
        <v>16</v>
      </c>
      <c r="G118" s="14"/>
      <c r="H118" s="40" t="str">
        <f>IF(COUNTIF(Course[Course ID],Course[[#This Row],[Course ID]])&gt;1,"S","")</f>
        <v/>
      </c>
      <c r="I118" s="8"/>
      <c r="J118" s="8"/>
      <c r="K118" s="8"/>
      <c r="L118" s="8"/>
      <c r="M118" s="8"/>
      <c r="N118" s="8"/>
      <c r="O118" s="8"/>
      <c r="P118" s="8"/>
      <c r="Q118" t="b">
        <v>1</v>
      </c>
      <c r="R118">
        <v>23</v>
      </c>
      <c r="S118" s="8"/>
    </row>
    <row r="119" spans="1:19" x14ac:dyDescent="0.3">
      <c r="A119" s="40" t="b">
        <f t="shared" si="16"/>
        <v>1</v>
      </c>
      <c r="B119" s="40" t="b">
        <f t="shared" si="17"/>
        <v>0</v>
      </c>
      <c r="C119" s="8" t="str">
        <f t="shared" si="18"/>
        <v xml:space="preserve">HFD103 </v>
      </c>
      <c r="D119" s="13" t="s">
        <v>222</v>
      </c>
      <c r="E119" s="13"/>
      <c r="F119" s="14" t="s">
        <v>16</v>
      </c>
      <c r="G119" s="14"/>
      <c r="H119" s="40" t="str">
        <f>IF(COUNTIF(Course[Course ID],Course[[#This Row],[Course ID]])&gt;1,"S","")</f>
        <v/>
      </c>
      <c r="I119" s="8"/>
      <c r="J119" s="8"/>
      <c r="K119" s="8"/>
      <c r="L119" s="8"/>
      <c r="M119" s="8"/>
      <c r="N119" s="8"/>
      <c r="O119" s="8"/>
      <c r="P119" s="8"/>
      <c r="Q119" t="b">
        <v>1</v>
      </c>
      <c r="R119">
        <v>23</v>
      </c>
      <c r="S119" s="8"/>
    </row>
    <row r="120" spans="1:19" x14ac:dyDescent="0.3">
      <c r="A120" s="40" t="b">
        <f t="shared" si="16"/>
        <v>1</v>
      </c>
      <c r="B120" s="40" t="b">
        <f t="shared" si="17"/>
        <v>0</v>
      </c>
      <c r="C120" s="8" t="str">
        <f t="shared" si="18"/>
        <v xml:space="preserve">HFD104 </v>
      </c>
      <c r="D120" s="13" t="s">
        <v>223</v>
      </c>
      <c r="E120" s="13"/>
      <c r="F120" s="14" t="s">
        <v>16</v>
      </c>
      <c r="G120" s="14"/>
      <c r="H120" s="40" t="str">
        <f>IF(COUNTIF(Course[Course ID],Course[[#This Row],[Course ID]])&gt;1,"S","")</f>
        <v/>
      </c>
      <c r="I120" s="8"/>
      <c r="J120" s="8"/>
      <c r="K120" s="8"/>
      <c r="L120" s="8"/>
      <c r="M120" s="8"/>
      <c r="N120" s="8"/>
      <c r="O120" s="8"/>
      <c r="P120" s="8"/>
      <c r="Q120" t="b">
        <v>1</v>
      </c>
      <c r="R120">
        <v>23</v>
      </c>
      <c r="S120" s="8"/>
    </row>
    <row r="121" spans="1:19" x14ac:dyDescent="0.3">
      <c r="A121" s="40" t="b">
        <f t="shared" si="16"/>
        <v>1</v>
      </c>
      <c r="B121" s="40" t="b">
        <f t="shared" si="17"/>
        <v>0</v>
      </c>
      <c r="C121" s="8" t="str">
        <f t="shared" si="18"/>
        <v xml:space="preserve">HFD105 </v>
      </c>
      <c r="D121" s="13" t="s">
        <v>224</v>
      </c>
      <c r="E121" s="13"/>
      <c r="F121" s="14" t="s">
        <v>16</v>
      </c>
      <c r="G121" s="14"/>
      <c r="H121" s="40" t="str">
        <f>IF(COUNTIF(Course[Course ID],Course[[#This Row],[Course ID]])&gt;1,"S","")</f>
        <v/>
      </c>
      <c r="I121" s="8"/>
      <c r="J121" s="8"/>
      <c r="K121" s="8"/>
      <c r="L121" s="8"/>
      <c r="M121" s="8"/>
      <c r="N121" s="8"/>
      <c r="O121" s="8"/>
      <c r="P121" s="8"/>
      <c r="Q121" t="b">
        <v>1</v>
      </c>
      <c r="R121">
        <v>23</v>
      </c>
      <c r="S121" s="8"/>
    </row>
    <row r="122" spans="1:19" x14ac:dyDescent="0.3">
      <c r="A122" s="40" t="b">
        <f t="shared" si="16"/>
        <v>1</v>
      </c>
      <c r="B122" s="40" t="b">
        <f t="shared" si="17"/>
        <v>0</v>
      </c>
      <c r="C122" s="8" t="str">
        <f t="shared" si="18"/>
        <v xml:space="preserve">HFD106 </v>
      </c>
      <c r="D122" s="13" t="s">
        <v>225</v>
      </c>
      <c r="E122" s="13"/>
      <c r="F122" s="14" t="s">
        <v>16</v>
      </c>
      <c r="G122" s="14"/>
      <c r="H122" s="40" t="str">
        <f>IF(COUNTIF(Course[Course ID],Course[[#This Row],[Course ID]])&gt;1,"S","")</f>
        <v/>
      </c>
      <c r="I122" s="8"/>
      <c r="J122" s="8"/>
      <c r="K122" s="8"/>
      <c r="L122" s="8"/>
      <c r="M122" s="8"/>
      <c r="N122" s="8"/>
      <c r="O122" s="8"/>
      <c r="P122" s="8"/>
      <c r="Q122" t="b">
        <v>1</v>
      </c>
      <c r="R122">
        <v>23</v>
      </c>
      <c r="S122" s="8"/>
    </row>
    <row r="123" spans="1:19" x14ac:dyDescent="0.3">
      <c r="A123" s="40" t="b">
        <f t="shared" si="16"/>
        <v>1</v>
      </c>
      <c r="B123" s="40" t="b">
        <f t="shared" si="17"/>
        <v>0</v>
      </c>
      <c r="C123" s="8" t="str">
        <f t="shared" si="18"/>
        <v xml:space="preserve">HFD107 </v>
      </c>
      <c r="D123" s="13" t="s">
        <v>226</v>
      </c>
      <c r="E123" s="13"/>
      <c r="F123" s="14" t="s">
        <v>16</v>
      </c>
      <c r="G123" s="14"/>
      <c r="H123" s="40" t="str">
        <f>IF(COUNTIF(Course[Course ID],Course[[#This Row],[Course ID]])&gt;1,"S","")</f>
        <v/>
      </c>
      <c r="I123" s="8"/>
      <c r="J123" s="8"/>
      <c r="K123" s="8"/>
      <c r="L123" s="8"/>
      <c r="M123" s="8"/>
      <c r="N123" s="8"/>
      <c r="O123" s="8"/>
      <c r="P123" s="8"/>
      <c r="Q123" t="b">
        <v>1</v>
      </c>
      <c r="R123">
        <v>23</v>
      </c>
      <c r="S123" s="8"/>
    </row>
    <row r="124" spans="1:19" x14ac:dyDescent="0.3">
      <c r="A124" s="40" t="b">
        <f t="shared" si="16"/>
        <v>1</v>
      </c>
      <c r="B124" s="40" t="b">
        <f t="shared" si="17"/>
        <v>0</v>
      </c>
      <c r="C124" s="8" t="str">
        <f t="shared" si="18"/>
        <v xml:space="preserve">HFD108 </v>
      </c>
      <c r="D124" s="13" t="s">
        <v>227</v>
      </c>
      <c r="E124" s="13"/>
      <c r="F124" s="14" t="s">
        <v>16</v>
      </c>
      <c r="G124" s="14"/>
      <c r="H124" s="40" t="str">
        <f>IF(COUNTIF(Course[Course ID],Course[[#This Row],[Course ID]])&gt;1,"S","")</f>
        <v/>
      </c>
      <c r="I124" s="8"/>
      <c r="J124" s="8"/>
      <c r="K124" s="8"/>
      <c r="L124" s="8"/>
      <c r="M124" s="8"/>
      <c r="N124" s="8"/>
      <c r="O124" s="8"/>
      <c r="P124" s="8"/>
      <c r="Q124" t="b">
        <v>1</v>
      </c>
      <c r="R124">
        <v>23</v>
      </c>
      <c r="S124" s="8"/>
    </row>
    <row r="125" spans="1:19" x14ac:dyDescent="0.3">
      <c r="A125" s="40" t="b">
        <f t="shared" si="16"/>
        <v>1</v>
      </c>
      <c r="B125" s="40" t="b">
        <f t="shared" si="17"/>
        <v>0</v>
      </c>
      <c r="C125" s="8" t="str">
        <f t="shared" si="18"/>
        <v xml:space="preserve">HFD109 </v>
      </c>
      <c r="D125" s="13" t="s">
        <v>228</v>
      </c>
      <c r="E125" s="13"/>
      <c r="F125" s="14" t="s">
        <v>16</v>
      </c>
      <c r="G125" s="14"/>
      <c r="H125" s="40" t="str">
        <f>IF(COUNTIF(Course[Course ID],Course[[#This Row],[Course ID]])&gt;1,"S","")</f>
        <v/>
      </c>
      <c r="I125" s="8"/>
      <c r="J125" s="8"/>
      <c r="K125" s="8"/>
      <c r="L125" s="8"/>
      <c r="M125" s="8"/>
      <c r="N125" s="8"/>
      <c r="O125" s="8"/>
      <c r="P125" s="8"/>
      <c r="Q125" t="b">
        <v>1</v>
      </c>
      <c r="R125">
        <v>23</v>
      </c>
      <c r="S125" s="8"/>
    </row>
    <row r="126" spans="1:19" x14ac:dyDescent="0.3">
      <c r="A126" s="40" t="b">
        <f t="shared" si="16"/>
        <v>1</v>
      </c>
      <c r="B126" s="40" t="b">
        <f t="shared" si="17"/>
        <v>0</v>
      </c>
      <c r="C126" s="8" t="str">
        <f t="shared" si="18"/>
        <v xml:space="preserve">HFD110 </v>
      </c>
      <c r="D126" s="13" t="s">
        <v>229</v>
      </c>
      <c r="E126" s="13"/>
      <c r="F126" s="14" t="s">
        <v>16</v>
      </c>
      <c r="G126" s="14"/>
      <c r="H126" s="40" t="str">
        <f>IF(COUNTIF(Course[Course ID],Course[[#This Row],[Course ID]])&gt;1,"S","")</f>
        <v/>
      </c>
      <c r="I126" s="8"/>
      <c r="J126" s="8"/>
      <c r="K126" s="8"/>
      <c r="L126" s="8"/>
      <c r="M126" s="8"/>
      <c r="N126" s="8"/>
      <c r="O126" s="8"/>
      <c r="P126" s="8"/>
      <c r="Q126" t="b">
        <v>1</v>
      </c>
      <c r="R126">
        <v>24</v>
      </c>
      <c r="S126" s="8"/>
    </row>
    <row r="127" spans="1:19" x14ac:dyDescent="0.3">
      <c r="A127" s="40" t="b">
        <f t="shared" si="16"/>
        <v>1</v>
      </c>
      <c r="B127" s="40" t="b">
        <f t="shared" si="17"/>
        <v>0</v>
      </c>
      <c r="C127" s="8" t="str">
        <f t="shared" si="18"/>
        <v xml:space="preserve">HFD111 </v>
      </c>
      <c r="D127" s="13" t="s">
        <v>230</v>
      </c>
      <c r="E127" s="13"/>
      <c r="F127" s="14" t="s">
        <v>16</v>
      </c>
      <c r="G127" s="14"/>
      <c r="H127" s="40" t="str">
        <f>IF(COUNTIF(Course[Course ID],Course[[#This Row],[Course ID]])&gt;1,"S","")</f>
        <v/>
      </c>
      <c r="I127" s="8"/>
      <c r="J127" s="8"/>
      <c r="K127" s="8"/>
      <c r="L127" s="8"/>
      <c r="M127" s="8"/>
      <c r="N127" s="8"/>
      <c r="O127" s="8"/>
      <c r="P127" s="8"/>
      <c r="Q127" t="b">
        <v>1</v>
      </c>
      <c r="R127">
        <v>24</v>
      </c>
      <c r="S127" s="8"/>
    </row>
    <row r="128" spans="1:19" x14ac:dyDescent="0.3">
      <c r="A128" s="40" t="b">
        <f t="shared" si="16"/>
        <v>1</v>
      </c>
      <c r="B128" s="40" t="b">
        <f t="shared" si="17"/>
        <v>0</v>
      </c>
      <c r="C128" s="8" t="str">
        <f t="shared" si="18"/>
        <v xml:space="preserve">HFD112 </v>
      </c>
      <c r="D128" s="13" t="s">
        <v>231</v>
      </c>
      <c r="E128" s="13"/>
      <c r="F128" s="14" t="s">
        <v>16</v>
      </c>
      <c r="G128" s="14"/>
      <c r="H128" s="40" t="str">
        <f>IF(COUNTIF(Course[Course ID],Course[[#This Row],[Course ID]])&gt;1,"S","")</f>
        <v/>
      </c>
      <c r="I128" s="8"/>
      <c r="J128" s="8"/>
      <c r="K128" s="8"/>
      <c r="L128" s="8"/>
      <c r="M128" s="8"/>
      <c r="N128" s="8"/>
      <c r="O128" s="8"/>
      <c r="P128" s="8"/>
      <c r="Q128" t="b">
        <v>1</v>
      </c>
      <c r="R128">
        <v>24</v>
      </c>
      <c r="S128" s="8"/>
    </row>
    <row r="129" spans="1:19" x14ac:dyDescent="0.3">
      <c r="A129" s="40" t="b">
        <f t="shared" si="16"/>
        <v>1</v>
      </c>
      <c r="B129" s="40" t="b">
        <f t="shared" si="17"/>
        <v>0</v>
      </c>
      <c r="C129" s="8" t="str">
        <f t="shared" si="18"/>
        <v xml:space="preserve">HFD113 </v>
      </c>
      <c r="D129" s="13" t="s">
        <v>232</v>
      </c>
      <c r="E129" s="13"/>
      <c r="F129" s="14" t="s">
        <v>16</v>
      </c>
      <c r="G129" s="14"/>
      <c r="H129" s="40" t="str">
        <f>IF(COUNTIF(Course[Course ID],Course[[#This Row],[Course ID]])&gt;1,"S","")</f>
        <v/>
      </c>
      <c r="I129" s="8"/>
      <c r="J129" s="8"/>
      <c r="K129" s="8"/>
      <c r="L129" s="8"/>
      <c r="M129" s="8"/>
      <c r="N129" s="8"/>
      <c r="O129" s="8"/>
      <c r="P129" s="8"/>
      <c r="Q129" t="b">
        <v>1</v>
      </c>
      <c r="R129">
        <v>24</v>
      </c>
      <c r="S129" s="8"/>
    </row>
    <row r="130" spans="1:19" x14ac:dyDescent="0.3">
      <c r="A130" s="40" t="b">
        <f t="shared" si="16"/>
        <v>1</v>
      </c>
      <c r="B130" s="40" t="b">
        <f t="shared" si="17"/>
        <v>0</v>
      </c>
      <c r="C130" s="8" t="str">
        <f t="shared" si="18"/>
        <v xml:space="preserve">HFD114 </v>
      </c>
      <c r="D130" s="13" t="s">
        <v>233</v>
      </c>
      <c r="E130" s="13"/>
      <c r="F130" s="14" t="s">
        <v>16</v>
      </c>
      <c r="G130" s="14"/>
      <c r="H130" s="40" t="str">
        <f>IF(COUNTIF(Course[Course ID],Course[[#This Row],[Course ID]])&gt;1,"S","")</f>
        <v/>
      </c>
      <c r="I130" s="8"/>
      <c r="J130" s="8"/>
      <c r="K130" s="8"/>
      <c r="L130" s="8"/>
      <c r="M130" s="8"/>
      <c r="N130" s="8"/>
      <c r="O130" s="8"/>
      <c r="P130" s="8"/>
      <c r="Q130" t="b">
        <v>1</v>
      </c>
      <c r="R130">
        <v>24</v>
      </c>
      <c r="S130" s="8"/>
    </row>
    <row r="131" spans="1:19" x14ac:dyDescent="0.3">
      <c r="A131" s="40" t="b">
        <f t="shared" si="16"/>
        <v>1</v>
      </c>
      <c r="B131" s="40" t="b">
        <f t="shared" si="17"/>
        <v>0</v>
      </c>
      <c r="C131" s="8" t="str">
        <f t="shared" si="18"/>
        <v xml:space="preserve">HFD115 </v>
      </c>
      <c r="D131" s="13" t="s">
        <v>234</v>
      </c>
      <c r="E131" s="13"/>
      <c r="F131" s="14" t="s">
        <v>16</v>
      </c>
      <c r="G131" s="14"/>
      <c r="H131" s="40" t="str">
        <f>IF(COUNTIF(Course[Course ID],Course[[#This Row],[Course ID]])&gt;1,"S","")</f>
        <v/>
      </c>
      <c r="I131" s="8"/>
      <c r="J131" s="8"/>
      <c r="K131" s="8"/>
      <c r="L131" s="8"/>
      <c r="M131" s="8"/>
      <c r="N131" s="8"/>
      <c r="O131" s="8"/>
      <c r="P131" s="8"/>
      <c r="Q131" t="b">
        <v>1</v>
      </c>
      <c r="R131">
        <v>24</v>
      </c>
      <c r="S131" s="8"/>
    </row>
    <row r="132" spans="1:19" x14ac:dyDescent="0.3">
      <c r="A132" s="40" t="b">
        <f t="shared" si="16"/>
        <v>1</v>
      </c>
      <c r="B132" s="40" t="b">
        <f t="shared" si="17"/>
        <v>0</v>
      </c>
      <c r="C132" s="8" t="str">
        <f t="shared" si="18"/>
        <v xml:space="preserve">HFD116 </v>
      </c>
      <c r="D132" s="13" t="s">
        <v>235</v>
      </c>
      <c r="E132" s="13"/>
      <c r="F132" s="14" t="s">
        <v>16</v>
      </c>
      <c r="G132" s="14"/>
      <c r="H132" s="40" t="str">
        <f>IF(COUNTIF(Course[Course ID],Course[[#This Row],[Course ID]])&gt;1,"S","")</f>
        <v/>
      </c>
      <c r="I132" s="8"/>
      <c r="J132" s="8"/>
      <c r="K132" s="8"/>
      <c r="L132" s="8"/>
      <c r="M132" s="8"/>
      <c r="N132" s="8"/>
      <c r="O132" s="8"/>
      <c r="P132" s="8"/>
      <c r="Q132" t="b">
        <v>1</v>
      </c>
      <c r="R132">
        <v>24</v>
      </c>
      <c r="S132" s="8"/>
    </row>
    <row r="133" spans="1:19" x14ac:dyDescent="0.3">
      <c r="A133" s="40" t="b">
        <f t="shared" si="16"/>
        <v>1</v>
      </c>
      <c r="B133" s="40" t="b">
        <f t="shared" si="17"/>
        <v>0</v>
      </c>
      <c r="C133" s="8" t="str">
        <f t="shared" si="18"/>
        <v xml:space="preserve">HFD117 </v>
      </c>
      <c r="D133" s="13" t="s">
        <v>236</v>
      </c>
      <c r="E133" s="13"/>
      <c r="F133" s="14" t="s">
        <v>16</v>
      </c>
      <c r="G133" s="14"/>
      <c r="H133" s="40" t="str">
        <f>IF(COUNTIF(Course[Course ID],Course[[#This Row],[Course ID]])&gt;1,"S","")</f>
        <v/>
      </c>
      <c r="I133" s="8"/>
      <c r="J133" s="8"/>
      <c r="K133" s="8"/>
      <c r="L133" s="8"/>
      <c r="M133" s="8"/>
      <c r="N133" s="8"/>
      <c r="O133" s="8"/>
      <c r="P133" s="8"/>
      <c r="Q133" t="b">
        <v>1</v>
      </c>
      <c r="R133">
        <v>24</v>
      </c>
      <c r="S133" s="8"/>
    </row>
    <row r="134" spans="1:19" x14ac:dyDescent="0.3">
      <c r="A134" s="40" t="b">
        <f t="shared" si="16"/>
        <v>1</v>
      </c>
      <c r="B134" s="40" t="b">
        <f t="shared" si="17"/>
        <v>0</v>
      </c>
      <c r="C134" s="8" t="str">
        <f t="shared" si="18"/>
        <v xml:space="preserve">HFD118 </v>
      </c>
      <c r="D134" s="13" t="s">
        <v>237</v>
      </c>
      <c r="E134" s="13"/>
      <c r="F134" s="14" t="s">
        <v>16</v>
      </c>
      <c r="G134" s="14"/>
      <c r="H134" s="40" t="str">
        <f>IF(COUNTIF(Course[Course ID],Course[[#This Row],[Course ID]])&gt;1,"S","")</f>
        <v/>
      </c>
      <c r="I134" s="8"/>
      <c r="J134" s="8"/>
      <c r="K134" s="8"/>
      <c r="L134" s="8"/>
      <c r="M134" s="8"/>
      <c r="N134" s="8"/>
      <c r="O134" s="8"/>
      <c r="P134" s="8"/>
      <c r="Q134" t="b">
        <v>1</v>
      </c>
      <c r="R134">
        <v>24</v>
      </c>
      <c r="S134" s="8"/>
    </row>
    <row r="135" spans="1:19" x14ac:dyDescent="0.3">
      <c r="A135" s="40" t="b">
        <f t="shared" si="16"/>
        <v>1</v>
      </c>
      <c r="B135" s="40" t="b">
        <f t="shared" si="17"/>
        <v>0</v>
      </c>
      <c r="C135" s="8" t="str">
        <f t="shared" si="18"/>
        <v xml:space="preserve">HFD119 </v>
      </c>
      <c r="D135" s="13" t="s">
        <v>238</v>
      </c>
      <c r="E135" s="13"/>
      <c r="F135" s="14" t="s">
        <v>16</v>
      </c>
      <c r="G135" s="14"/>
      <c r="H135" s="40" t="str">
        <f>IF(COUNTIF(Course[Course ID],Course[[#This Row],[Course ID]])&gt;1,"S","")</f>
        <v/>
      </c>
      <c r="I135" s="8"/>
      <c r="J135" s="8"/>
      <c r="K135" s="8"/>
      <c r="L135" s="8"/>
      <c r="M135" s="8"/>
      <c r="N135" s="8"/>
      <c r="O135" s="8"/>
      <c r="P135" s="8"/>
      <c r="Q135" t="b">
        <v>1</v>
      </c>
      <c r="R135">
        <v>24</v>
      </c>
      <c r="S135" s="8"/>
    </row>
    <row r="136" spans="1:19" x14ac:dyDescent="0.3">
      <c r="A136" s="40" t="b">
        <f t="shared" si="16"/>
        <v>1</v>
      </c>
      <c r="B136" s="40" t="b">
        <f t="shared" si="17"/>
        <v>0</v>
      </c>
      <c r="C136" s="8" t="str">
        <f t="shared" si="18"/>
        <v xml:space="preserve">HFD120 </v>
      </c>
      <c r="D136" s="13" t="s">
        <v>239</v>
      </c>
      <c r="E136" s="13"/>
      <c r="F136" s="14" t="s">
        <v>16</v>
      </c>
      <c r="G136" s="14"/>
      <c r="H136" s="40" t="str">
        <f>IF(COUNTIF(Course[Course ID],Course[[#This Row],[Course ID]])&gt;1,"S","")</f>
        <v/>
      </c>
      <c r="I136" s="8"/>
      <c r="J136" s="8"/>
      <c r="K136" s="8"/>
      <c r="L136" s="8"/>
      <c r="M136" s="8"/>
      <c r="N136" s="8"/>
      <c r="O136" s="8"/>
      <c r="P136" s="8"/>
      <c r="Q136" t="b">
        <v>1</v>
      </c>
      <c r="R136">
        <v>25</v>
      </c>
      <c r="S136" s="8"/>
    </row>
    <row r="137" spans="1:19" x14ac:dyDescent="0.3">
      <c r="A137" s="40" t="b">
        <f t="shared" si="16"/>
        <v>1</v>
      </c>
      <c r="B137" s="40" t="b">
        <f t="shared" si="17"/>
        <v>0</v>
      </c>
      <c r="C137" s="8" t="str">
        <f t="shared" si="18"/>
        <v xml:space="preserve">HFD121 </v>
      </c>
      <c r="D137" s="13" t="s">
        <v>240</v>
      </c>
      <c r="E137" s="13"/>
      <c r="F137" s="14" t="s">
        <v>16</v>
      </c>
      <c r="G137" s="14"/>
      <c r="H137" s="40" t="str">
        <f>IF(COUNTIF(Course[Course ID],Course[[#This Row],[Course ID]])&gt;1,"S","")</f>
        <v/>
      </c>
      <c r="I137" s="8"/>
      <c r="J137" s="8"/>
      <c r="K137" s="8"/>
      <c r="L137" s="8"/>
      <c r="M137" s="8"/>
      <c r="N137" s="8"/>
      <c r="O137" s="8"/>
      <c r="P137" s="8"/>
      <c r="Q137" t="b">
        <v>1</v>
      </c>
      <c r="R137">
        <v>25</v>
      </c>
      <c r="S137" s="8"/>
    </row>
    <row r="138" spans="1:19" x14ac:dyDescent="0.3">
      <c r="A138" s="40" t="b">
        <f t="shared" si="16"/>
        <v>1</v>
      </c>
      <c r="B138" s="40" t="b">
        <f t="shared" si="17"/>
        <v>0</v>
      </c>
      <c r="C138" s="8" t="str">
        <f t="shared" si="18"/>
        <v xml:space="preserve">HFD122 </v>
      </c>
      <c r="D138" s="13" t="s">
        <v>241</v>
      </c>
      <c r="E138" s="13"/>
      <c r="F138" s="14" t="s">
        <v>16</v>
      </c>
      <c r="G138" s="14"/>
      <c r="H138" s="40" t="str">
        <f>IF(COUNTIF(Course[Course ID],Course[[#This Row],[Course ID]])&gt;1,"S","")</f>
        <v/>
      </c>
      <c r="I138" s="8"/>
      <c r="J138" s="8"/>
      <c r="K138" s="8"/>
      <c r="L138" s="8"/>
      <c r="M138" s="8"/>
      <c r="N138" s="8"/>
      <c r="O138" s="8"/>
      <c r="P138" s="8"/>
      <c r="Q138" t="b">
        <v>1</v>
      </c>
      <c r="R138">
        <v>25</v>
      </c>
      <c r="S138" s="8"/>
    </row>
    <row r="139" spans="1:19" x14ac:dyDescent="0.3">
      <c r="A139" s="40" t="b">
        <f t="shared" si="16"/>
        <v>1</v>
      </c>
      <c r="B139" s="40" t="b">
        <f t="shared" si="17"/>
        <v>0</v>
      </c>
      <c r="C139" s="8" t="str">
        <f t="shared" si="18"/>
        <v xml:space="preserve">HFD123 </v>
      </c>
      <c r="D139" s="13" t="s">
        <v>242</v>
      </c>
      <c r="E139" s="13"/>
      <c r="F139" s="14" t="s">
        <v>16</v>
      </c>
      <c r="G139" s="14"/>
      <c r="H139" s="40" t="str">
        <f>IF(COUNTIF(Course[Course ID],Course[[#This Row],[Course ID]])&gt;1,"S","")</f>
        <v/>
      </c>
      <c r="I139" s="8"/>
      <c r="J139" s="8"/>
      <c r="K139" s="8"/>
      <c r="L139" s="8"/>
      <c r="M139" s="8"/>
      <c r="N139" s="8"/>
      <c r="O139" s="8"/>
      <c r="P139" s="8"/>
      <c r="Q139" t="b">
        <v>1</v>
      </c>
      <c r="R139">
        <v>25</v>
      </c>
      <c r="S139" s="8"/>
    </row>
    <row r="140" spans="1:19" x14ac:dyDescent="0.3">
      <c r="A140" s="40" t="b">
        <f t="shared" si="16"/>
        <v>1</v>
      </c>
      <c r="B140" s="40" t="b">
        <f t="shared" si="17"/>
        <v>0</v>
      </c>
      <c r="C140" s="8" t="str">
        <f t="shared" si="18"/>
        <v xml:space="preserve">HFD124 </v>
      </c>
      <c r="D140" s="13" t="s">
        <v>243</v>
      </c>
      <c r="E140" s="13"/>
      <c r="F140" s="14" t="s">
        <v>16</v>
      </c>
      <c r="G140" s="14"/>
      <c r="H140" s="40" t="str">
        <f>IF(COUNTIF(Course[Course ID],Course[[#This Row],[Course ID]])&gt;1,"S","")</f>
        <v/>
      </c>
      <c r="I140" s="8"/>
      <c r="J140" s="8"/>
      <c r="K140" s="8"/>
      <c r="L140" s="8"/>
      <c r="M140" s="8"/>
      <c r="N140" s="8"/>
      <c r="O140" s="8"/>
      <c r="P140" s="8"/>
      <c r="Q140" t="b">
        <v>1</v>
      </c>
      <c r="R140">
        <v>25</v>
      </c>
      <c r="S140" s="8"/>
    </row>
    <row r="141" spans="1:19" x14ac:dyDescent="0.3">
      <c r="A141" s="40" t="b">
        <f t="shared" si="16"/>
        <v>1</v>
      </c>
      <c r="B141" s="40" t="b">
        <f t="shared" si="17"/>
        <v>0</v>
      </c>
      <c r="C141" s="8" t="str">
        <f t="shared" si="18"/>
        <v xml:space="preserve">HFD125 </v>
      </c>
      <c r="D141" s="13" t="s">
        <v>244</v>
      </c>
      <c r="E141" s="13"/>
      <c r="F141" s="14" t="s">
        <v>16</v>
      </c>
      <c r="G141" s="14"/>
      <c r="H141" s="40" t="str">
        <f>IF(COUNTIF(Course[Course ID],Course[[#This Row],[Course ID]])&gt;1,"S","")</f>
        <v/>
      </c>
      <c r="I141" s="8"/>
      <c r="J141" s="8"/>
      <c r="K141" s="8"/>
      <c r="L141" s="8"/>
      <c r="M141" s="8"/>
      <c r="N141" s="8"/>
      <c r="O141" s="8"/>
      <c r="P141" s="8"/>
      <c r="Q141" t="b">
        <v>1</v>
      </c>
      <c r="R141">
        <v>25</v>
      </c>
      <c r="S141" s="8"/>
    </row>
    <row r="142" spans="1:19" x14ac:dyDescent="0.3">
      <c r="A142" s="40" t="b">
        <f t="shared" si="16"/>
        <v>1</v>
      </c>
      <c r="B142" s="40" t="b">
        <f t="shared" si="17"/>
        <v>0</v>
      </c>
      <c r="C142" s="8" t="str">
        <f t="shared" si="18"/>
        <v xml:space="preserve">HFD126 </v>
      </c>
      <c r="D142" s="13" t="s">
        <v>245</v>
      </c>
      <c r="E142" s="13"/>
      <c r="F142" s="14" t="s">
        <v>16</v>
      </c>
      <c r="G142" s="14"/>
      <c r="H142" s="40" t="str">
        <f>IF(COUNTIF(Course[Course ID],Course[[#This Row],[Course ID]])&gt;1,"S","")</f>
        <v/>
      </c>
      <c r="I142" s="8"/>
      <c r="J142" s="8"/>
      <c r="K142" s="8"/>
      <c r="L142" s="8"/>
      <c r="M142" s="8"/>
      <c r="N142" s="8"/>
      <c r="O142" s="8"/>
      <c r="P142" s="8"/>
      <c r="Q142" t="b">
        <v>1</v>
      </c>
      <c r="R142">
        <v>25</v>
      </c>
      <c r="S142" s="8"/>
    </row>
    <row r="143" spans="1:19" x14ac:dyDescent="0.3">
      <c r="A143" s="40" t="b">
        <f t="shared" si="16"/>
        <v>1</v>
      </c>
      <c r="B143" s="40" t="b">
        <f t="shared" si="17"/>
        <v>0</v>
      </c>
      <c r="C143" s="8" t="str">
        <f t="shared" si="18"/>
        <v xml:space="preserve">HFD127 </v>
      </c>
      <c r="D143" s="13" t="s">
        <v>246</v>
      </c>
      <c r="E143" s="13"/>
      <c r="F143" s="14" t="s">
        <v>16</v>
      </c>
      <c r="G143" s="14"/>
      <c r="H143" s="40" t="str">
        <f>IF(COUNTIF(Course[Course ID],Course[[#This Row],[Course ID]])&gt;1,"S","")</f>
        <v/>
      </c>
      <c r="I143" s="8"/>
      <c r="J143" s="8"/>
      <c r="K143" s="8"/>
      <c r="L143" s="8"/>
      <c r="M143" s="8"/>
      <c r="N143" s="8"/>
      <c r="O143" s="8"/>
      <c r="P143" s="8"/>
      <c r="Q143" t="b">
        <v>1</v>
      </c>
      <c r="R143">
        <v>25</v>
      </c>
      <c r="S143" s="8"/>
    </row>
    <row r="144" spans="1:19" x14ac:dyDescent="0.3">
      <c r="A144" s="40" t="b">
        <f t="shared" si="16"/>
        <v>1</v>
      </c>
      <c r="B144" s="40" t="b">
        <f t="shared" si="17"/>
        <v>0</v>
      </c>
      <c r="C144" s="8" t="str">
        <f t="shared" si="18"/>
        <v xml:space="preserve">HFD128 </v>
      </c>
      <c r="D144" s="13" t="s">
        <v>247</v>
      </c>
      <c r="E144" s="13"/>
      <c r="F144" s="14" t="s">
        <v>16</v>
      </c>
      <c r="G144" s="14"/>
      <c r="H144" s="40" t="str">
        <f>IF(COUNTIF(Course[Course ID],Course[[#This Row],[Course ID]])&gt;1,"S","")</f>
        <v/>
      </c>
      <c r="I144" s="8"/>
      <c r="J144" s="8"/>
      <c r="K144" s="8"/>
      <c r="L144" s="8"/>
      <c r="M144" s="8"/>
      <c r="N144" s="8"/>
      <c r="O144" s="8"/>
      <c r="P144" s="8"/>
      <c r="Q144" t="b">
        <v>1</v>
      </c>
      <c r="R144">
        <v>26</v>
      </c>
      <c r="S144" s="8"/>
    </row>
    <row r="145" spans="1:19" x14ac:dyDescent="0.3">
      <c r="A145" s="40" t="b">
        <f t="shared" si="16"/>
        <v>1</v>
      </c>
      <c r="B145" s="40" t="b">
        <f t="shared" si="17"/>
        <v>0</v>
      </c>
      <c r="C145" s="8" t="str">
        <f t="shared" si="18"/>
        <v xml:space="preserve">HFD129 </v>
      </c>
      <c r="D145" s="13" t="s">
        <v>248</v>
      </c>
      <c r="E145" s="13"/>
      <c r="F145" s="14" t="s">
        <v>16</v>
      </c>
      <c r="G145" s="14"/>
      <c r="H145" s="40" t="str">
        <f>IF(COUNTIF(Course[Course ID],Course[[#This Row],[Course ID]])&gt;1,"S","")</f>
        <v/>
      </c>
      <c r="I145" s="8"/>
      <c r="J145" s="8"/>
      <c r="K145" s="8"/>
      <c r="L145" s="8"/>
      <c r="M145" s="8"/>
      <c r="N145" s="8"/>
      <c r="O145" s="8"/>
      <c r="P145" s="8"/>
      <c r="Q145" t="b">
        <v>1</v>
      </c>
      <c r="R145">
        <v>26</v>
      </c>
      <c r="S145" s="8"/>
    </row>
    <row r="146" spans="1:19" x14ac:dyDescent="0.3">
      <c r="A146" s="40" t="b">
        <f t="shared" si="16"/>
        <v>1</v>
      </c>
      <c r="B146" s="40" t="b">
        <f t="shared" si="17"/>
        <v>0</v>
      </c>
      <c r="C146" s="8" t="str">
        <f t="shared" si="18"/>
        <v xml:space="preserve">HFD130 </v>
      </c>
      <c r="D146" s="13" t="s">
        <v>249</v>
      </c>
      <c r="E146" s="13"/>
      <c r="F146" s="14" t="s">
        <v>16</v>
      </c>
      <c r="G146" s="14"/>
      <c r="H146" s="40" t="str">
        <f>IF(COUNTIF(Course[Course ID],Course[[#This Row],[Course ID]])&gt;1,"S","")</f>
        <v/>
      </c>
      <c r="I146" s="8"/>
      <c r="J146" s="8"/>
      <c r="K146" s="8"/>
      <c r="L146" s="8"/>
      <c r="M146" s="8"/>
      <c r="N146" s="8"/>
      <c r="O146" s="8"/>
      <c r="P146" s="8"/>
      <c r="Q146" t="b">
        <v>1</v>
      </c>
      <c r="R146">
        <v>26</v>
      </c>
      <c r="S146" s="8"/>
    </row>
    <row r="147" spans="1:19" x14ac:dyDescent="0.3">
      <c r="A147" s="40" t="b">
        <f t="shared" si="16"/>
        <v>1</v>
      </c>
      <c r="B147" s="40" t="b">
        <f t="shared" si="17"/>
        <v>0</v>
      </c>
      <c r="C147" s="8" t="str">
        <f t="shared" si="18"/>
        <v xml:space="preserve">HFD131 </v>
      </c>
      <c r="D147" s="13" t="s">
        <v>250</v>
      </c>
      <c r="E147" s="13"/>
      <c r="F147" s="14" t="s">
        <v>16</v>
      </c>
      <c r="G147" s="14"/>
      <c r="H147" s="40" t="str">
        <f>IF(COUNTIF(Course[Course ID],Course[[#This Row],[Course ID]])&gt;1,"S","")</f>
        <v/>
      </c>
      <c r="I147" s="8"/>
      <c r="J147" s="8"/>
      <c r="K147" s="8"/>
      <c r="L147" s="8"/>
      <c r="M147" s="8"/>
      <c r="N147" s="8"/>
      <c r="O147" s="8"/>
      <c r="P147" s="8"/>
      <c r="Q147" t="b">
        <v>1</v>
      </c>
      <c r="R147">
        <v>26</v>
      </c>
      <c r="S147" s="8"/>
    </row>
    <row r="148" spans="1:19" x14ac:dyDescent="0.3">
      <c r="A148" s="40" t="b">
        <f t="shared" si="16"/>
        <v>1</v>
      </c>
      <c r="B148" s="40" t="b">
        <f t="shared" si="17"/>
        <v>0</v>
      </c>
      <c r="C148" s="8" t="str">
        <f t="shared" si="18"/>
        <v xml:space="preserve">HFD132 </v>
      </c>
      <c r="D148" s="13" t="s">
        <v>251</v>
      </c>
      <c r="E148" s="13"/>
      <c r="F148" s="14" t="s">
        <v>16</v>
      </c>
      <c r="G148" s="14"/>
      <c r="H148" s="40" t="str">
        <f>IF(COUNTIF(Course[Course ID],Course[[#This Row],[Course ID]])&gt;1,"S","")</f>
        <v/>
      </c>
      <c r="I148" s="8"/>
      <c r="J148" s="8"/>
      <c r="K148" s="8"/>
      <c r="L148" s="8"/>
      <c r="M148" s="8"/>
      <c r="N148" s="8"/>
      <c r="O148" s="8"/>
      <c r="P148" s="8"/>
      <c r="Q148" t="b">
        <v>1</v>
      </c>
      <c r="R148">
        <v>26</v>
      </c>
      <c r="S148" s="8"/>
    </row>
    <row r="149" spans="1:19" x14ac:dyDescent="0.3">
      <c r="A149" s="40" t="b">
        <f t="shared" ref="A149:A162" si="19">IF(F149="G", TRUE,FALSE)</f>
        <v>1</v>
      </c>
      <c r="B149" s="40" t="b">
        <f t="shared" ref="B149:B162" si="20">IF(ISBLANK(G149),FALSE,TRUE)</f>
        <v>0</v>
      </c>
      <c r="C149" s="8" t="str">
        <f t="shared" ref="C149:C162" si="21">CONCATENATE(D149," ",E149)</f>
        <v xml:space="preserve">HFD133 </v>
      </c>
      <c r="D149" s="13" t="s">
        <v>252</v>
      </c>
      <c r="E149" s="13"/>
      <c r="F149" s="14" t="s">
        <v>16</v>
      </c>
      <c r="G149" s="14"/>
      <c r="H149" s="40" t="str">
        <f>IF(COUNTIF(Course[Course ID],Course[[#This Row],[Course ID]])&gt;1,"S","")</f>
        <v/>
      </c>
      <c r="I149" s="8"/>
      <c r="J149" s="8"/>
      <c r="K149" s="8"/>
      <c r="L149" s="8"/>
      <c r="M149" s="8"/>
      <c r="N149" s="8"/>
      <c r="O149" s="8"/>
      <c r="P149" s="8"/>
      <c r="Q149" t="b">
        <v>1</v>
      </c>
      <c r="R149">
        <v>26</v>
      </c>
      <c r="S149" s="8"/>
    </row>
    <row r="150" spans="1:19" x14ac:dyDescent="0.3">
      <c r="A150" s="40" t="b">
        <f t="shared" si="19"/>
        <v>1</v>
      </c>
      <c r="B150" s="40" t="b">
        <f t="shared" si="20"/>
        <v>0</v>
      </c>
      <c r="C150" s="8" t="str">
        <f t="shared" si="21"/>
        <v xml:space="preserve">HFD134 </v>
      </c>
      <c r="D150" s="13" t="s">
        <v>253</v>
      </c>
      <c r="E150" s="13"/>
      <c r="F150" s="14" t="s">
        <v>16</v>
      </c>
      <c r="G150" s="14"/>
      <c r="H150" s="40" t="str">
        <f>IF(COUNTIF(Course[Course ID],Course[[#This Row],[Course ID]])&gt;1,"S","")</f>
        <v/>
      </c>
      <c r="I150" s="8"/>
      <c r="J150" s="8"/>
      <c r="K150" s="8"/>
      <c r="L150" s="8"/>
      <c r="M150" s="8"/>
      <c r="N150" s="8"/>
      <c r="O150" s="8"/>
      <c r="P150" s="8"/>
      <c r="Q150" t="b">
        <v>1</v>
      </c>
      <c r="R150">
        <v>26</v>
      </c>
      <c r="S150" s="8"/>
    </row>
    <row r="151" spans="1:19" x14ac:dyDescent="0.3">
      <c r="A151" s="40" t="b">
        <f t="shared" si="19"/>
        <v>1</v>
      </c>
      <c r="B151" s="40" t="b">
        <f t="shared" si="20"/>
        <v>0</v>
      </c>
      <c r="C151" s="8" t="str">
        <f t="shared" si="21"/>
        <v xml:space="preserve">HFD135 </v>
      </c>
      <c r="D151" s="13" t="s">
        <v>254</v>
      </c>
      <c r="E151" s="13"/>
      <c r="F151" s="14" t="s">
        <v>16</v>
      </c>
      <c r="G151" s="14"/>
      <c r="H151" s="40" t="str">
        <f>IF(COUNTIF(Course[Course ID],Course[[#This Row],[Course ID]])&gt;1,"S","")</f>
        <v/>
      </c>
      <c r="I151" s="8"/>
      <c r="J151" s="8"/>
      <c r="K151" s="8"/>
      <c r="L151" s="8"/>
      <c r="M151" s="8"/>
      <c r="N151" s="8"/>
      <c r="O151" s="8"/>
      <c r="P151" s="8"/>
      <c r="Q151" t="b">
        <v>1</v>
      </c>
      <c r="R151">
        <v>26</v>
      </c>
      <c r="S151" s="8"/>
    </row>
    <row r="152" spans="1:19" x14ac:dyDescent="0.3">
      <c r="A152" s="40" t="b">
        <f t="shared" si="19"/>
        <v>1</v>
      </c>
      <c r="B152" s="40" t="b">
        <f t="shared" si="20"/>
        <v>0</v>
      </c>
      <c r="C152" s="8" t="str">
        <f t="shared" si="21"/>
        <v xml:space="preserve">HFD136 </v>
      </c>
      <c r="D152" s="13" t="s">
        <v>255</v>
      </c>
      <c r="E152" s="13"/>
      <c r="F152" s="14" t="s">
        <v>16</v>
      </c>
      <c r="G152" s="14"/>
      <c r="H152" s="40" t="str">
        <f>IF(COUNTIF(Course[Course ID],Course[[#This Row],[Course ID]])&gt;1,"S","")</f>
        <v/>
      </c>
      <c r="I152" s="8"/>
      <c r="J152" s="8"/>
      <c r="K152" s="8"/>
      <c r="L152" s="8"/>
      <c r="M152" s="8"/>
      <c r="N152" s="8"/>
      <c r="O152" s="8"/>
      <c r="P152" s="8"/>
      <c r="Q152" t="b">
        <v>1</v>
      </c>
      <c r="R152">
        <v>26</v>
      </c>
      <c r="S152" s="8"/>
    </row>
    <row r="153" spans="1:19" x14ac:dyDescent="0.3">
      <c r="A153" s="40" t="b">
        <f t="shared" si="19"/>
        <v>1</v>
      </c>
      <c r="B153" s="40" t="b">
        <f t="shared" si="20"/>
        <v>0</v>
      </c>
      <c r="C153" s="8" t="str">
        <f t="shared" si="21"/>
        <v xml:space="preserve">HFD137 </v>
      </c>
      <c r="D153" s="13" t="s">
        <v>256</v>
      </c>
      <c r="E153" s="13"/>
      <c r="F153" s="14" t="s">
        <v>16</v>
      </c>
      <c r="G153" s="14"/>
      <c r="H153" s="40" t="str">
        <f>IF(COUNTIF(Course[Course ID],Course[[#This Row],[Course ID]])&gt;1,"S","")</f>
        <v/>
      </c>
      <c r="I153" s="8"/>
      <c r="J153" s="8"/>
      <c r="K153" s="8"/>
      <c r="L153" s="8"/>
      <c r="M153" s="8"/>
      <c r="N153" s="8"/>
      <c r="O153" s="8"/>
      <c r="P153" s="8"/>
      <c r="Q153" t="b">
        <v>1</v>
      </c>
      <c r="R153">
        <v>26</v>
      </c>
      <c r="S153" s="8"/>
    </row>
    <row r="154" spans="1:19" x14ac:dyDescent="0.3">
      <c r="A154" s="40" t="b">
        <f t="shared" si="19"/>
        <v>1</v>
      </c>
      <c r="B154" s="40" t="b">
        <f t="shared" si="20"/>
        <v>0</v>
      </c>
      <c r="C154" s="8" t="str">
        <f t="shared" si="21"/>
        <v xml:space="preserve">HFD138 </v>
      </c>
      <c r="D154" s="13" t="s">
        <v>257</v>
      </c>
      <c r="E154" s="13"/>
      <c r="F154" s="14" t="s">
        <v>16</v>
      </c>
      <c r="G154" s="14"/>
      <c r="H154" s="40" t="str">
        <f>IF(COUNTIF(Course[Course ID],Course[[#This Row],[Course ID]])&gt;1,"S","")</f>
        <v/>
      </c>
      <c r="I154" s="8"/>
      <c r="J154" s="8"/>
      <c r="K154" s="8"/>
      <c r="L154" s="8"/>
      <c r="M154" s="8"/>
      <c r="N154" s="8"/>
      <c r="O154" s="8"/>
      <c r="P154" s="8"/>
      <c r="Q154" t="b">
        <v>1</v>
      </c>
      <c r="R154">
        <v>26</v>
      </c>
      <c r="S154" s="8"/>
    </row>
    <row r="155" spans="1:19" x14ac:dyDescent="0.3">
      <c r="A155" s="40" t="b">
        <f t="shared" si="19"/>
        <v>1</v>
      </c>
      <c r="B155" s="40" t="b">
        <f t="shared" si="20"/>
        <v>0</v>
      </c>
      <c r="C155" s="8" t="str">
        <f t="shared" si="21"/>
        <v xml:space="preserve">HFD147 </v>
      </c>
      <c r="D155" s="13" t="s">
        <v>258</v>
      </c>
      <c r="E155" s="13"/>
      <c r="F155" s="14" t="s">
        <v>16</v>
      </c>
      <c r="G155" s="14"/>
      <c r="H155" s="40" t="str">
        <f>IF(COUNTIF(Course[Course ID],Course[[#This Row],[Course ID]])&gt;1,"S","")</f>
        <v/>
      </c>
      <c r="I155" s="8"/>
      <c r="J155" s="8"/>
      <c r="K155" s="8"/>
      <c r="L155" s="8"/>
      <c r="M155" s="8"/>
      <c r="N155" s="8"/>
      <c r="O155" s="8"/>
      <c r="P155" s="8"/>
      <c r="Q155" t="b">
        <v>1</v>
      </c>
      <c r="R155">
        <v>27</v>
      </c>
      <c r="S155" s="8"/>
    </row>
    <row r="156" spans="1:19" x14ac:dyDescent="0.3">
      <c r="A156" s="40" t="b">
        <f t="shared" si="19"/>
        <v>1</v>
      </c>
      <c r="B156" s="40" t="b">
        <f t="shared" si="20"/>
        <v>0</v>
      </c>
      <c r="C156" s="8" t="str">
        <f t="shared" si="21"/>
        <v xml:space="preserve">HFD148 </v>
      </c>
      <c r="D156" s="13" t="s">
        <v>259</v>
      </c>
      <c r="E156" s="13"/>
      <c r="F156" s="14" t="s">
        <v>16</v>
      </c>
      <c r="G156" s="14"/>
      <c r="H156" s="40" t="str">
        <f>IF(COUNTIF(Course[Course ID],Course[[#This Row],[Course ID]])&gt;1,"S","")</f>
        <v/>
      </c>
      <c r="I156" s="8"/>
      <c r="J156" s="8"/>
      <c r="K156" s="8"/>
      <c r="L156" s="8"/>
      <c r="M156" s="8"/>
      <c r="N156" s="8"/>
      <c r="O156" s="8"/>
      <c r="P156" s="8"/>
      <c r="Q156" t="b">
        <v>1</v>
      </c>
      <c r="R156">
        <v>27</v>
      </c>
      <c r="S156" s="8"/>
    </row>
    <row r="157" spans="1:19" x14ac:dyDescent="0.3">
      <c r="A157" s="40" t="b">
        <f t="shared" si="19"/>
        <v>1</v>
      </c>
      <c r="B157" s="40" t="b">
        <f t="shared" si="20"/>
        <v>0</v>
      </c>
      <c r="C157" s="8" t="str">
        <f t="shared" si="21"/>
        <v xml:space="preserve">HFD149 </v>
      </c>
      <c r="D157" s="13" t="s">
        <v>260</v>
      </c>
      <c r="E157" s="13"/>
      <c r="F157" s="14" t="s">
        <v>16</v>
      </c>
      <c r="G157" s="14"/>
      <c r="H157" s="40" t="str">
        <f>IF(COUNTIF(Course[Course ID],Course[[#This Row],[Course ID]])&gt;1,"S","")</f>
        <v/>
      </c>
      <c r="I157" s="8"/>
      <c r="J157" s="8"/>
      <c r="K157" s="8"/>
      <c r="L157" s="8"/>
      <c r="M157" s="8"/>
      <c r="N157" s="8"/>
      <c r="O157" s="8"/>
      <c r="P157" s="8"/>
      <c r="Q157" t="b">
        <v>1</v>
      </c>
      <c r="R157">
        <v>27</v>
      </c>
      <c r="S157" s="8"/>
    </row>
    <row r="158" spans="1:19" x14ac:dyDescent="0.3">
      <c r="A158" s="40" t="b">
        <f t="shared" si="19"/>
        <v>1</v>
      </c>
      <c r="B158" s="40" t="b">
        <f t="shared" si="20"/>
        <v>0</v>
      </c>
      <c r="C158" s="8" t="str">
        <f t="shared" si="21"/>
        <v xml:space="preserve">HFD150 </v>
      </c>
      <c r="D158" s="13" t="s">
        <v>261</v>
      </c>
      <c r="E158" s="13"/>
      <c r="F158" s="14" t="s">
        <v>16</v>
      </c>
      <c r="G158" s="14"/>
      <c r="H158" s="40" t="str">
        <f>IF(COUNTIF(Course[Course ID],Course[[#This Row],[Course ID]])&gt;1,"S","")</f>
        <v/>
      </c>
      <c r="I158" s="8"/>
      <c r="J158" s="8"/>
      <c r="K158" s="8"/>
      <c r="L158" s="8"/>
      <c r="M158" s="8"/>
      <c r="N158" s="8"/>
      <c r="O158" s="8"/>
      <c r="P158" s="8"/>
      <c r="Q158" t="b">
        <v>1</v>
      </c>
      <c r="R158">
        <v>27</v>
      </c>
      <c r="S158" s="8"/>
    </row>
    <row r="159" spans="1:19" x14ac:dyDescent="0.3">
      <c r="A159" s="40" t="b">
        <f t="shared" si="19"/>
        <v>1</v>
      </c>
      <c r="B159" s="40" t="b">
        <f t="shared" si="20"/>
        <v>0</v>
      </c>
      <c r="C159" s="8" t="str">
        <f t="shared" si="21"/>
        <v xml:space="preserve">HFD151 </v>
      </c>
      <c r="D159" s="13" t="s">
        <v>262</v>
      </c>
      <c r="E159" s="13"/>
      <c r="F159" s="14" t="s">
        <v>16</v>
      </c>
      <c r="G159" s="14"/>
      <c r="H159" s="40" t="str">
        <f>IF(COUNTIF(Course[Course ID],Course[[#This Row],[Course ID]])&gt;1,"S","")</f>
        <v/>
      </c>
      <c r="I159" s="8"/>
      <c r="J159" s="8"/>
      <c r="K159" s="8"/>
      <c r="L159" s="8"/>
      <c r="M159" s="8"/>
      <c r="N159" s="8"/>
      <c r="O159" s="8"/>
      <c r="P159" s="8"/>
      <c r="Q159" t="b">
        <v>1</v>
      </c>
      <c r="R159">
        <v>27</v>
      </c>
      <c r="S159" s="8"/>
    </row>
    <row r="160" spans="1:19" x14ac:dyDescent="0.3">
      <c r="A160" s="40" t="b">
        <f t="shared" si="19"/>
        <v>1</v>
      </c>
      <c r="B160" s="40" t="b">
        <f t="shared" si="20"/>
        <v>0</v>
      </c>
      <c r="C160" s="8" t="str">
        <f t="shared" si="21"/>
        <v xml:space="preserve">HFD152 </v>
      </c>
      <c r="D160" s="13" t="s">
        <v>263</v>
      </c>
      <c r="E160" s="13"/>
      <c r="F160" s="14" t="s">
        <v>16</v>
      </c>
      <c r="G160" s="14"/>
      <c r="H160" s="40" t="str">
        <f>IF(COUNTIF(Course[Course ID],Course[[#This Row],[Course ID]])&gt;1,"S","")</f>
        <v/>
      </c>
      <c r="I160" s="8"/>
      <c r="J160" s="8"/>
      <c r="K160" s="8"/>
      <c r="L160" s="8"/>
      <c r="M160" s="8"/>
      <c r="N160" s="8"/>
      <c r="O160" s="8"/>
      <c r="P160" s="8"/>
      <c r="Q160" t="b">
        <v>1</v>
      </c>
      <c r="R160">
        <v>27</v>
      </c>
      <c r="S160" s="8"/>
    </row>
    <row r="161" spans="1:19" x14ac:dyDescent="0.3">
      <c r="A161" s="40" t="b">
        <f t="shared" si="19"/>
        <v>1</v>
      </c>
      <c r="B161" s="40" t="b">
        <f t="shared" si="20"/>
        <v>0</v>
      </c>
      <c r="C161" s="8" t="str">
        <f t="shared" si="21"/>
        <v xml:space="preserve">HFD153 </v>
      </c>
      <c r="D161" s="13" t="s">
        <v>264</v>
      </c>
      <c r="E161" s="13"/>
      <c r="F161" s="14" t="s">
        <v>16</v>
      </c>
      <c r="G161" s="14"/>
      <c r="H161" s="40" t="str">
        <f>IF(COUNTIF(Course[Course ID],Course[[#This Row],[Course ID]])&gt;1,"S","")</f>
        <v/>
      </c>
      <c r="I161" s="8"/>
      <c r="J161" s="8"/>
      <c r="K161" s="8"/>
      <c r="L161" s="8"/>
      <c r="M161" s="8"/>
      <c r="N161" s="8"/>
      <c r="O161" s="8"/>
      <c r="P161" s="8"/>
      <c r="Q161" t="b">
        <v>1</v>
      </c>
      <c r="R161">
        <v>27</v>
      </c>
      <c r="S161" s="8"/>
    </row>
    <row r="162" spans="1:19" x14ac:dyDescent="0.3">
      <c r="A162" s="40" t="b">
        <f t="shared" si="19"/>
        <v>1</v>
      </c>
      <c r="B162" s="40" t="b">
        <f t="shared" si="20"/>
        <v>0</v>
      </c>
      <c r="C162" s="8" t="str">
        <f t="shared" si="21"/>
        <v xml:space="preserve">HFD154 </v>
      </c>
      <c r="D162" s="13" t="s">
        <v>265</v>
      </c>
      <c r="E162" s="13"/>
      <c r="F162" s="14" t="s">
        <v>16</v>
      </c>
      <c r="G162" s="14"/>
      <c r="H162" s="40" t="str">
        <f>IF(COUNTIF(Course[Course ID],Course[[#This Row],[Course ID]])&gt;1,"S","")</f>
        <v/>
      </c>
      <c r="I162" s="8"/>
      <c r="J162" s="8"/>
      <c r="K162" s="8"/>
      <c r="L162" s="8"/>
      <c r="M162" s="8"/>
      <c r="N162" s="8"/>
      <c r="O162" s="8"/>
      <c r="P162" s="8"/>
      <c r="Q162" t="b">
        <v>1</v>
      </c>
      <c r="R162">
        <v>27</v>
      </c>
      <c r="S162" s="8"/>
    </row>
    <row r="163" spans="1:19" x14ac:dyDescent="0.3">
      <c r="A163" s="40" t="b">
        <f t="shared" ref="A163:A175" si="22">IF(F163="G", TRUE,FALSE)</f>
        <v>1</v>
      </c>
      <c r="B163" s="40" t="b">
        <f t="shared" ref="B163:B175" si="23">IF(ISBLANK(G163),FALSE,TRUE)</f>
        <v>0</v>
      </c>
      <c r="C163" s="8" t="str">
        <f t="shared" ref="C163:C175" si="24">CONCATENATE(D163," ",E163)</f>
        <v xml:space="preserve">HFD175 </v>
      </c>
      <c r="D163" s="13" t="s">
        <v>266</v>
      </c>
      <c r="E163" s="13"/>
      <c r="F163" s="14" t="s">
        <v>16</v>
      </c>
      <c r="G163" s="14"/>
      <c r="H163" s="40" t="str">
        <f>IF(COUNTIF(Course[Course ID],Course[[#This Row],[Course ID]])&gt;1,"S","")</f>
        <v/>
      </c>
      <c r="I163" s="8"/>
      <c r="J163" s="8"/>
      <c r="K163" s="8"/>
      <c r="L163" s="8"/>
      <c r="M163" s="8"/>
      <c r="N163" s="8"/>
      <c r="O163" s="8"/>
      <c r="P163" s="8"/>
      <c r="Q163" t="b">
        <v>1</v>
      </c>
      <c r="R163">
        <v>27</v>
      </c>
      <c r="S163" s="8"/>
    </row>
    <row r="164" spans="1:19" x14ac:dyDescent="0.3">
      <c r="A164" s="40" t="b">
        <f t="shared" si="22"/>
        <v>1</v>
      </c>
      <c r="B164" s="40" t="b">
        <f t="shared" si="23"/>
        <v>0</v>
      </c>
      <c r="C164" s="8" t="str">
        <f t="shared" si="24"/>
        <v xml:space="preserve">HFD176 </v>
      </c>
      <c r="D164" s="13" t="s">
        <v>267</v>
      </c>
      <c r="E164" s="13"/>
      <c r="F164" s="14" t="s">
        <v>16</v>
      </c>
      <c r="G164" s="14"/>
      <c r="H164" s="40" t="str">
        <f>IF(COUNTIF(Course[Course ID],Course[[#This Row],[Course ID]])&gt;1,"S","")</f>
        <v/>
      </c>
      <c r="I164" s="8"/>
      <c r="J164" s="8"/>
      <c r="K164" s="8"/>
      <c r="L164" s="8"/>
      <c r="M164" s="8"/>
      <c r="N164" s="8"/>
      <c r="O164" s="8"/>
      <c r="P164" s="8"/>
      <c r="Q164" t="b">
        <v>1</v>
      </c>
      <c r="R164">
        <v>27</v>
      </c>
      <c r="S164" s="8"/>
    </row>
    <row r="165" spans="1:19" x14ac:dyDescent="0.3">
      <c r="A165" s="40" t="b">
        <f t="shared" si="22"/>
        <v>1</v>
      </c>
      <c r="B165" s="40" t="b">
        <f t="shared" si="23"/>
        <v>0</v>
      </c>
      <c r="C165" s="8" t="str">
        <f t="shared" si="24"/>
        <v xml:space="preserve">HFD177 </v>
      </c>
      <c r="D165" s="13" t="s">
        <v>268</v>
      </c>
      <c r="E165" s="13"/>
      <c r="F165" s="14" t="s">
        <v>16</v>
      </c>
      <c r="G165" s="14"/>
      <c r="H165" s="40" t="str">
        <f>IF(COUNTIF(Course[Course ID],Course[[#This Row],[Course ID]])&gt;1,"S","")</f>
        <v/>
      </c>
      <c r="I165" s="8"/>
      <c r="J165" s="8"/>
      <c r="K165" s="8"/>
      <c r="L165" s="8"/>
      <c r="M165" s="8"/>
      <c r="N165" s="8"/>
      <c r="O165" s="8"/>
      <c r="P165" s="8"/>
      <c r="Q165" t="b">
        <v>1</v>
      </c>
      <c r="R165">
        <v>27</v>
      </c>
      <c r="S165" s="8"/>
    </row>
    <row r="166" spans="1:19" x14ac:dyDescent="0.3">
      <c r="A166" s="40" t="b">
        <f t="shared" si="22"/>
        <v>1</v>
      </c>
      <c r="B166" s="40" t="b">
        <f t="shared" si="23"/>
        <v>0</v>
      </c>
      <c r="C166" s="8" t="str">
        <f t="shared" si="24"/>
        <v xml:space="preserve">HFD178 </v>
      </c>
      <c r="D166" s="13" t="s">
        <v>269</v>
      </c>
      <c r="E166" s="13"/>
      <c r="F166" s="14" t="s">
        <v>16</v>
      </c>
      <c r="G166" s="14"/>
      <c r="H166" s="40" t="str">
        <f>IF(COUNTIF(Course[Course ID],Course[[#This Row],[Course ID]])&gt;1,"S","")</f>
        <v/>
      </c>
      <c r="I166" s="8"/>
      <c r="J166" s="8"/>
      <c r="K166" s="8"/>
      <c r="L166" s="8"/>
      <c r="M166" s="8"/>
      <c r="N166" s="8"/>
      <c r="O166" s="8"/>
      <c r="P166" s="8"/>
      <c r="Q166" t="b">
        <v>1</v>
      </c>
      <c r="R166">
        <v>28</v>
      </c>
      <c r="S166" s="8"/>
    </row>
    <row r="167" spans="1:19" x14ac:dyDescent="0.3">
      <c r="A167" s="40" t="b">
        <f t="shared" si="22"/>
        <v>1</v>
      </c>
      <c r="B167" s="40" t="b">
        <f t="shared" si="23"/>
        <v>0</v>
      </c>
      <c r="C167" s="8" t="str">
        <f t="shared" si="24"/>
        <v xml:space="preserve">HFD179 </v>
      </c>
      <c r="D167" s="13" t="s">
        <v>270</v>
      </c>
      <c r="E167" s="13"/>
      <c r="F167" s="14" t="s">
        <v>16</v>
      </c>
      <c r="G167" s="14"/>
      <c r="H167" s="40" t="str">
        <f>IF(COUNTIF(Course[Course ID],Course[[#This Row],[Course ID]])&gt;1,"S","")</f>
        <v/>
      </c>
      <c r="I167" s="8"/>
      <c r="J167" s="8"/>
      <c r="K167" s="8"/>
      <c r="L167" s="8"/>
      <c r="M167" s="8"/>
      <c r="N167" s="8"/>
      <c r="O167" s="8"/>
      <c r="P167" s="8"/>
      <c r="Q167" t="b">
        <v>1</v>
      </c>
      <c r="R167">
        <v>28</v>
      </c>
      <c r="S167" s="8"/>
    </row>
    <row r="168" spans="1:19" x14ac:dyDescent="0.3">
      <c r="A168" s="40" t="b">
        <f t="shared" si="22"/>
        <v>1</v>
      </c>
      <c r="B168" s="40" t="b">
        <f t="shared" si="23"/>
        <v>0</v>
      </c>
      <c r="C168" s="8" t="str">
        <f t="shared" si="24"/>
        <v xml:space="preserve">HFD180 </v>
      </c>
      <c r="D168" s="13" t="s">
        <v>271</v>
      </c>
      <c r="E168" s="13"/>
      <c r="F168" s="14" t="s">
        <v>16</v>
      </c>
      <c r="G168" s="14"/>
      <c r="H168" s="40" t="str">
        <f>IF(COUNTIF(Course[Course ID],Course[[#This Row],[Course ID]])&gt;1,"S","")</f>
        <v/>
      </c>
      <c r="I168" s="8"/>
      <c r="J168" s="8"/>
      <c r="K168" s="8"/>
      <c r="L168" s="8"/>
      <c r="M168" s="8"/>
      <c r="N168" s="8"/>
      <c r="O168" s="8"/>
      <c r="P168" s="8"/>
      <c r="Q168" t="b">
        <v>1</v>
      </c>
      <c r="R168">
        <v>28</v>
      </c>
      <c r="S168" s="8"/>
    </row>
    <row r="169" spans="1:19" x14ac:dyDescent="0.3">
      <c r="A169" s="40" t="b">
        <f t="shared" si="22"/>
        <v>1</v>
      </c>
      <c r="B169" s="40" t="b">
        <f t="shared" si="23"/>
        <v>0</v>
      </c>
      <c r="C169" s="8" t="str">
        <f t="shared" si="24"/>
        <v xml:space="preserve">HFD181 </v>
      </c>
      <c r="D169" s="13" t="s">
        <v>272</v>
      </c>
      <c r="E169" s="13"/>
      <c r="F169" s="14" t="s">
        <v>16</v>
      </c>
      <c r="G169" s="14"/>
      <c r="H169" s="40" t="str">
        <f>IF(COUNTIF(Course[Course ID],Course[[#This Row],[Course ID]])&gt;1,"S","")</f>
        <v/>
      </c>
      <c r="I169" s="8"/>
      <c r="J169" s="8"/>
      <c r="K169" s="8"/>
      <c r="L169" s="8"/>
      <c r="M169" s="8"/>
      <c r="N169" s="8"/>
      <c r="O169" s="8"/>
      <c r="P169" s="8"/>
      <c r="Q169" t="b">
        <v>1</v>
      </c>
      <c r="R169">
        <v>28</v>
      </c>
      <c r="S169" s="8"/>
    </row>
    <row r="170" spans="1:19" x14ac:dyDescent="0.3">
      <c r="A170" s="40" t="b">
        <f t="shared" si="22"/>
        <v>1</v>
      </c>
      <c r="B170" s="40" t="b">
        <f t="shared" si="23"/>
        <v>0</v>
      </c>
      <c r="C170" s="8" t="str">
        <f t="shared" si="24"/>
        <v xml:space="preserve">HFD182 </v>
      </c>
      <c r="D170" s="13" t="s">
        <v>273</v>
      </c>
      <c r="E170" s="13"/>
      <c r="F170" s="14" t="s">
        <v>16</v>
      </c>
      <c r="G170" s="14"/>
      <c r="H170" s="40" t="str">
        <f>IF(COUNTIF(Course[Course ID],Course[[#This Row],[Course ID]])&gt;1,"S","")</f>
        <v/>
      </c>
      <c r="I170" s="8"/>
      <c r="J170" s="8"/>
      <c r="K170" s="8"/>
      <c r="L170" s="8"/>
      <c r="M170" s="8"/>
      <c r="N170" s="8"/>
      <c r="O170" s="8"/>
      <c r="P170" s="8"/>
      <c r="Q170" t="b">
        <v>1</v>
      </c>
      <c r="R170">
        <v>28</v>
      </c>
      <c r="S170" s="8"/>
    </row>
    <row r="171" spans="1:19" x14ac:dyDescent="0.3">
      <c r="A171" s="40" t="b">
        <f t="shared" si="22"/>
        <v>1</v>
      </c>
      <c r="B171" s="40" t="b">
        <f t="shared" si="23"/>
        <v>0</v>
      </c>
      <c r="C171" s="8" t="str">
        <f t="shared" si="24"/>
        <v xml:space="preserve">HFD183 </v>
      </c>
      <c r="D171" s="13" t="s">
        <v>274</v>
      </c>
      <c r="E171" s="13"/>
      <c r="F171" s="14" t="s">
        <v>16</v>
      </c>
      <c r="G171" s="14"/>
      <c r="H171" s="40" t="str">
        <f>IF(COUNTIF(Course[Course ID],Course[[#This Row],[Course ID]])&gt;1,"S","")</f>
        <v/>
      </c>
      <c r="I171" s="8"/>
      <c r="J171" s="8"/>
      <c r="K171" s="8"/>
      <c r="L171" s="8"/>
      <c r="M171" s="8"/>
      <c r="N171" s="8"/>
      <c r="O171" s="8"/>
      <c r="P171" s="8"/>
      <c r="Q171" t="b">
        <v>1</v>
      </c>
      <c r="R171">
        <v>28</v>
      </c>
      <c r="S171" s="8"/>
    </row>
    <row r="172" spans="1:19" x14ac:dyDescent="0.3">
      <c r="A172" s="40" t="b">
        <f t="shared" si="22"/>
        <v>1</v>
      </c>
      <c r="B172" s="40" t="b">
        <f t="shared" si="23"/>
        <v>0</v>
      </c>
      <c r="C172" s="8" t="str">
        <f t="shared" si="24"/>
        <v xml:space="preserve">HFD184 </v>
      </c>
      <c r="D172" s="13" t="s">
        <v>275</v>
      </c>
      <c r="E172" s="13"/>
      <c r="F172" s="14" t="s">
        <v>16</v>
      </c>
      <c r="G172" s="14"/>
      <c r="H172" s="40" t="str">
        <f>IF(COUNTIF(Course[Course ID],Course[[#This Row],[Course ID]])&gt;1,"S","")</f>
        <v/>
      </c>
      <c r="I172" s="8"/>
      <c r="J172" s="8"/>
      <c r="K172" s="8"/>
      <c r="L172" s="8"/>
      <c r="M172" s="8"/>
      <c r="N172" s="8"/>
      <c r="O172" s="8"/>
      <c r="P172" s="8"/>
      <c r="Q172" t="b">
        <v>1</v>
      </c>
      <c r="R172">
        <v>28</v>
      </c>
      <c r="S172" s="8"/>
    </row>
    <row r="173" spans="1:19" x14ac:dyDescent="0.3">
      <c r="A173" s="40" t="b">
        <f t="shared" si="22"/>
        <v>1</v>
      </c>
      <c r="B173" s="40" t="b">
        <f t="shared" si="23"/>
        <v>0</v>
      </c>
      <c r="C173" s="8" t="str">
        <f t="shared" si="24"/>
        <v xml:space="preserve">HFD185 </v>
      </c>
      <c r="D173" s="13" t="s">
        <v>276</v>
      </c>
      <c r="E173" s="13"/>
      <c r="F173" s="14" t="s">
        <v>16</v>
      </c>
      <c r="G173" s="14"/>
      <c r="H173" s="40" t="str">
        <f>IF(COUNTIF(Course[Course ID],Course[[#This Row],[Course ID]])&gt;1,"S","")</f>
        <v/>
      </c>
      <c r="I173" s="8"/>
      <c r="J173" s="8"/>
      <c r="K173" s="8"/>
      <c r="L173" s="8"/>
      <c r="M173" s="8"/>
      <c r="N173" s="8"/>
      <c r="O173" s="8"/>
      <c r="P173" s="8"/>
      <c r="Q173" t="b">
        <v>1</v>
      </c>
      <c r="R173">
        <v>28</v>
      </c>
      <c r="S173" s="8"/>
    </row>
    <row r="174" spans="1:19" x14ac:dyDescent="0.3">
      <c r="A174" s="40" t="b">
        <f t="shared" si="22"/>
        <v>1</v>
      </c>
      <c r="B174" s="40" t="b">
        <f t="shared" si="23"/>
        <v>0</v>
      </c>
      <c r="C174" s="8" t="str">
        <f t="shared" si="24"/>
        <v xml:space="preserve">HFD186 </v>
      </c>
      <c r="D174" s="13" t="s">
        <v>277</v>
      </c>
      <c r="E174" s="13"/>
      <c r="F174" s="14" t="s">
        <v>16</v>
      </c>
      <c r="G174" s="14"/>
      <c r="H174" s="40" t="str">
        <f>IF(COUNTIF(Course[Course ID],Course[[#This Row],[Course ID]])&gt;1,"S","")</f>
        <v/>
      </c>
      <c r="I174" s="8"/>
      <c r="J174" s="8"/>
      <c r="K174" s="8"/>
      <c r="L174" s="8"/>
      <c r="M174" s="8"/>
      <c r="N174" s="8"/>
      <c r="O174" s="8"/>
      <c r="P174" s="8"/>
      <c r="Q174" t="b">
        <v>1</v>
      </c>
      <c r="R174">
        <v>28</v>
      </c>
      <c r="S174" s="8"/>
    </row>
    <row r="175" spans="1:19" x14ac:dyDescent="0.3">
      <c r="A175" s="40" t="b">
        <f t="shared" si="22"/>
        <v>1</v>
      </c>
      <c r="B175" s="40" t="b">
        <f t="shared" si="23"/>
        <v>0</v>
      </c>
      <c r="C175" s="8" t="str">
        <f t="shared" si="24"/>
        <v xml:space="preserve">HFD187 </v>
      </c>
      <c r="D175" s="13" t="s">
        <v>278</v>
      </c>
      <c r="E175" s="13"/>
      <c r="F175" s="14" t="s">
        <v>16</v>
      </c>
      <c r="G175" s="14"/>
      <c r="H175" s="40" t="str">
        <f>IF(COUNTIF(Course[Course ID],Course[[#This Row],[Course ID]])&gt;1,"S","")</f>
        <v/>
      </c>
      <c r="I175" s="8"/>
      <c r="J175" s="8"/>
      <c r="K175" s="8"/>
      <c r="L175" s="8"/>
      <c r="M175" s="8"/>
      <c r="N175" s="8"/>
      <c r="O175" s="8"/>
      <c r="P175" s="8"/>
      <c r="Q175" t="b">
        <v>1</v>
      </c>
      <c r="R175">
        <v>28</v>
      </c>
      <c r="S175" s="8"/>
    </row>
    <row r="176" spans="1:19" x14ac:dyDescent="0.3">
      <c r="A176" s="40" t="b">
        <f>IF(F176="G", TRUE,FALSE)</f>
        <v>0</v>
      </c>
      <c r="B176" s="40" t="b">
        <f>IF(ISBLANK(G176),FALSE,TRUE)</f>
        <v>0</v>
      </c>
      <c r="C176" s="8" t="str">
        <f>CONCATENATE(D176," ",E176)</f>
        <v xml:space="preserve">ENG100 </v>
      </c>
      <c r="D176" s="13" t="s">
        <v>279</v>
      </c>
      <c r="E176" s="13"/>
      <c r="F176" s="14" t="s">
        <v>15</v>
      </c>
      <c r="G176" s="14"/>
      <c r="H176" s="40" t="str">
        <f>IF(COUNTIF(Course[Course ID],Course[[#This Row],[Course ID]])&gt;1,"S","")</f>
        <v/>
      </c>
      <c r="I176" s="8"/>
      <c r="J176" s="8"/>
      <c r="K176" s="8"/>
      <c r="L176" s="8"/>
      <c r="M176" s="8"/>
      <c r="N176" s="8"/>
      <c r="O176" s="8"/>
      <c r="P176" s="8"/>
      <c r="Q176" t="b">
        <v>1</v>
      </c>
      <c r="R176">
        <v>18</v>
      </c>
      <c r="S176" s="8"/>
    </row>
    <row r="177" spans="1:19" x14ac:dyDescent="0.3">
      <c r="A177" s="40" t="b">
        <f t="shared" ref="A177:A200" si="25">IF(F177="G", TRUE,FALSE)</f>
        <v>0</v>
      </c>
      <c r="B177" s="40" t="b">
        <f t="shared" ref="B177:B200" si="26">IF(ISBLANK(G177),FALSE,TRUE)</f>
        <v>0</v>
      </c>
      <c r="C177" s="8" t="str">
        <f t="shared" ref="C177:C200" si="27">CONCATENATE(D177," ",E177)</f>
        <v xml:space="preserve">ENG101 </v>
      </c>
      <c r="D177" s="13" t="s">
        <v>280</v>
      </c>
      <c r="E177" s="13"/>
      <c r="F177" s="14" t="s">
        <v>15</v>
      </c>
      <c r="G177" s="14"/>
      <c r="H177" s="40" t="str">
        <f>IF(COUNTIF(Course[Course ID],Course[[#This Row],[Course ID]])&gt;1,"S","")</f>
        <v/>
      </c>
      <c r="I177" s="8"/>
      <c r="J177" s="8"/>
      <c r="K177" s="8"/>
      <c r="L177" s="8"/>
      <c r="M177" s="8"/>
      <c r="N177" s="8"/>
      <c r="O177" s="8"/>
      <c r="P177" s="8"/>
      <c r="Q177" t="b">
        <v>1</v>
      </c>
      <c r="R177">
        <v>18</v>
      </c>
      <c r="S177" s="8"/>
    </row>
    <row r="178" spans="1:19" x14ac:dyDescent="0.3">
      <c r="A178" s="40" t="b">
        <f t="shared" si="25"/>
        <v>0</v>
      </c>
      <c r="B178" s="40" t="b">
        <f t="shared" si="26"/>
        <v>0</v>
      </c>
      <c r="C178" s="8" t="str">
        <f t="shared" si="27"/>
        <v xml:space="preserve">ENG102 </v>
      </c>
      <c r="D178" s="13" t="s">
        <v>281</v>
      </c>
      <c r="E178" s="13"/>
      <c r="F178" s="14" t="s">
        <v>15</v>
      </c>
      <c r="G178" s="14"/>
      <c r="H178" s="40" t="str">
        <f>IF(COUNTIF(Course[Course ID],Course[[#This Row],[Course ID]])&gt;1,"S","")</f>
        <v/>
      </c>
      <c r="I178" s="8"/>
      <c r="J178" s="8"/>
      <c r="K178" s="8"/>
      <c r="L178" s="8"/>
      <c r="M178" s="8"/>
      <c r="N178" s="8"/>
      <c r="O178" s="8"/>
      <c r="P178" s="8"/>
      <c r="Q178" t="b">
        <v>1</v>
      </c>
      <c r="R178">
        <v>18</v>
      </c>
      <c r="S178" s="8"/>
    </row>
    <row r="179" spans="1:19" x14ac:dyDescent="0.3">
      <c r="A179" s="40" t="b">
        <f t="shared" si="25"/>
        <v>0</v>
      </c>
      <c r="B179" s="40" t="b">
        <f t="shared" si="26"/>
        <v>0</v>
      </c>
      <c r="C179" s="8" t="str">
        <f t="shared" si="27"/>
        <v xml:space="preserve">ENG103 </v>
      </c>
      <c r="D179" s="13" t="s">
        <v>282</v>
      </c>
      <c r="E179" s="13"/>
      <c r="F179" s="14" t="s">
        <v>15</v>
      </c>
      <c r="G179" s="14"/>
      <c r="H179" s="40" t="str">
        <f>IF(COUNTIF(Course[Course ID],Course[[#This Row],[Course ID]])&gt;1,"S","")</f>
        <v/>
      </c>
      <c r="I179" s="8"/>
      <c r="J179" s="8"/>
      <c r="K179" s="8"/>
      <c r="L179" s="8"/>
      <c r="M179" s="8"/>
      <c r="N179" s="8"/>
      <c r="O179" s="8"/>
      <c r="P179" s="8"/>
      <c r="Q179" t="b">
        <v>1</v>
      </c>
      <c r="R179">
        <v>18</v>
      </c>
      <c r="S179" s="8"/>
    </row>
    <row r="180" spans="1:19" x14ac:dyDescent="0.3">
      <c r="A180" s="40" t="b">
        <f t="shared" si="25"/>
        <v>0</v>
      </c>
      <c r="B180" s="40" t="b">
        <f t="shared" si="26"/>
        <v>0</v>
      </c>
      <c r="C180" s="8" t="str">
        <f t="shared" si="27"/>
        <v xml:space="preserve">ENG104 </v>
      </c>
      <c r="D180" s="13" t="s">
        <v>283</v>
      </c>
      <c r="E180" s="13"/>
      <c r="F180" s="14" t="s">
        <v>15</v>
      </c>
      <c r="G180" s="14"/>
      <c r="H180" s="40" t="str">
        <f>IF(COUNTIF(Course[Course ID],Course[[#This Row],[Course ID]])&gt;1,"S","")</f>
        <v/>
      </c>
      <c r="I180" s="8"/>
      <c r="J180" s="8"/>
      <c r="K180" s="8"/>
      <c r="L180" s="8"/>
      <c r="M180" s="8"/>
      <c r="N180" s="8"/>
      <c r="O180" s="8"/>
      <c r="P180" s="8"/>
      <c r="Q180" t="b">
        <v>1</v>
      </c>
      <c r="R180">
        <v>19</v>
      </c>
      <c r="S180" s="8"/>
    </row>
    <row r="181" spans="1:19" x14ac:dyDescent="0.3">
      <c r="A181" s="40" t="b">
        <f t="shared" si="25"/>
        <v>0</v>
      </c>
      <c r="B181" s="40" t="b">
        <f t="shared" si="26"/>
        <v>0</v>
      </c>
      <c r="C181" s="8" t="str">
        <f t="shared" si="27"/>
        <v xml:space="preserve">ENG105 </v>
      </c>
      <c r="D181" s="13" t="s">
        <v>284</v>
      </c>
      <c r="E181" s="13"/>
      <c r="F181" s="14" t="s">
        <v>15</v>
      </c>
      <c r="G181" s="14"/>
      <c r="H181" s="40" t="str">
        <f>IF(COUNTIF(Course[Course ID],Course[[#This Row],[Course ID]])&gt;1,"S","")</f>
        <v/>
      </c>
      <c r="I181" s="8"/>
      <c r="J181" s="8"/>
      <c r="K181" s="8"/>
      <c r="L181" s="8"/>
      <c r="M181" s="8"/>
      <c r="N181" s="8"/>
      <c r="O181" s="8"/>
      <c r="P181" s="8"/>
      <c r="Q181" t="b">
        <v>1</v>
      </c>
      <c r="R181">
        <v>19</v>
      </c>
      <c r="S181" s="8"/>
    </row>
    <row r="182" spans="1:19" x14ac:dyDescent="0.3">
      <c r="A182" s="40" t="b">
        <f t="shared" si="25"/>
        <v>0</v>
      </c>
      <c r="B182" s="40" t="b">
        <f t="shared" si="26"/>
        <v>0</v>
      </c>
      <c r="C182" s="8" t="str">
        <f t="shared" si="27"/>
        <v xml:space="preserve">ENG106 </v>
      </c>
      <c r="D182" s="13" t="s">
        <v>285</v>
      </c>
      <c r="E182" s="13"/>
      <c r="F182" s="14" t="s">
        <v>15</v>
      </c>
      <c r="G182" s="14"/>
      <c r="H182" s="40" t="str">
        <f>IF(COUNTIF(Course[Course ID],Course[[#This Row],[Course ID]])&gt;1,"S","")</f>
        <v/>
      </c>
      <c r="I182" s="8"/>
      <c r="J182" s="8"/>
      <c r="K182" s="8"/>
      <c r="L182" s="8"/>
      <c r="M182" s="8"/>
      <c r="N182" s="8"/>
      <c r="O182" s="8"/>
      <c r="P182" s="8"/>
      <c r="Q182" t="b">
        <v>1</v>
      </c>
      <c r="R182">
        <v>19</v>
      </c>
      <c r="S182" s="8"/>
    </row>
    <row r="183" spans="1:19" x14ac:dyDescent="0.3">
      <c r="A183" s="40" t="b">
        <f t="shared" si="25"/>
        <v>0</v>
      </c>
      <c r="B183" s="40" t="b">
        <f t="shared" si="26"/>
        <v>0</v>
      </c>
      <c r="C183" s="8" t="str">
        <f t="shared" si="27"/>
        <v xml:space="preserve">ENG107 </v>
      </c>
      <c r="D183" s="13" t="s">
        <v>286</v>
      </c>
      <c r="E183" s="13"/>
      <c r="F183" s="14" t="s">
        <v>15</v>
      </c>
      <c r="G183" s="14"/>
      <c r="H183" s="40" t="str">
        <f>IF(COUNTIF(Course[Course ID],Course[[#This Row],[Course ID]])&gt;1,"S","")</f>
        <v/>
      </c>
      <c r="I183" s="8"/>
      <c r="J183" s="8"/>
      <c r="K183" s="8"/>
      <c r="L183" s="8"/>
      <c r="M183" s="8"/>
      <c r="N183" s="8"/>
      <c r="O183" s="8"/>
      <c r="P183" s="8"/>
      <c r="Q183" t="b">
        <v>1</v>
      </c>
      <c r="R183">
        <v>19</v>
      </c>
      <c r="S183" s="8"/>
    </row>
    <row r="184" spans="1:19" x14ac:dyDescent="0.3">
      <c r="A184" s="40" t="b">
        <f t="shared" si="25"/>
        <v>0</v>
      </c>
      <c r="B184" s="40" t="b">
        <f t="shared" si="26"/>
        <v>0</v>
      </c>
      <c r="C184" s="8" t="str">
        <f t="shared" si="27"/>
        <v xml:space="preserve">ENG108 </v>
      </c>
      <c r="D184" s="13" t="s">
        <v>287</v>
      </c>
      <c r="E184" s="13"/>
      <c r="F184" s="14" t="s">
        <v>15</v>
      </c>
      <c r="G184" s="14"/>
      <c r="H184" s="40" t="str">
        <f>IF(COUNTIF(Course[Course ID],Course[[#This Row],[Course ID]])&gt;1,"S","")</f>
        <v/>
      </c>
      <c r="I184" s="8"/>
      <c r="J184" s="8"/>
      <c r="K184" s="8"/>
      <c r="L184" s="8"/>
      <c r="M184" s="8"/>
      <c r="N184" s="8"/>
      <c r="O184" s="8"/>
      <c r="P184" s="8"/>
      <c r="Q184" t="b">
        <v>1</v>
      </c>
      <c r="R184">
        <v>19</v>
      </c>
      <c r="S184" s="8"/>
    </row>
    <row r="185" spans="1:19" x14ac:dyDescent="0.3">
      <c r="A185" s="40" t="b">
        <f t="shared" si="25"/>
        <v>0</v>
      </c>
      <c r="B185" s="40" t="b">
        <f t="shared" si="26"/>
        <v>0</v>
      </c>
      <c r="C185" s="8" t="str">
        <f t="shared" si="27"/>
        <v xml:space="preserve">ENG109 </v>
      </c>
      <c r="D185" s="13" t="s">
        <v>288</v>
      </c>
      <c r="E185" s="13"/>
      <c r="F185" s="14" t="s">
        <v>15</v>
      </c>
      <c r="G185" s="14"/>
      <c r="H185" s="40" t="str">
        <f>IF(COUNTIF(Course[Course ID],Course[[#This Row],[Course ID]])&gt;1,"S","")</f>
        <v/>
      </c>
      <c r="I185" s="8"/>
      <c r="J185" s="8"/>
      <c r="K185" s="8"/>
      <c r="L185" s="8"/>
      <c r="M185" s="8"/>
      <c r="N185" s="8"/>
      <c r="O185" s="8"/>
      <c r="P185" s="8"/>
      <c r="Q185" t="b">
        <v>1</v>
      </c>
      <c r="R185">
        <v>20</v>
      </c>
      <c r="S185" s="8"/>
    </row>
    <row r="186" spans="1:19" x14ac:dyDescent="0.3">
      <c r="A186" s="40" t="b">
        <f t="shared" si="25"/>
        <v>0</v>
      </c>
      <c r="B186" s="40" t="b">
        <f t="shared" si="26"/>
        <v>0</v>
      </c>
      <c r="C186" s="8" t="str">
        <f t="shared" si="27"/>
        <v xml:space="preserve">ENG110 </v>
      </c>
      <c r="D186" s="13" t="s">
        <v>289</v>
      </c>
      <c r="E186" s="13"/>
      <c r="F186" s="14" t="s">
        <v>15</v>
      </c>
      <c r="G186" s="14"/>
      <c r="H186" s="40" t="str">
        <f>IF(COUNTIF(Course[Course ID],Course[[#This Row],[Course ID]])&gt;1,"S","")</f>
        <v/>
      </c>
      <c r="I186" s="8"/>
      <c r="J186" s="8"/>
      <c r="K186" s="8"/>
      <c r="L186" s="8"/>
      <c r="M186" s="8"/>
      <c r="N186" s="8"/>
      <c r="O186" s="8"/>
      <c r="P186" s="8"/>
      <c r="Q186" t="b">
        <v>1</v>
      </c>
      <c r="R186">
        <v>20</v>
      </c>
      <c r="S186" s="8"/>
    </row>
    <row r="187" spans="1:19" x14ac:dyDescent="0.3">
      <c r="A187" s="40" t="b">
        <f t="shared" si="25"/>
        <v>0</v>
      </c>
      <c r="B187" s="40" t="b">
        <f t="shared" si="26"/>
        <v>0</v>
      </c>
      <c r="C187" s="8" t="str">
        <f t="shared" si="27"/>
        <v xml:space="preserve">ENG111 </v>
      </c>
      <c r="D187" s="13" t="s">
        <v>290</v>
      </c>
      <c r="E187" s="13"/>
      <c r="F187" s="14" t="s">
        <v>15</v>
      </c>
      <c r="G187" s="14"/>
      <c r="H187" s="40" t="str">
        <f>IF(COUNTIF(Course[Course ID],Course[[#This Row],[Course ID]])&gt;1,"S","")</f>
        <v/>
      </c>
      <c r="I187" s="8"/>
      <c r="J187" s="8"/>
      <c r="K187" s="8"/>
      <c r="L187" s="8"/>
      <c r="M187" s="8"/>
      <c r="N187" s="8"/>
      <c r="O187" s="8"/>
      <c r="P187" s="8"/>
      <c r="Q187" t="b">
        <v>1</v>
      </c>
      <c r="R187">
        <v>20</v>
      </c>
      <c r="S187" s="8"/>
    </row>
    <row r="188" spans="1:19" x14ac:dyDescent="0.3">
      <c r="A188" s="40" t="b">
        <f t="shared" si="25"/>
        <v>0</v>
      </c>
      <c r="B188" s="40" t="b">
        <f t="shared" si="26"/>
        <v>0</v>
      </c>
      <c r="C188" s="8" t="str">
        <f t="shared" si="27"/>
        <v xml:space="preserve">ENG112 </v>
      </c>
      <c r="D188" s="13" t="s">
        <v>291</v>
      </c>
      <c r="E188" s="13"/>
      <c r="F188" s="14" t="s">
        <v>15</v>
      </c>
      <c r="G188" s="14"/>
      <c r="H188" s="40" t="str">
        <f>IF(COUNTIF(Course[Course ID],Course[[#This Row],[Course ID]])&gt;1,"S","")</f>
        <v/>
      </c>
      <c r="I188" s="8"/>
      <c r="J188" s="8"/>
      <c r="K188" s="8"/>
      <c r="L188" s="8"/>
      <c r="M188" s="8"/>
      <c r="N188" s="8"/>
      <c r="O188" s="8"/>
      <c r="P188" s="8"/>
      <c r="Q188" t="b">
        <v>1</v>
      </c>
      <c r="R188">
        <v>20</v>
      </c>
      <c r="S188" s="8"/>
    </row>
    <row r="189" spans="1:19" x14ac:dyDescent="0.3">
      <c r="A189" s="40" t="b">
        <f t="shared" si="25"/>
        <v>0</v>
      </c>
      <c r="B189" s="40" t="b">
        <f t="shared" si="26"/>
        <v>0</v>
      </c>
      <c r="C189" s="8" t="str">
        <f t="shared" si="27"/>
        <v xml:space="preserve">ENG113 </v>
      </c>
      <c r="D189" s="13" t="s">
        <v>292</v>
      </c>
      <c r="E189" s="13"/>
      <c r="F189" s="14" t="s">
        <v>15</v>
      </c>
      <c r="G189" s="14"/>
      <c r="H189" s="40" t="str">
        <f>IF(COUNTIF(Course[Course ID],Course[[#This Row],[Course ID]])&gt;1,"S","")</f>
        <v/>
      </c>
      <c r="I189" s="8"/>
      <c r="J189" s="8"/>
      <c r="K189" s="8"/>
      <c r="L189" s="8"/>
      <c r="M189" s="8"/>
      <c r="N189" s="8"/>
      <c r="O189" s="8"/>
      <c r="P189" s="8"/>
      <c r="Q189" t="b">
        <v>1</v>
      </c>
      <c r="R189">
        <v>1</v>
      </c>
      <c r="S189" s="8"/>
    </row>
    <row r="190" spans="1:19" x14ac:dyDescent="0.3">
      <c r="A190" s="40" t="b">
        <f t="shared" si="25"/>
        <v>0</v>
      </c>
      <c r="B190" s="40" t="b">
        <f t="shared" si="26"/>
        <v>0</v>
      </c>
      <c r="C190" s="8" t="str">
        <f t="shared" si="27"/>
        <v xml:space="preserve">ENG114 </v>
      </c>
      <c r="D190" s="13" t="s">
        <v>293</v>
      </c>
      <c r="E190" s="13"/>
      <c r="F190" s="14" t="s">
        <v>15</v>
      </c>
      <c r="G190" s="14"/>
      <c r="H190" s="40" t="str">
        <f>IF(COUNTIF(Course[Course ID],Course[[#This Row],[Course ID]])&gt;1,"S","")</f>
        <v/>
      </c>
      <c r="I190" s="8"/>
      <c r="J190" s="8"/>
      <c r="K190" s="8"/>
      <c r="L190" s="8"/>
      <c r="M190" s="8"/>
      <c r="N190" s="8"/>
      <c r="O190" s="8"/>
      <c r="P190" s="8"/>
      <c r="Q190" t="b">
        <v>1</v>
      </c>
      <c r="R190">
        <v>2</v>
      </c>
      <c r="S190" s="8"/>
    </row>
    <row r="191" spans="1:19" x14ac:dyDescent="0.3">
      <c r="A191" s="40" t="b">
        <f t="shared" si="25"/>
        <v>0</v>
      </c>
      <c r="B191" s="40" t="b">
        <f t="shared" si="26"/>
        <v>0</v>
      </c>
      <c r="C191" s="8" t="str">
        <f t="shared" si="27"/>
        <v xml:space="preserve">ENG115 </v>
      </c>
      <c r="D191" s="13" t="s">
        <v>294</v>
      </c>
      <c r="E191" s="13"/>
      <c r="F191" s="14" t="s">
        <v>15</v>
      </c>
      <c r="G191" s="14"/>
      <c r="H191" s="40" t="str">
        <f>IF(COUNTIF(Course[Course ID],Course[[#This Row],[Course ID]])&gt;1,"S","")</f>
        <v/>
      </c>
      <c r="I191" s="8"/>
      <c r="J191" s="8"/>
      <c r="K191" s="8"/>
      <c r="L191" s="8"/>
      <c r="M191" s="8"/>
      <c r="N191" s="8"/>
      <c r="O191" s="8"/>
      <c r="P191" s="8"/>
      <c r="Q191" t="b">
        <v>1</v>
      </c>
      <c r="R191">
        <v>3</v>
      </c>
      <c r="S191" s="8"/>
    </row>
    <row r="192" spans="1:19" x14ac:dyDescent="0.3">
      <c r="A192" s="40" t="b">
        <f t="shared" si="25"/>
        <v>0</v>
      </c>
      <c r="B192" s="40" t="b">
        <f t="shared" si="26"/>
        <v>0</v>
      </c>
      <c r="C192" s="8" t="str">
        <f t="shared" si="27"/>
        <v xml:space="preserve">ENG116 </v>
      </c>
      <c r="D192" s="13" t="s">
        <v>295</v>
      </c>
      <c r="E192" s="13"/>
      <c r="F192" s="14" t="s">
        <v>15</v>
      </c>
      <c r="G192" s="14"/>
      <c r="H192" s="40" t="str">
        <f>IF(COUNTIF(Course[Course ID],Course[[#This Row],[Course ID]])&gt;1,"S","")</f>
        <v/>
      </c>
      <c r="I192" s="8"/>
      <c r="J192" s="8"/>
      <c r="K192" s="8"/>
      <c r="L192" s="8"/>
      <c r="M192" s="8"/>
      <c r="N192" s="8"/>
      <c r="O192" s="8"/>
      <c r="P192" s="8"/>
      <c r="Q192" t="b">
        <v>1</v>
      </c>
      <c r="R192">
        <v>4</v>
      </c>
      <c r="S192" s="8"/>
    </row>
    <row r="193" spans="1:19" x14ac:dyDescent="0.3">
      <c r="A193" s="40" t="b">
        <f t="shared" si="25"/>
        <v>0</v>
      </c>
      <c r="B193" s="40" t="b">
        <f t="shared" si="26"/>
        <v>0</v>
      </c>
      <c r="C193" s="8" t="str">
        <f t="shared" si="27"/>
        <v xml:space="preserve">ENG117 </v>
      </c>
      <c r="D193" s="13" t="s">
        <v>296</v>
      </c>
      <c r="E193" s="13"/>
      <c r="F193" s="14" t="s">
        <v>15</v>
      </c>
      <c r="G193" s="14"/>
      <c r="H193" s="40" t="str">
        <f>IF(COUNTIF(Course[Course ID],Course[[#This Row],[Course ID]])&gt;1,"S","")</f>
        <v/>
      </c>
      <c r="I193" s="8"/>
      <c r="J193" s="8"/>
      <c r="K193" s="8"/>
      <c r="L193" s="8"/>
      <c r="M193" s="8"/>
      <c r="N193" s="8"/>
      <c r="O193" s="8"/>
      <c r="P193" s="8"/>
      <c r="Q193" t="b">
        <v>1</v>
      </c>
      <c r="R193">
        <v>5</v>
      </c>
      <c r="S193" s="8"/>
    </row>
    <row r="194" spans="1:19" x14ac:dyDescent="0.3">
      <c r="A194" s="40" t="b">
        <f t="shared" si="25"/>
        <v>0</v>
      </c>
      <c r="B194" s="40" t="b">
        <f t="shared" si="26"/>
        <v>0</v>
      </c>
      <c r="C194" s="8" t="str">
        <f t="shared" si="27"/>
        <v xml:space="preserve">ENG118 </v>
      </c>
      <c r="D194" s="13" t="s">
        <v>297</v>
      </c>
      <c r="E194" s="13"/>
      <c r="F194" s="14" t="s">
        <v>15</v>
      </c>
      <c r="G194" s="14"/>
      <c r="H194" s="40" t="str">
        <f>IF(COUNTIF(Course[Course ID],Course[[#This Row],[Course ID]])&gt;1,"S","")</f>
        <v/>
      </c>
      <c r="I194" s="8"/>
      <c r="J194" s="8"/>
      <c r="K194" s="8"/>
      <c r="L194" s="8"/>
      <c r="M194" s="8"/>
      <c r="N194" s="8"/>
      <c r="O194" s="8"/>
      <c r="P194" s="8"/>
      <c r="Q194" t="b">
        <v>1</v>
      </c>
      <c r="R194">
        <v>6</v>
      </c>
      <c r="S194" s="8"/>
    </row>
    <row r="195" spans="1:19" x14ac:dyDescent="0.3">
      <c r="A195" s="40" t="b">
        <f t="shared" si="25"/>
        <v>0</v>
      </c>
      <c r="B195" s="40" t="b">
        <f t="shared" si="26"/>
        <v>0</v>
      </c>
      <c r="C195" s="8" t="str">
        <f t="shared" si="27"/>
        <v xml:space="preserve">ENG119 </v>
      </c>
      <c r="D195" s="13" t="s">
        <v>298</v>
      </c>
      <c r="E195" s="13"/>
      <c r="F195" s="14" t="s">
        <v>15</v>
      </c>
      <c r="G195" s="14"/>
      <c r="H195" s="40" t="str">
        <f>IF(COUNTIF(Course[Course ID],Course[[#This Row],[Course ID]])&gt;1,"S","")</f>
        <v/>
      </c>
      <c r="I195" s="8"/>
      <c r="J195" s="8"/>
      <c r="K195" s="8"/>
      <c r="L195" s="8"/>
      <c r="M195" s="8"/>
      <c r="N195" s="8"/>
      <c r="O195" s="8"/>
      <c r="P195" s="8"/>
      <c r="Q195" t="b">
        <v>1</v>
      </c>
      <c r="R195">
        <v>7</v>
      </c>
      <c r="S195" s="8"/>
    </row>
    <row r="196" spans="1:19" x14ac:dyDescent="0.3">
      <c r="A196" s="40" t="b">
        <f t="shared" si="25"/>
        <v>0</v>
      </c>
      <c r="B196" s="40" t="b">
        <f t="shared" si="26"/>
        <v>0</v>
      </c>
      <c r="C196" s="8" t="str">
        <f t="shared" si="27"/>
        <v xml:space="preserve">ENG120 </v>
      </c>
      <c r="D196" s="13" t="s">
        <v>299</v>
      </c>
      <c r="E196" s="13"/>
      <c r="F196" s="14" t="s">
        <v>15</v>
      </c>
      <c r="G196" s="14"/>
      <c r="H196" s="40" t="str">
        <f>IF(COUNTIF(Course[Course ID],Course[[#This Row],[Course ID]])&gt;1,"S","")</f>
        <v/>
      </c>
      <c r="I196" s="8"/>
      <c r="J196" s="8"/>
      <c r="K196" s="8"/>
      <c r="L196" s="8"/>
      <c r="M196" s="8"/>
      <c r="N196" s="8"/>
      <c r="O196" s="8"/>
      <c r="P196" s="8"/>
      <c r="Q196" t="b">
        <v>1</v>
      </c>
      <c r="R196">
        <v>8</v>
      </c>
      <c r="S196" s="8"/>
    </row>
    <row r="197" spans="1:19" x14ac:dyDescent="0.3">
      <c r="A197" s="40" t="b">
        <f t="shared" si="25"/>
        <v>0</v>
      </c>
      <c r="B197" s="40" t="b">
        <f t="shared" si="26"/>
        <v>0</v>
      </c>
      <c r="C197" s="8" t="str">
        <f t="shared" si="27"/>
        <v xml:space="preserve">ENG121 </v>
      </c>
      <c r="D197" s="13" t="s">
        <v>300</v>
      </c>
      <c r="E197" s="13"/>
      <c r="F197" s="14" t="s">
        <v>15</v>
      </c>
      <c r="G197" s="14"/>
      <c r="H197" s="40" t="str">
        <f>IF(COUNTIF(Course[Course ID],Course[[#This Row],[Course ID]])&gt;1,"S","")</f>
        <v/>
      </c>
      <c r="I197" s="8"/>
      <c r="J197" s="8"/>
      <c r="K197" s="8"/>
      <c r="L197" s="8"/>
      <c r="M197" s="8"/>
      <c r="N197" s="8"/>
      <c r="O197" s="8"/>
      <c r="P197" s="8"/>
      <c r="Q197" t="b">
        <v>1</v>
      </c>
      <c r="R197">
        <v>9</v>
      </c>
      <c r="S197" s="8"/>
    </row>
    <row r="198" spans="1:19" x14ac:dyDescent="0.3">
      <c r="A198" s="40" t="b">
        <f t="shared" si="25"/>
        <v>0</v>
      </c>
      <c r="B198" s="40" t="b">
        <f t="shared" si="26"/>
        <v>0</v>
      </c>
      <c r="C198" s="8" t="str">
        <f t="shared" si="27"/>
        <v xml:space="preserve">ENG122 </v>
      </c>
      <c r="D198" s="13" t="s">
        <v>301</v>
      </c>
      <c r="E198" s="13"/>
      <c r="F198" s="14" t="s">
        <v>15</v>
      </c>
      <c r="G198" s="14"/>
      <c r="H198" s="40" t="str">
        <f>IF(COUNTIF(Course[Course ID],Course[[#This Row],[Course ID]])&gt;1,"S","")</f>
        <v/>
      </c>
      <c r="I198" s="8"/>
      <c r="J198" s="8"/>
      <c r="K198" s="8"/>
      <c r="L198" s="8"/>
      <c r="M198" s="8"/>
      <c r="N198" s="8"/>
      <c r="O198" s="8"/>
      <c r="P198" s="8"/>
      <c r="Q198" t="b">
        <v>1</v>
      </c>
      <c r="R198">
        <v>10</v>
      </c>
      <c r="S198" s="8"/>
    </row>
    <row r="199" spans="1:19" x14ac:dyDescent="0.3">
      <c r="A199" s="40" t="b">
        <f t="shared" si="25"/>
        <v>0</v>
      </c>
      <c r="B199" s="40" t="b">
        <f t="shared" si="26"/>
        <v>0</v>
      </c>
      <c r="C199" s="8" t="str">
        <f t="shared" si="27"/>
        <v xml:space="preserve">ENG123 </v>
      </c>
      <c r="D199" s="13" t="s">
        <v>302</v>
      </c>
      <c r="E199" s="13"/>
      <c r="F199" s="14" t="s">
        <v>15</v>
      </c>
      <c r="G199" s="14"/>
      <c r="H199" s="40" t="str">
        <f>IF(COUNTIF(Course[Course ID],Course[[#This Row],[Course ID]])&gt;1,"S","")</f>
        <v/>
      </c>
      <c r="I199" s="8"/>
      <c r="J199" s="8"/>
      <c r="K199" s="8"/>
      <c r="L199" s="8"/>
      <c r="M199" s="8"/>
      <c r="N199" s="8"/>
      <c r="O199" s="8"/>
      <c r="P199" s="8"/>
      <c r="Q199" t="b">
        <v>1</v>
      </c>
      <c r="R199">
        <v>11</v>
      </c>
      <c r="S199" s="8"/>
    </row>
    <row r="200" spans="1:19" x14ac:dyDescent="0.3">
      <c r="A200" s="40" t="b">
        <f t="shared" si="25"/>
        <v>0</v>
      </c>
      <c r="B200" s="40" t="b">
        <f t="shared" si="26"/>
        <v>0</v>
      </c>
      <c r="C200" s="8" t="str">
        <f t="shared" si="27"/>
        <v xml:space="preserve">ENG124 </v>
      </c>
      <c r="D200" s="13" t="s">
        <v>303</v>
      </c>
      <c r="E200" s="13"/>
      <c r="F200" s="14" t="s">
        <v>15</v>
      </c>
      <c r="G200" s="14"/>
      <c r="H200" s="40" t="str">
        <f>IF(COUNTIF(Course[Course ID],Course[[#This Row],[Course ID]])&gt;1,"S","")</f>
        <v/>
      </c>
      <c r="I200" s="8"/>
      <c r="J200" s="8"/>
      <c r="K200" s="8"/>
      <c r="L200" s="8"/>
      <c r="M200" s="8"/>
      <c r="N200" s="8"/>
      <c r="O200" s="8"/>
      <c r="P200" s="8"/>
      <c r="Q200" t="b">
        <v>1</v>
      </c>
      <c r="R200">
        <v>12</v>
      </c>
      <c r="S200" s="8"/>
    </row>
  </sheetData>
  <pageMargins left="0.7" right="0.7" top="0.75" bottom="0.75" header="0.3" footer="0.3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4" name="Button 20">
              <controlPr defaultSize="0" print="0" autoFill="0" autoPict="0" macro="[0]!AssignProfessor">
                <anchor mov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22</xdr:col>
                    <xdr:colOff>213360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ourseSolverMacro">
                <anchor moveWithCells="1" sizeWithCells="1">
                  <from>
                    <xdr:col>20</xdr:col>
                    <xdr:colOff>0</xdr:colOff>
                    <xdr:row>2</xdr:row>
                    <xdr:rowOff>45720</xdr:rowOff>
                  </from>
                  <to>
                    <xdr:col>22</xdr:col>
                    <xdr:colOff>213360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6" name="Button 22">
              <controlPr defaultSize="0" print="0" autoFill="0" autoPict="0" macro="[0]!printoutMacro">
                <anchor moveWithCells="1">
                  <from>
                    <xdr:col>20</xdr:col>
                    <xdr:colOff>0</xdr:colOff>
                    <xdr:row>3</xdr:row>
                    <xdr:rowOff>91440</xdr:rowOff>
                  </from>
                  <to>
                    <xdr:col>22</xdr:col>
                    <xdr:colOff>213360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  <pageSetUpPr fitToPage="1"/>
  </sheetPr>
  <dimension ref="A1:R12"/>
  <sheetViews>
    <sheetView showGridLines="0" tabSelected="1" zoomScale="55" zoomScaleNormal="55" workbookViewId="0">
      <selection activeCell="S5" sqref="S5"/>
    </sheetView>
  </sheetViews>
  <sheetFormatPr defaultColWidth="8.6640625" defaultRowHeight="14.4" x14ac:dyDescent="0.3"/>
  <cols>
    <col min="1" max="1" width="10.88671875" bestFit="1" customWidth="1"/>
    <col min="2" max="2" width="9" bestFit="1" customWidth="1"/>
    <col min="3" max="7" width="22.77734375" customWidth="1"/>
  </cols>
  <sheetData>
    <row r="1" spans="1:18" ht="15" thickBot="1" x14ac:dyDescent="0.35">
      <c r="A1" s="43" t="s">
        <v>53</v>
      </c>
      <c r="B1" s="43"/>
      <c r="C1" s="43"/>
      <c r="D1" s="43"/>
      <c r="E1" s="43"/>
      <c r="F1" s="43"/>
      <c r="G1" s="43"/>
      <c r="Q1" t="s">
        <v>59</v>
      </c>
      <c r="R1" t="s">
        <v>60</v>
      </c>
    </row>
    <row r="2" spans="1:18" x14ac:dyDescent="0.3">
      <c r="A2" s="44"/>
      <c r="B2" s="45"/>
      <c r="C2" s="36" t="s">
        <v>54</v>
      </c>
      <c r="D2" s="36" t="s">
        <v>55</v>
      </c>
      <c r="E2" s="36" t="s">
        <v>56</v>
      </c>
      <c r="F2" s="36" t="s">
        <v>57</v>
      </c>
      <c r="G2" s="37" t="s">
        <v>58</v>
      </c>
    </row>
    <row r="3" spans="1:18" ht="100.8" x14ac:dyDescent="0.3">
      <c r="A3" s="29" t="s">
        <v>76</v>
      </c>
      <c r="B3" s="23" t="s">
        <v>19</v>
      </c>
      <c r="C3" s="25" t="s">
        <v>304</v>
      </c>
      <c r="D3" s="25" t="s">
        <v>305</v>
      </c>
      <c r="E3" s="25" t="s">
        <v>304</v>
      </c>
      <c r="F3" s="26" t="s">
        <v>306</v>
      </c>
      <c r="G3" s="30" t="s">
        <v>305</v>
      </c>
    </row>
    <row r="4" spans="1:18" ht="100.8" x14ac:dyDescent="0.3">
      <c r="A4" s="29" t="s">
        <v>77</v>
      </c>
      <c r="B4" s="23" t="s">
        <v>20</v>
      </c>
      <c r="C4" s="28" t="s">
        <v>307</v>
      </c>
      <c r="D4" s="28" t="s">
        <v>308</v>
      </c>
      <c r="E4" s="28" t="s">
        <v>307</v>
      </c>
      <c r="F4" s="26" t="s">
        <v>306</v>
      </c>
      <c r="G4" s="32" t="s">
        <v>308</v>
      </c>
    </row>
    <row r="5" spans="1:18" ht="100.8" x14ac:dyDescent="0.3">
      <c r="A5" s="29" t="s">
        <v>78</v>
      </c>
      <c r="B5" s="23" t="s">
        <v>21</v>
      </c>
      <c r="C5" s="28" t="s">
        <v>309</v>
      </c>
      <c r="D5" s="28" t="s">
        <v>310</v>
      </c>
      <c r="E5" s="41" t="s">
        <v>313</v>
      </c>
      <c r="F5" s="28" t="s">
        <v>309</v>
      </c>
      <c r="G5" s="32" t="s">
        <v>310</v>
      </c>
    </row>
    <row r="6" spans="1:18" ht="100.8" x14ac:dyDescent="0.3">
      <c r="A6" s="29" t="s">
        <v>79</v>
      </c>
      <c r="B6" s="23" t="s">
        <v>22</v>
      </c>
      <c r="C6" s="28" t="s">
        <v>311</v>
      </c>
      <c r="D6" s="28" t="s">
        <v>312</v>
      </c>
      <c r="E6" s="41" t="s">
        <v>313</v>
      </c>
      <c r="F6" s="28" t="s">
        <v>311</v>
      </c>
      <c r="G6" s="32" t="s">
        <v>312</v>
      </c>
    </row>
    <row r="7" spans="1:18" ht="100.8" x14ac:dyDescent="0.3">
      <c r="A7" s="29" t="s">
        <v>80</v>
      </c>
      <c r="B7" s="23" t="s">
        <v>23</v>
      </c>
      <c r="C7" s="28" t="s">
        <v>314</v>
      </c>
      <c r="D7" s="27" t="s">
        <v>63</v>
      </c>
      <c r="E7" s="27" t="s">
        <v>63</v>
      </c>
      <c r="F7" s="28" t="s">
        <v>314</v>
      </c>
      <c r="G7" s="38" t="s">
        <v>319</v>
      </c>
    </row>
    <row r="8" spans="1:18" ht="100.8" x14ac:dyDescent="0.3">
      <c r="A8" s="31" t="s">
        <v>81</v>
      </c>
      <c r="B8" s="24" t="s">
        <v>13</v>
      </c>
      <c r="C8" s="28" t="s">
        <v>315</v>
      </c>
      <c r="D8" s="28" t="s">
        <v>316</v>
      </c>
      <c r="E8" s="28" t="s">
        <v>315</v>
      </c>
      <c r="F8" s="28" t="s">
        <v>316</v>
      </c>
      <c r="G8" s="38" t="s">
        <v>319</v>
      </c>
    </row>
    <row r="9" spans="1:18" ht="86.4" x14ac:dyDescent="0.3">
      <c r="A9" s="29" t="s">
        <v>82</v>
      </c>
      <c r="B9" s="23" t="s">
        <v>16</v>
      </c>
      <c r="C9" s="28" t="s">
        <v>317</v>
      </c>
      <c r="D9" s="28" t="s">
        <v>318</v>
      </c>
      <c r="E9" s="28" t="s">
        <v>317</v>
      </c>
      <c r="F9" s="28" t="s">
        <v>318</v>
      </c>
      <c r="G9" s="32"/>
    </row>
    <row r="10" spans="1:18" ht="100.8" x14ac:dyDescent="0.3">
      <c r="A10" s="29" t="s">
        <v>83</v>
      </c>
      <c r="B10" s="23" t="s">
        <v>61</v>
      </c>
      <c r="C10" s="28" t="s">
        <v>320</v>
      </c>
      <c r="D10" s="28" t="s">
        <v>321</v>
      </c>
      <c r="E10" s="28" t="s">
        <v>322</v>
      </c>
      <c r="F10" s="28" t="s">
        <v>313</v>
      </c>
      <c r="G10" s="32"/>
    </row>
    <row r="11" spans="1:18" ht="172.8" x14ac:dyDescent="0.3">
      <c r="A11" s="29" t="s">
        <v>84</v>
      </c>
      <c r="B11" s="23" t="s">
        <v>62</v>
      </c>
      <c r="C11" s="25" t="s">
        <v>323</v>
      </c>
      <c r="D11" s="25" t="s">
        <v>324</v>
      </c>
      <c r="E11" s="25" t="s">
        <v>325</v>
      </c>
      <c r="F11" s="25" t="s">
        <v>326</v>
      </c>
      <c r="G11" s="32"/>
    </row>
    <row r="12" spans="1:18" ht="173.4" thickBot="1" x14ac:dyDescent="0.35">
      <c r="A12" s="33" t="s">
        <v>85</v>
      </c>
      <c r="B12" s="34" t="s">
        <v>62</v>
      </c>
      <c r="C12" s="42" t="s">
        <v>327</v>
      </c>
      <c r="D12" s="42" t="s">
        <v>328</v>
      </c>
      <c r="E12" s="42" t="s">
        <v>329</v>
      </c>
      <c r="F12" s="42" t="s">
        <v>330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defaultColWidth="8.6640625" defaultRowHeight="14.4" x14ac:dyDescent="0.3"/>
  <cols>
    <col min="1" max="1" width="7.88671875" customWidth="1"/>
    <col min="2" max="2" width="9.88671875" customWidth="1"/>
    <col min="4" max="4" width="11" customWidth="1"/>
  </cols>
  <sheetData>
    <row r="1" spans="1:20" x14ac:dyDescent="0.3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 x14ac:dyDescent="0.3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 x14ac:dyDescent="0.3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 x14ac:dyDescent="0.3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 x14ac:dyDescent="0.3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 x14ac:dyDescent="0.3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 x14ac:dyDescent="0.3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 x14ac:dyDescent="0.3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 x14ac:dyDescent="0.3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 x14ac:dyDescent="0.3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 x14ac:dyDescent="0.3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 x14ac:dyDescent="0.3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 x14ac:dyDescent="0.3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 x14ac:dyDescent="0.3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 x14ac:dyDescent="0.3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 x14ac:dyDescent="0.3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 x14ac:dyDescent="0.3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 x14ac:dyDescent="0.3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 x14ac:dyDescent="0.3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 x14ac:dyDescent="0.3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 x14ac:dyDescent="0.3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 x14ac:dyDescent="0.3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 x14ac:dyDescent="0.3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 x14ac:dyDescent="0.3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 x14ac:dyDescent="0.3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 x14ac:dyDescent="0.3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 x14ac:dyDescent="0.3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 x14ac:dyDescent="0.3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 x14ac:dyDescent="0.3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 x14ac:dyDescent="0.3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 x14ac:dyDescent="0.3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 x14ac:dyDescent="0.3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 x14ac:dyDescent="0.3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 x14ac:dyDescent="0.3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 x14ac:dyDescent="0.3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 x14ac:dyDescent="0.3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 x14ac:dyDescent="0.3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 x14ac:dyDescent="0.3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 x14ac:dyDescent="0.3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 x14ac:dyDescent="0.3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 x14ac:dyDescent="0.3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 x14ac:dyDescent="0.3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 x14ac:dyDescent="0.3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 x14ac:dyDescent="0.3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 x14ac:dyDescent="0.3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6" workbookViewId="0">
      <selection activeCell="S39" sqref="S3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Instruction</vt:lpstr>
      <vt:lpstr>Input_Professor</vt:lpstr>
      <vt:lpstr>Input_Course</vt:lpstr>
      <vt:lpstr>PrintOut</vt:lpstr>
      <vt:lpstr>Block_Info</vt:lpstr>
      <vt:lpstr>Calculator</vt:lpstr>
      <vt:lpstr>PrintOut!Print_Area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ikaSystems</cp:lastModifiedBy>
  <cp:lastPrinted>2017-03-02T04:32:28Z</cp:lastPrinted>
  <dcterms:created xsi:type="dcterms:W3CDTF">2017-02-16T01:30:00Z</dcterms:created>
  <dcterms:modified xsi:type="dcterms:W3CDTF">2017-03-02T20:46:51Z</dcterms:modified>
</cp:coreProperties>
</file>