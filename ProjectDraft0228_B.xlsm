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chung\Downloads\"/>
    </mc:Choice>
  </mc:AlternateContent>
  <bookViews>
    <workbookView xWindow="0" yWindow="0" windowWidth="19368" windowHeight="9408" tabRatio="685" firstSheet="1" activeTab="1"/>
  </bookViews>
  <sheets>
    <sheet name="Input_Professor" sheetId="1" r:id="rId1"/>
    <sheet name="Input_Course" sheetId="2" r:id="rId2"/>
    <sheet name="Block_Info" sheetId="9" r:id="rId3"/>
    <sheet name="Solver_Professor" sheetId="6" r:id="rId4"/>
    <sheet name="Solver_Course" sheetId="7" r:id="rId5"/>
    <sheet name="Solution Data" sheetId="8" r:id="rId6"/>
    <sheet name="Output_Grid" sheetId="4" r:id="rId7"/>
  </sheets>
  <definedNames>
    <definedName name="_xlnm._FilterDatabase" localSheetId="2" hidden="1">Block_Info!$A$1:$D$45</definedName>
    <definedName name="solver_adj" localSheetId="3" hidden="1">Solver_Professor!$B$16:$J$20</definedName>
    <definedName name="solver_cvg" localSheetId="3" hidden="1">0.0001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Solver_Professor!$B$16:$J$20</definedName>
    <definedName name="solver_lhs2" localSheetId="3" hidden="1">Solver_Professor!$B$26:$J$26</definedName>
    <definedName name="solver_lhs3" localSheetId="3" hidden="1">Solver_Professor!$E$23</definedName>
    <definedName name="solver_lin" localSheetId="1" hidden="1">2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3</definedName>
    <definedName name="solver_nwt" localSheetId="3" hidden="1">1</definedName>
    <definedName name="solver_opt" localSheetId="1" hidden="1">Input_Course!$J$84</definedName>
    <definedName name="solver_opt" localSheetId="3" hidden="1">Solver_Professor!$B$21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2</definedName>
    <definedName name="solver_rel3" localSheetId="3" hidden="1">3</definedName>
    <definedName name="solver_rhs1" localSheetId="3" hidden="1">binary</definedName>
    <definedName name="solver_rhs2" localSheetId="3" hidden="1">1</definedName>
    <definedName name="solver_rhs3" localSheetId="3" hidden="1">0.75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2</definedName>
    <definedName name="solver_ver" localSheetId="3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8" i="2" l="1"/>
  <c r="C117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2" i="2"/>
  <c r="L15" i="6"/>
  <c r="C26" i="6"/>
  <c r="D26" i="6"/>
  <c r="E26" i="6"/>
  <c r="F26" i="6"/>
  <c r="G26" i="6"/>
  <c r="H26" i="6"/>
  <c r="I26" i="6"/>
  <c r="J26" i="6"/>
  <c r="B26" i="6"/>
  <c r="K17" i="6"/>
  <c r="L17" i="6"/>
  <c r="K18" i="6"/>
  <c r="L18" i="6"/>
  <c r="K19" i="6"/>
  <c r="L19" i="6"/>
  <c r="K20" i="6"/>
  <c r="L20" i="6"/>
  <c r="K16" i="6"/>
  <c r="L16" i="6"/>
  <c r="B10" i="6" a="1"/>
  <c r="C10" i="6"/>
  <c r="B11" i="6" a="1"/>
  <c r="C11" i="6"/>
  <c r="B11" i="6"/>
  <c r="E11" i="6"/>
  <c r="I11" i="6"/>
  <c r="J11" i="6"/>
  <c r="B12" i="6" a="1"/>
  <c r="C12" i="6"/>
  <c r="I12" i="6"/>
  <c r="B13" i="6" a="1"/>
  <c r="C13" i="6"/>
  <c r="B9" i="6" a="1"/>
  <c r="B9" i="6"/>
  <c r="E9" i="6"/>
  <c r="I9" i="6"/>
  <c r="I10" i="6"/>
  <c r="J13" i="6"/>
  <c r="E23" i="6"/>
  <c r="I13" i="6"/>
  <c r="E13" i="6"/>
  <c r="B13" i="6"/>
  <c r="H9" i="6"/>
  <c r="D9" i="6"/>
  <c r="F12" i="6"/>
  <c r="F10" i="6"/>
  <c r="G9" i="6"/>
  <c r="C9" i="6"/>
  <c r="E12" i="6"/>
  <c r="E10" i="6"/>
  <c r="J9" i="6"/>
  <c r="F9" i="6"/>
  <c r="F13" i="6"/>
  <c r="J12" i="6"/>
  <c r="B12" i="6"/>
  <c r="F11" i="6"/>
  <c r="J10" i="6"/>
  <c r="B10" i="6"/>
  <c r="H13" i="6"/>
  <c r="D13" i="6"/>
  <c r="H11" i="6"/>
  <c r="D11" i="6"/>
  <c r="G13" i="6"/>
  <c r="G11" i="6"/>
  <c r="H12" i="6"/>
  <c r="D12" i="6"/>
  <c r="H10" i="6"/>
  <c r="D10" i="6"/>
  <c r="G12" i="6"/>
  <c r="G10" i="6"/>
  <c r="B21" i="6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<sst xmlns="http://schemas.openxmlformats.org/spreadsheetml/2006/main" count="444" uniqueCount="173">
  <si>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</si>
  <si>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</si>
  <si>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</si>
  <si>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</si>
  <si>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</si>
  <si>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</si>
  <si>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</si>
  <si>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</si>
  <si>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</si>
  <si>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</si>
  <si>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Professor</t>
  </si>
  <si>
    <t>BlockID</t>
  </si>
  <si>
    <t>A, B</t>
  </si>
  <si>
    <t>C, D</t>
  </si>
  <si>
    <t>E, F</t>
  </si>
  <si>
    <t>G, H</t>
  </si>
  <si>
    <t>I, J</t>
  </si>
  <si>
    <t>P</t>
  </si>
  <si>
    <t>F</t>
  </si>
  <si>
    <t>Preference</t>
  </si>
  <si>
    <t>Score</t>
  </si>
  <si>
    <t>Decision</t>
  </si>
  <si>
    <t>Objective:</t>
  </si>
  <si>
    <t>Constraint:</t>
  </si>
  <si>
    <t>(Max)</t>
  </si>
  <si>
    <t>&gt;=</t>
  </si>
  <si>
    <t>1. 75% taught by full-time</t>
  </si>
  <si>
    <t>2. Binary Decision variable</t>
  </si>
  <si>
    <t>3. Each course has one and only one professor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</si>
  <si>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</si>
  <si>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</si>
  <si>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</si>
  <si>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</si>
  <si>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</si>
  <si>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</si>
  <si>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</si>
  <si>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</si>
  <si>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</si>
  <si>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</si>
  <si>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</si>
  <si>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</si>
  <si>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</si>
  <si>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</si>
  <si>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</si>
  <si>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</si>
  <si>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</si>
  <si>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CS100</t>
  </si>
  <si>
    <t>CS200</t>
  </si>
  <si>
    <t>CS300</t>
  </si>
  <si>
    <t>CS400</t>
  </si>
  <si>
    <t>CS500</t>
  </si>
  <si>
    <t>100</t>
  </si>
  <si>
    <t>200</t>
  </si>
  <si>
    <t>300</t>
  </si>
  <si>
    <t>CS100 100</t>
  </si>
  <si>
    <t>CS100 200</t>
  </si>
  <si>
    <t>CS100 300</t>
  </si>
  <si>
    <t>CS300 100</t>
  </si>
  <si>
    <t>CS200 100</t>
  </si>
  <si>
    <t>CS200 200</t>
  </si>
  <si>
    <t>CS400 100</t>
  </si>
  <si>
    <t>CS500 100</t>
  </si>
  <si>
    <t>CS500 200</t>
  </si>
  <si>
    <t>Block</t>
  </si>
  <si>
    <t>CS610</t>
  </si>
  <si>
    <t>CS603</t>
  </si>
  <si>
    <t>CS605</t>
  </si>
  <si>
    <t>CS607</t>
  </si>
  <si>
    <t>CS620</t>
  </si>
  <si>
    <t>CS630</t>
  </si>
  <si>
    <t>CS650</t>
  </si>
  <si>
    <t>CS680</t>
  </si>
  <si>
    <t>CS710</t>
  </si>
  <si>
    <t>CS780</t>
  </si>
  <si>
    <t>MGT 100</t>
  </si>
  <si>
    <t>MGT 102</t>
  </si>
  <si>
    <t>MGT 103</t>
  </si>
  <si>
    <t>MGT 104</t>
  </si>
  <si>
    <t>MGT 105</t>
  </si>
  <si>
    <t>MGT 106</t>
  </si>
  <si>
    <t>ACC 100</t>
  </si>
  <si>
    <t>ACC 101</t>
  </si>
  <si>
    <t>ACC 102</t>
  </si>
  <si>
    <t>ACC 103</t>
  </si>
  <si>
    <t>ACC 104</t>
  </si>
  <si>
    <t>ACC 105</t>
  </si>
  <si>
    <t>ACC 106</t>
  </si>
  <si>
    <t>PRE-REQ FLAG</t>
  </si>
  <si>
    <t>HEY THERE</t>
  </si>
  <si>
    <t>GRAD COURSE</t>
  </si>
  <si>
    <t>FIN100</t>
  </si>
  <si>
    <t>HIS200</t>
  </si>
  <si>
    <t>MA100</t>
  </si>
  <si>
    <t>FIN107</t>
  </si>
  <si>
    <t>FIN108</t>
  </si>
  <si>
    <t>HIS201</t>
  </si>
  <si>
    <t>HIS202</t>
  </si>
  <si>
    <t>HIS203</t>
  </si>
  <si>
    <t>HIS204</t>
  </si>
  <si>
    <t>HIS205</t>
  </si>
  <si>
    <t>HIS206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</si>
  <si>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</si>
  <si>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</si>
  <si>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</si>
  <si>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</si>
  <si>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</si>
  <si>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</si>
  <si>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</si>
  <si>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</si>
  <si>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FIN200</t>
  </si>
  <si>
    <t>SESSION_FLAG</t>
  </si>
  <si>
    <t>ENG100</t>
  </si>
  <si>
    <t>PT100</t>
  </si>
  <si>
    <t>HIS100</t>
  </si>
  <si>
    <t>PT120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</si>
  <si>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</si>
  <si>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</si>
  <si>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</si>
  <si>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</si>
  <si>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</si>
  <si>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</si>
  <si>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</si>
  <si>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</si>
  <si>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</si>
  <si>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</si>
  <si>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</si>
  <si>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</si>
  <si>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PT101</t>
  </si>
  <si>
    <t>PT102</t>
  </si>
  <si>
    <t>PT103</t>
  </si>
  <si>
    <t>PT104</t>
  </si>
  <si>
    <t>PT105</t>
  </si>
  <si>
    <t>PT106</t>
  </si>
  <si>
    <t>PT107</t>
  </si>
  <si>
    <t>PT108</t>
  </si>
  <si>
    <t>PT109</t>
  </si>
  <si>
    <t>PT110</t>
  </si>
  <si>
    <t>LIT201</t>
  </si>
  <si>
    <t>LIT202</t>
  </si>
  <si>
    <t>LIT203</t>
  </si>
  <si>
    <t>LIT204</t>
  </si>
  <si>
    <t>LIT205</t>
  </si>
  <si>
    <t>LIT206</t>
  </si>
  <si>
    <t>LIT207</t>
  </si>
  <si>
    <t>LIT208</t>
  </si>
  <si>
    <t>LIT209</t>
  </si>
  <si>
    <t>LIT200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</si>
  <si>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</si>
  <si>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</si>
  <si>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</si>
  <si>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</si>
  <si>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</si>
  <si>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</si>
  <si>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</si>
  <si>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</si>
  <si>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</si>
  <si>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</si>
  <si>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</si>
  <si>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PT121</t>
  </si>
  <si>
    <t>PT122</t>
  </si>
  <si>
    <t>PT123</t>
  </si>
  <si>
    <t>PT124</t>
  </si>
  <si>
    <t>PT125</t>
  </si>
  <si>
    <t>PT126</t>
  </si>
  <si>
    <t>PT127</t>
  </si>
  <si>
    <t>PT128</t>
  </si>
  <si>
    <t>PT129</t>
  </si>
  <si>
    <t>PT130</t>
  </si>
  <si>
    <t>BLOCK_ASSIGNED</t>
  </si>
  <si>
    <t>ASSIGNED_FLAG</t>
  </si>
  <si>
    <t>Course Identifier</t>
  </si>
  <si>
    <t>ACC 107</t>
  </si>
  <si>
    <t>ACC 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</si>
</sst>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9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8" borderId="0" applyNumberFormat="0" applyBorder="0" applyAlignment="0" applyProtection="0"/>
  </cellStyleXfs>
  <cellXfs count="40">
    <xf numFmtId="0" fontId="0" fillId="0" borderId="0" xfId="0"/>
    <xf numFmtId="0" fontId="2" fillId="2" borderId="0" xfId="0" applyFont="1" applyFill="1"/>
    <xf numFmtId="9" fontId="0" fillId="0" borderId="0" xfId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 applyBorder="1"/>
    <xf numFmtId="9" fontId="0" fillId="0" borderId="5" xfId="1" applyFont="1" applyBorder="1"/>
    <xf numFmtId="9" fontId="0" fillId="0" borderId="7" xfId="1" applyFont="1" applyBorder="1"/>
    <xf numFmtId="9" fontId="0" fillId="0" borderId="8" xfId="1" applyFont="1" applyBorder="1"/>
    <xf numFmtId="0" fontId="0" fillId="0" borderId="9" xfId="0" applyFill="1" applyBorder="1"/>
    <xf numFmtId="0" fontId="0" fillId="0" borderId="0" xfId="0" applyAlignment="1">
      <alignment horizontal="left"/>
    </xf>
    <xf numFmtId="9" fontId="0" fillId="0" borderId="0" xfId="0" applyNumberFormat="1"/>
    <xf numFmtId="20" fontId="0" fillId="0" borderId="0" xfId="0" applyNumberFormat="1"/>
    <xf numFmtId="0" fontId="0" fillId="3" borderId="0" xfId="1" applyNumberFormat="1" applyFont="1" applyFill="1" applyBorder="1"/>
    <xf numFmtId="0" fontId="0" fillId="3" borderId="5" xfId="1" applyNumberFormat="1" applyFont="1" applyFill="1" applyBorder="1"/>
    <xf numFmtId="0" fontId="0" fillId="3" borderId="7" xfId="1" applyNumberFormat="1" applyFont="1" applyFill="1" applyBorder="1"/>
    <xf numFmtId="0" fontId="0" fillId="3" borderId="8" xfId="1" applyNumberFormat="1" applyFont="1" applyFill="1" applyBorder="1"/>
    <xf numFmtId="0" fontId="0" fillId="0" borderId="10" xfId="0" applyBorder="1"/>
    <xf numFmtId="0" fontId="5" fillId="2" borderId="1" xfId="0" applyFont="1" applyFill="1" applyBorder="1"/>
    <xf numFmtId="0" fontId="5" fillId="4" borderId="1" xfId="0" applyFont="1" applyFill="1" applyBorder="1"/>
    <xf numFmtId="2" fontId="0" fillId="0" borderId="0" xfId="0" applyNumberFormat="1"/>
    <xf numFmtId="1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5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0" fillId="6" borderId="0" xfId="0" applyFill="1"/>
    <xf numFmtId="0" fontId="8" fillId="7" borderId="0" xfId="0" applyFont="1" applyFill="1"/>
    <xf numFmtId="0" fontId="8" fillId="7" borderId="0" xfId="0" applyFont="1" applyFill="1" applyAlignment="1">
      <alignment horizontal="center"/>
    </xf>
    <xf numFmtId="0" fontId="0" fillId="7" borderId="0" xfId="0" applyFill="1"/>
    <xf numFmtId="0" fontId="9" fillId="8" borderId="0" xfId="92"/>
    <xf numFmtId="0" fontId="9" fillId="8" borderId="0" xfId="92" applyAlignment="1">
      <alignment horizontal="center"/>
    </xf>
  </cellXfs>
  <cellStyles count="93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92" builtinId="26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510540</xdr:colOff>
          <xdr:row>3</xdr:row>
          <xdr:rowOff>106680</xdr:rowOff>
        </xdr:from>
        <xdr:to>
          <xdr:col>23</xdr:col>
          <xdr:colOff>182880</xdr:colOff>
          <xdr:row>6</xdr:row>
          <xdr:rowOff>45720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Assign Block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pane ySplit="1" topLeftCell="A2" activePane="bottomLeft" state="frozen"/>
      <selection pane="bottomLeft" activeCell="E25" sqref="E25"/>
    </sheetView>
  </sheetViews>
  <sheetFormatPr defaultColWidth="8.77734375" defaultRowHeight="14.4" x14ac:dyDescent="0.3"/>
  <cols>
    <col min="1" max="1" width="6.33203125" bestFit="1" customWidth="1"/>
    <col min="2" max="2" width="13.6640625" bestFit="1" customWidth="1"/>
    <col min="3" max="6" width="12.77734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12</v>
      </c>
      <c r="B2" t="s">
        <v>18</v>
      </c>
      <c r="C2" t="s">
        <v>54</v>
      </c>
      <c r="D2" t="s">
        <v>55</v>
      </c>
      <c r="E2" t="s">
        <v>56</v>
      </c>
      <c r="F2" t="s">
        <v>57</v>
      </c>
    </row>
    <row r="3" spans="1:6" x14ac:dyDescent="0.3">
      <c r="A3" t="s">
        <v>13</v>
      </c>
      <c r="B3" t="s">
        <v>18</v>
      </c>
      <c r="C3" t="s">
        <v>58</v>
      </c>
      <c r="D3" t="s">
        <v>59</v>
      </c>
      <c r="E3" t="s">
        <v>57</v>
      </c>
    </row>
    <row r="4" spans="1:6" x14ac:dyDescent="0.3">
      <c r="A4" t="s">
        <v>14</v>
      </c>
      <c r="B4" t="s">
        <v>18</v>
      </c>
      <c r="C4" t="s">
        <v>60</v>
      </c>
      <c r="D4" t="s">
        <v>61</v>
      </c>
      <c r="E4" t="s">
        <v>58</v>
      </c>
    </row>
    <row r="5" spans="1:6" x14ac:dyDescent="0.3">
      <c r="A5" t="s">
        <v>15</v>
      </c>
      <c r="B5" t="s">
        <v>18</v>
      </c>
      <c r="C5" t="s">
        <v>58</v>
      </c>
      <c r="D5" t="s">
        <v>59</v>
      </c>
    </row>
    <row r="6" spans="1:6" x14ac:dyDescent="0.3">
      <c r="A6" t="s">
        <v>16</v>
      </c>
      <c r="B6" t="s">
        <v>17</v>
      </c>
      <c r="C6" t="s">
        <v>60</v>
      </c>
      <c r="D6" t="s">
        <v>61</v>
      </c>
      <c r="E6" t="s">
        <v>62</v>
      </c>
      <c r="F6" t="s">
        <v>58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Input_Course!$C$84:$C$92</xm:f>
          </x14:formula1>
          <xm:sqref>C2:F6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18"/>
  <sheetViews>
    <sheetView tabSelected="1" zoomScale="85" zoomScaleNormal="85" zoomScalePageLayoutView="115" workbookViewId="0">
      <pane ySplit="1" topLeftCell="A2" activePane="bottomLeft" state="frozen"/>
      <selection pane="bottomLeft" activeCell="N17" sqref="N17"/>
    </sheetView>
  </sheetViews>
  <sheetFormatPr defaultColWidth="8.77734375" defaultRowHeight="14.4" x14ac:dyDescent="0.3"/>
  <cols>
    <col min="1" max="1" width="12" style="28" customWidth="1"/>
    <col min="2" max="2" width="15.21875" style="28" customWidth="1"/>
    <col min="3" max="3" width="13.33203125" style="28" customWidth="1"/>
    <col min="4" max="4" width="9.44140625" style="29" bestFit="1" customWidth="1"/>
    <col min="5" max="5" width="10" style="28" bestFit="1" customWidth="1"/>
    <col min="6" max="6" width="5.44140625" style="28" customWidth="1"/>
    <col min="7" max="7" width="8.33203125" style="28" customWidth="1"/>
    <col min="8" max="8" width="12.109375" style="28" customWidth="1"/>
    <col min="9" max="9" width="2.77734375" style="28" customWidth="1"/>
    <col min="10" max="11" width="3.109375" style="28" customWidth="1"/>
    <col min="12" max="12" width="3.44140625" style="28" customWidth="1"/>
    <col min="13" max="13" width="3" style="28" customWidth="1"/>
    <col min="14" max="14" width="2.77734375" style="28" customWidth="1"/>
    <col min="15" max="15" width="3" style="28" customWidth="1"/>
    <col min="16" max="16" width="2.6640625" customWidth="1"/>
    <col min="17" max="17" width="15.109375" customWidth="1"/>
    <col min="18" max="18" width="14.6640625" bestFit="1" customWidth="1"/>
    <col min="19" max="16384" width="8.77734375" style="28"/>
  </cols>
  <sheetData>
    <row r="1" spans="1:18" x14ac:dyDescent="0.3">
      <c r="A1" s="28" t="s">
        <v>89</v>
      </c>
      <c r="B1" s="28" t="s">
        <v>87</v>
      </c>
      <c r="C1" s="31" t="s">
        <v>170</v>
      </c>
      <c r="D1" s="29" t="s">
        <v>6</v>
      </c>
      <c r="E1" s="28" t="s">
        <v>7</v>
      </c>
      <c r="F1" s="28" t="s">
        <v>8</v>
      </c>
      <c r="G1" s="28" t="s">
        <v>9</v>
      </c>
      <c r="H1" s="28" t="s">
        <v>110</v>
      </c>
      <c r="Q1" t="s">
        <v>169</v>
      </c>
      <c r="R1" t="s">
        <v>168</v>
      </c>
    </row>
    <row r="2" spans="1:18" s="32" customFormat="1" x14ac:dyDescent="0.3">
      <c r="A2" s="32" t="b">
        <v>0</v>
      </c>
      <c r="B2" s="32" t="b">
        <v>1</v>
      </c>
      <c r="C2" s="32" t="str">
        <f>CONCATENATE(D2," ",E2)</f>
        <v>FIN100 100</v>
      </c>
      <c r="D2" s="33" t="s">
        <v>90</v>
      </c>
      <c r="E2" s="33">
        <v>100</v>
      </c>
      <c r="H2" s="32" t="b">
        <v>1</v>
      </c>
      <c r="P2" s="34"/>
      <c r="Q2" t="b">
        <v>1</v>
      </c>
      <c r="R2">
        <v>2</v>
      </c>
    </row>
    <row r="3" spans="1:18" s="32" customFormat="1" x14ac:dyDescent="0.3">
      <c r="A3" s="32" t="b">
        <v>0</v>
      </c>
      <c r="B3" s="32" t="b">
        <v>1</v>
      </c>
      <c r="C3" s="32" t="str">
        <f t="shared" ref="C3:C66" si="0">CONCATENATE(D3," ",E3)</f>
        <v>FIN100 200</v>
      </c>
      <c r="D3" s="33" t="s">
        <v>90</v>
      </c>
      <c r="E3" s="33">
        <v>200</v>
      </c>
      <c r="H3" s="32" t="b">
        <v>1</v>
      </c>
      <c r="P3" s="34"/>
      <c r="Q3" t="b">
        <v>1</v>
      </c>
      <c r="R3">
        <v>9</v>
      </c>
    </row>
    <row r="4" spans="1:18" s="32" customFormat="1" x14ac:dyDescent="0.3">
      <c r="A4" s="32" t="b">
        <v>0</v>
      </c>
      <c r="B4" s="32" t="b">
        <v>1</v>
      </c>
      <c r="C4" s="32" t="str">
        <f t="shared" si="0"/>
        <v>FIN100 300</v>
      </c>
      <c r="D4" s="33" t="s">
        <v>90</v>
      </c>
      <c r="E4" s="33">
        <v>300</v>
      </c>
      <c r="H4" s="32" t="b">
        <v>1</v>
      </c>
      <c r="P4" s="34"/>
      <c r="Q4" t="b">
        <v>1</v>
      </c>
      <c r="R4">
        <v>17</v>
      </c>
    </row>
    <row r="5" spans="1:18" x14ac:dyDescent="0.3">
      <c r="A5" s="28" t="b">
        <v>0</v>
      </c>
      <c r="B5" s="28" t="b">
        <v>1</v>
      </c>
      <c r="C5" s="28" t="str">
        <f t="shared" si="0"/>
        <v xml:space="preserve">FIN200 </v>
      </c>
      <c r="D5" s="29" t="s">
        <v>109</v>
      </c>
      <c r="Q5" t="b">
        <v>1</v>
      </c>
      <c r="R5">
        <v>5</v>
      </c>
    </row>
    <row r="6" spans="1:18" s="35" customFormat="1" x14ac:dyDescent="0.3">
      <c r="A6" s="35" t="b">
        <v>0</v>
      </c>
      <c r="B6" s="35" t="b">
        <v>1</v>
      </c>
      <c r="C6" s="35" t="str">
        <f t="shared" si="0"/>
        <v>FIN200 100</v>
      </c>
      <c r="D6" s="36" t="s">
        <v>109</v>
      </c>
      <c r="E6" s="36">
        <v>100</v>
      </c>
      <c r="H6" s="35" t="b">
        <v>1</v>
      </c>
      <c r="P6" s="37"/>
      <c r="Q6" t="b">
        <v>1</v>
      </c>
      <c r="R6">
        <v>3</v>
      </c>
    </row>
    <row r="7" spans="1:18" s="35" customFormat="1" x14ac:dyDescent="0.3">
      <c r="A7" s="35" t="b">
        <v>0</v>
      </c>
      <c r="B7" s="35" t="b">
        <v>1</v>
      </c>
      <c r="C7" s="35" t="str">
        <f t="shared" si="0"/>
        <v>FIN200 200</v>
      </c>
      <c r="D7" s="36" t="s">
        <v>109</v>
      </c>
      <c r="E7" s="36">
        <v>200</v>
      </c>
      <c r="H7" s="35" t="b">
        <v>1</v>
      </c>
      <c r="P7" s="37"/>
      <c r="Q7" t="b">
        <v>1</v>
      </c>
      <c r="R7">
        <v>14</v>
      </c>
    </row>
    <row r="8" spans="1:18" s="35" customFormat="1" x14ac:dyDescent="0.3">
      <c r="A8" s="35" t="b">
        <v>0</v>
      </c>
      <c r="B8" s="35" t="b">
        <v>0</v>
      </c>
      <c r="C8" s="35" t="str">
        <f t="shared" si="0"/>
        <v>FIN200 300</v>
      </c>
      <c r="D8" s="36" t="s">
        <v>109</v>
      </c>
      <c r="E8" s="36">
        <v>300</v>
      </c>
      <c r="H8" s="35" t="b">
        <v>1</v>
      </c>
      <c r="P8" s="37"/>
      <c r="Q8" t="b">
        <v>1</v>
      </c>
      <c r="R8">
        <v>10</v>
      </c>
    </row>
    <row r="9" spans="1:18" s="38" customFormat="1" x14ac:dyDescent="0.3">
      <c r="A9" s="38" t="b">
        <v>0</v>
      </c>
      <c r="B9" s="38" t="b">
        <v>0</v>
      </c>
      <c r="C9" s="38" t="str">
        <f t="shared" si="0"/>
        <v xml:space="preserve">FIN107 </v>
      </c>
      <c r="D9" s="39" t="s">
        <v>93</v>
      </c>
      <c r="Q9" t="b">
        <v>1</v>
      </c>
      <c r="R9">
        <v>7</v>
      </c>
    </row>
    <row r="10" spans="1:18" s="38" customFormat="1" x14ac:dyDescent="0.3">
      <c r="A10" s="38" t="b">
        <v>0</v>
      </c>
      <c r="B10" s="38" t="b">
        <v>1</v>
      </c>
      <c r="C10" s="38" t="str">
        <f t="shared" si="0"/>
        <v xml:space="preserve">FIN108 </v>
      </c>
      <c r="D10" s="39" t="s">
        <v>94</v>
      </c>
      <c r="G10" s="38" t="s">
        <v>93</v>
      </c>
      <c r="Q10" t="b">
        <v>1</v>
      </c>
      <c r="R10">
        <v>6</v>
      </c>
    </row>
    <row r="11" spans="1:18" x14ac:dyDescent="0.3">
      <c r="A11" s="28" t="b">
        <v>0</v>
      </c>
      <c r="B11" s="28" t="b">
        <v>0</v>
      </c>
      <c r="C11" s="28" t="str">
        <f t="shared" si="0"/>
        <v xml:space="preserve">HIS200 </v>
      </c>
      <c r="D11" s="29" t="s">
        <v>91</v>
      </c>
      <c r="Q11" t="b">
        <v>1</v>
      </c>
      <c r="R11">
        <v>5</v>
      </c>
    </row>
    <row r="12" spans="1:18" s="38" customFormat="1" x14ac:dyDescent="0.3">
      <c r="A12" s="38" t="b">
        <v>0</v>
      </c>
      <c r="B12" s="38" t="b">
        <v>0</v>
      </c>
      <c r="C12" s="38" t="str">
        <f t="shared" si="0"/>
        <v xml:space="preserve">HIS201 </v>
      </c>
      <c r="D12" s="39" t="s">
        <v>95</v>
      </c>
      <c r="Q12" t="b">
        <v>1</v>
      </c>
      <c r="R12">
        <v>1</v>
      </c>
    </row>
    <row r="13" spans="1:18" s="38" customFormat="1" x14ac:dyDescent="0.3">
      <c r="A13" s="38" t="b">
        <v>0</v>
      </c>
      <c r="B13" s="38" t="b">
        <v>1</v>
      </c>
      <c r="C13" s="38" t="str">
        <f t="shared" si="0"/>
        <v xml:space="preserve">HIS202 </v>
      </c>
      <c r="D13" s="39" t="s">
        <v>96</v>
      </c>
      <c r="G13" s="38" t="s">
        <v>91</v>
      </c>
      <c r="Q13" t="b">
        <v>1</v>
      </c>
      <c r="R13">
        <v>4</v>
      </c>
    </row>
    <row r="14" spans="1:18" x14ac:dyDescent="0.3">
      <c r="A14" s="28" t="b">
        <v>0</v>
      </c>
      <c r="B14" s="28" t="b">
        <v>0</v>
      </c>
      <c r="C14" s="28" t="str">
        <f t="shared" si="0"/>
        <v xml:space="preserve">HIS203 </v>
      </c>
      <c r="D14" s="29" t="s">
        <v>97</v>
      </c>
      <c r="Q14" t="b">
        <v>1</v>
      </c>
      <c r="R14">
        <v>1</v>
      </c>
    </row>
    <row r="15" spans="1:18" x14ac:dyDescent="0.3">
      <c r="A15" s="28" t="b">
        <v>0</v>
      </c>
      <c r="B15" s="28" t="b">
        <v>0</v>
      </c>
      <c r="C15" s="28" t="str">
        <f t="shared" si="0"/>
        <v xml:space="preserve">HIS204 </v>
      </c>
      <c r="D15" s="29" t="s">
        <v>98</v>
      </c>
      <c r="Q15" t="b">
        <v>1</v>
      </c>
      <c r="R15">
        <v>1</v>
      </c>
    </row>
    <row r="16" spans="1:18" s="38" customFormat="1" ht="13.8" customHeight="1" x14ac:dyDescent="0.3">
      <c r="A16" s="38" t="b">
        <v>0</v>
      </c>
      <c r="B16" s="38" t="b">
        <v>0</v>
      </c>
      <c r="C16" s="38" t="str">
        <f t="shared" si="0"/>
        <v xml:space="preserve">HIS205 </v>
      </c>
      <c r="D16" s="39" t="s">
        <v>99</v>
      </c>
      <c r="Q16" t="b">
        <v>1</v>
      </c>
      <c r="R16">
        <v>7</v>
      </c>
    </row>
    <row r="17" spans="1:18" s="38" customFormat="1" x14ac:dyDescent="0.3">
      <c r="A17" s="38" t="b">
        <v>0</v>
      </c>
      <c r="B17" s="38" t="b">
        <v>1</v>
      </c>
      <c r="C17" s="38" t="str">
        <f t="shared" si="0"/>
        <v xml:space="preserve">HIS206 </v>
      </c>
      <c r="D17" s="39" t="s">
        <v>100</v>
      </c>
      <c r="G17" s="38" t="s">
        <v>99</v>
      </c>
      <c r="Q17" t="b">
        <v>1</v>
      </c>
      <c r="R17">
        <v>6</v>
      </c>
    </row>
    <row r="18" spans="1:18" x14ac:dyDescent="0.3">
      <c r="A18" s="28" t="b">
        <v>0</v>
      </c>
      <c r="B18" s="28" t="b">
        <v>0</v>
      </c>
      <c r="C18" s="28" t="str">
        <f t="shared" si="0"/>
        <v xml:space="preserve">MA100 </v>
      </c>
      <c r="D18" s="29" t="s">
        <v>92</v>
      </c>
      <c r="Q18" t="b">
        <v>1</v>
      </c>
      <c r="R18">
        <v>1</v>
      </c>
    </row>
    <row r="19" spans="1:18" x14ac:dyDescent="0.3">
      <c r="A19" s="28" t="b">
        <v>0</v>
      </c>
      <c r="B19" s="28" t="b">
        <v>0</v>
      </c>
      <c r="C19" s="28" t="str">
        <f t="shared" si="0"/>
        <v xml:space="preserve">MA101 </v>
      </c>
      <c r="D19" s="29" t="s">
        <v>101</v>
      </c>
      <c r="Q19" t="b">
        <v>1</v>
      </c>
      <c r="R19">
        <v>2</v>
      </c>
    </row>
    <row r="20" spans="1:18" x14ac:dyDescent="0.3">
      <c r="A20" s="28" t="b">
        <v>0</v>
      </c>
      <c r="B20" s="28" t="b">
        <v>0</v>
      </c>
      <c r="C20" s="28" t="str">
        <f t="shared" si="0"/>
        <v xml:space="preserve">MA102 </v>
      </c>
      <c r="D20" s="29" t="s">
        <v>102</v>
      </c>
      <c r="Q20" t="b">
        <v>1</v>
      </c>
      <c r="R20">
        <v>2</v>
      </c>
    </row>
    <row r="21" spans="1:18" x14ac:dyDescent="0.3">
      <c r="A21" s="28" t="b">
        <v>0</v>
      </c>
      <c r="B21" s="28" t="b">
        <v>0</v>
      </c>
      <c r="C21" s="28" t="str">
        <f t="shared" si="0"/>
        <v xml:space="preserve">MA103 </v>
      </c>
      <c r="D21" s="29" t="s">
        <v>103</v>
      </c>
      <c r="Q21" t="b">
        <v>1</v>
      </c>
      <c r="R21">
        <v>2</v>
      </c>
    </row>
    <row r="22" spans="1:18" x14ac:dyDescent="0.3">
      <c r="A22" s="28" t="b">
        <v>0</v>
      </c>
      <c r="B22" s="28" t="b">
        <v>0</v>
      </c>
      <c r="C22" s="28" t="str">
        <f t="shared" si="0"/>
        <v xml:space="preserve">MA104 </v>
      </c>
      <c r="D22" s="29" t="s">
        <v>104</v>
      </c>
      <c r="Q22" t="b">
        <v>1</v>
      </c>
      <c r="R22">
        <v>3</v>
      </c>
    </row>
    <row r="23" spans="1:18" x14ac:dyDescent="0.3">
      <c r="A23" s="28" t="b">
        <v>0</v>
      </c>
      <c r="B23" s="28" t="b">
        <v>0</v>
      </c>
      <c r="C23" s="28" t="str">
        <f t="shared" si="0"/>
        <v xml:space="preserve">MA105 </v>
      </c>
      <c r="D23" s="29" t="s">
        <v>105</v>
      </c>
      <c r="Q23" t="b">
        <v>1</v>
      </c>
      <c r="R23">
        <v>3</v>
      </c>
    </row>
    <row r="24" spans="1:18" x14ac:dyDescent="0.3">
      <c r="A24" s="28" t="b">
        <v>0</v>
      </c>
      <c r="B24" s="28" t="b">
        <v>0</v>
      </c>
      <c r="C24" s="28" t="str">
        <f t="shared" si="0"/>
        <v xml:space="preserve">MA106 </v>
      </c>
      <c r="D24" s="29" t="s">
        <v>106</v>
      </c>
      <c r="Q24" t="b">
        <v>1</v>
      </c>
      <c r="R24">
        <v>4</v>
      </c>
    </row>
    <row r="25" spans="1:18" x14ac:dyDescent="0.3">
      <c r="A25" s="28" t="b">
        <v>0</v>
      </c>
      <c r="B25" s="28" t="b">
        <v>0</v>
      </c>
      <c r="C25" s="28" t="str">
        <f t="shared" si="0"/>
        <v xml:space="preserve">MA107 </v>
      </c>
      <c r="D25" s="29" t="s">
        <v>107</v>
      </c>
      <c r="Q25" t="b">
        <v>1</v>
      </c>
      <c r="R25">
        <v>4</v>
      </c>
    </row>
    <row r="26" spans="1:18" x14ac:dyDescent="0.3">
      <c r="A26" s="28" t="b">
        <v>0</v>
      </c>
      <c r="B26" s="28" t="b">
        <v>0</v>
      </c>
      <c r="C26" s="28" t="str">
        <f t="shared" si="0"/>
        <v xml:space="preserve">MA108 </v>
      </c>
      <c r="D26" s="29" t="s">
        <v>108</v>
      </c>
      <c r="Q26" t="b">
        <v>1</v>
      </c>
      <c r="R26">
        <v>5</v>
      </c>
    </row>
    <row r="27" spans="1:18" x14ac:dyDescent="0.3">
      <c r="A27" s="28" t="b">
        <v>0</v>
      </c>
      <c r="B27" s="28" t="b">
        <v>0</v>
      </c>
      <c r="C27" s="28" t="str">
        <f t="shared" si="0"/>
        <v xml:space="preserve">ENG100 </v>
      </c>
      <c r="D27" s="29" t="s">
        <v>111</v>
      </c>
      <c r="Q27" t="b">
        <v>1</v>
      </c>
      <c r="R27">
        <v>5</v>
      </c>
    </row>
    <row r="28" spans="1:18" x14ac:dyDescent="0.3">
      <c r="A28" s="28" t="b">
        <v>0</v>
      </c>
      <c r="B28" s="28" t="b">
        <v>0</v>
      </c>
      <c r="C28" s="28" t="str">
        <f t="shared" si="0"/>
        <v xml:space="preserve">ENG101 </v>
      </c>
      <c r="D28" s="29" t="s">
        <v>115</v>
      </c>
      <c r="Q28" t="b">
        <v>1</v>
      </c>
      <c r="R28">
        <v>6</v>
      </c>
    </row>
    <row r="29" spans="1:18" x14ac:dyDescent="0.3">
      <c r="A29" s="28" t="b">
        <v>0</v>
      </c>
      <c r="B29" s="28" t="b">
        <v>0</v>
      </c>
      <c r="C29" s="28" t="str">
        <f t="shared" si="0"/>
        <v xml:space="preserve">ENG102 </v>
      </c>
      <c r="D29" s="29" t="s">
        <v>116</v>
      </c>
      <c r="Q29" t="b">
        <v>1</v>
      </c>
      <c r="R29">
        <v>7</v>
      </c>
    </row>
    <row r="30" spans="1:18" x14ac:dyDescent="0.3">
      <c r="A30" s="28" t="b">
        <v>0</v>
      </c>
      <c r="B30" s="28" t="b">
        <v>0</v>
      </c>
      <c r="C30" s="28" t="str">
        <f t="shared" si="0"/>
        <v xml:space="preserve">ENG103 </v>
      </c>
      <c r="D30" s="29" t="s">
        <v>117</v>
      </c>
      <c r="Q30" t="b">
        <v>1</v>
      </c>
      <c r="R30">
        <v>8</v>
      </c>
    </row>
    <row r="31" spans="1:18" x14ac:dyDescent="0.3">
      <c r="A31" s="28" t="b">
        <v>0</v>
      </c>
      <c r="B31" s="28" t="b">
        <v>0</v>
      </c>
      <c r="C31" s="28" t="str">
        <f t="shared" si="0"/>
        <v xml:space="preserve">ENG104 </v>
      </c>
      <c r="D31" s="29" t="s">
        <v>118</v>
      </c>
      <c r="Q31" t="b">
        <v>1</v>
      </c>
      <c r="R31">
        <v>8</v>
      </c>
    </row>
    <row r="32" spans="1:18" x14ac:dyDescent="0.3">
      <c r="A32" s="28" t="b">
        <v>0</v>
      </c>
      <c r="B32" s="28" t="b">
        <v>0</v>
      </c>
      <c r="C32" s="28" t="str">
        <f t="shared" si="0"/>
        <v xml:space="preserve">ENG105 </v>
      </c>
      <c r="D32" s="29" t="s">
        <v>119</v>
      </c>
      <c r="Q32" t="b">
        <v>1</v>
      </c>
      <c r="R32">
        <v>8</v>
      </c>
    </row>
    <row r="33" spans="1:18" x14ac:dyDescent="0.3">
      <c r="A33" s="28" t="b">
        <v>0</v>
      </c>
      <c r="B33" s="28" t="b">
        <v>0</v>
      </c>
      <c r="C33" s="28" t="str">
        <f t="shared" si="0"/>
        <v xml:space="preserve">ENG106 </v>
      </c>
      <c r="D33" s="29" t="s">
        <v>120</v>
      </c>
      <c r="Q33" t="b">
        <v>1</v>
      </c>
      <c r="R33">
        <v>8</v>
      </c>
    </row>
    <row r="34" spans="1:18" x14ac:dyDescent="0.3">
      <c r="A34" s="28" t="b">
        <v>0</v>
      </c>
      <c r="B34" s="28" t="b">
        <v>0</v>
      </c>
      <c r="C34" s="28" t="str">
        <f t="shared" si="0"/>
        <v xml:space="preserve">ENG107 </v>
      </c>
      <c r="D34" s="29" t="s">
        <v>121</v>
      </c>
      <c r="Q34" t="b">
        <v>1</v>
      </c>
      <c r="R34">
        <v>9</v>
      </c>
    </row>
    <row r="35" spans="1:18" x14ac:dyDescent="0.3">
      <c r="A35" s="28" t="b">
        <v>0</v>
      </c>
      <c r="B35" s="28" t="b">
        <v>0</v>
      </c>
      <c r="C35" s="28" t="str">
        <f t="shared" si="0"/>
        <v xml:space="preserve">ENG108 </v>
      </c>
      <c r="D35" s="29" t="s">
        <v>122</v>
      </c>
      <c r="Q35" t="b">
        <v>1</v>
      </c>
      <c r="R35">
        <v>9</v>
      </c>
    </row>
    <row r="36" spans="1:18" x14ac:dyDescent="0.3">
      <c r="A36" s="28" t="b">
        <v>0</v>
      </c>
      <c r="B36" s="28" t="b">
        <v>0</v>
      </c>
      <c r="C36" s="28" t="str">
        <f t="shared" si="0"/>
        <v xml:space="preserve">ENG109 </v>
      </c>
      <c r="D36" s="29" t="s">
        <v>123</v>
      </c>
      <c r="Q36" t="b">
        <v>1</v>
      </c>
      <c r="R36">
        <v>9</v>
      </c>
    </row>
    <row r="37" spans="1:18" x14ac:dyDescent="0.3">
      <c r="A37" s="28" t="b">
        <v>0</v>
      </c>
      <c r="B37" s="28" t="b">
        <v>0</v>
      </c>
      <c r="C37" s="28" t="str">
        <f t="shared" si="0"/>
        <v xml:space="preserve">ENG110 </v>
      </c>
      <c r="D37" s="29" t="s">
        <v>124</v>
      </c>
      <c r="Q37" t="b">
        <v>1</v>
      </c>
      <c r="R37">
        <v>10</v>
      </c>
    </row>
    <row r="38" spans="1:18" x14ac:dyDescent="0.3">
      <c r="A38" s="28" t="b">
        <v>0</v>
      </c>
      <c r="B38" s="28" t="b">
        <v>0</v>
      </c>
      <c r="C38" s="28" t="str">
        <f t="shared" si="0"/>
        <v xml:space="preserve">ENG111 </v>
      </c>
      <c r="D38" s="29" t="s">
        <v>125</v>
      </c>
      <c r="Q38" t="b">
        <v>1</v>
      </c>
      <c r="R38">
        <v>10</v>
      </c>
    </row>
    <row r="39" spans="1:18" x14ac:dyDescent="0.3">
      <c r="A39" s="28" t="b">
        <v>0</v>
      </c>
      <c r="B39" s="28" t="b">
        <v>0</v>
      </c>
      <c r="C39" s="28" t="str">
        <f t="shared" si="0"/>
        <v xml:space="preserve">ENG112 </v>
      </c>
      <c r="D39" s="29" t="s">
        <v>126</v>
      </c>
      <c r="Q39" t="b">
        <v>1</v>
      </c>
      <c r="R39">
        <v>10</v>
      </c>
    </row>
    <row r="40" spans="1:18" x14ac:dyDescent="0.3">
      <c r="A40" s="28" t="b">
        <v>0</v>
      </c>
      <c r="B40" s="28" t="b">
        <v>0</v>
      </c>
      <c r="C40" s="28" t="str">
        <f t="shared" si="0"/>
        <v xml:space="preserve">PT100 </v>
      </c>
      <c r="D40" s="29" t="s">
        <v>112</v>
      </c>
      <c r="Q40" t="b">
        <v>1</v>
      </c>
      <c r="R40">
        <v>11</v>
      </c>
    </row>
    <row r="41" spans="1:18" x14ac:dyDescent="0.3">
      <c r="A41" s="28" t="b">
        <v>0</v>
      </c>
      <c r="B41" s="28" t="b">
        <v>0</v>
      </c>
      <c r="C41" s="28" t="str">
        <f t="shared" si="0"/>
        <v xml:space="preserve">PT101 </v>
      </c>
      <c r="D41" s="29" t="s">
        <v>127</v>
      </c>
      <c r="Q41" t="b">
        <v>1</v>
      </c>
      <c r="R41">
        <v>11</v>
      </c>
    </row>
    <row r="42" spans="1:18" x14ac:dyDescent="0.3">
      <c r="A42" s="28" t="b">
        <v>0</v>
      </c>
      <c r="B42" s="28" t="b">
        <v>0</v>
      </c>
      <c r="C42" s="28" t="str">
        <f t="shared" si="0"/>
        <v xml:space="preserve">PT102 </v>
      </c>
      <c r="D42" s="29" t="s">
        <v>128</v>
      </c>
      <c r="Q42" t="b">
        <v>1</v>
      </c>
      <c r="R42">
        <v>11</v>
      </c>
    </row>
    <row r="43" spans="1:18" x14ac:dyDescent="0.3">
      <c r="A43" s="28" t="b">
        <v>0</v>
      </c>
      <c r="B43" s="28" t="b">
        <v>0</v>
      </c>
      <c r="C43" s="28" t="str">
        <f t="shared" si="0"/>
        <v xml:space="preserve">PT103 </v>
      </c>
      <c r="D43" s="29" t="s">
        <v>129</v>
      </c>
      <c r="Q43" t="b">
        <v>1</v>
      </c>
      <c r="R43">
        <v>11</v>
      </c>
    </row>
    <row r="44" spans="1:18" x14ac:dyDescent="0.3">
      <c r="A44" s="28" t="b">
        <v>0</v>
      </c>
      <c r="B44" s="28" t="b">
        <v>0</v>
      </c>
      <c r="C44" s="28" t="str">
        <f t="shared" si="0"/>
        <v xml:space="preserve">PT104 </v>
      </c>
      <c r="D44" s="29" t="s">
        <v>130</v>
      </c>
      <c r="Q44" t="b">
        <v>1</v>
      </c>
      <c r="R44">
        <v>12</v>
      </c>
    </row>
    <row r="45" spans="1:18" x14ac:dyDescent="0.3">
      <c r="A45" s="28" t="b">
        <v>0</v>
      </c>
      <c r="B45" s="28" t="b">
        <v>0</v>
      </c>
      <c r="C45" s="28" t="str">
        <f t="shared" si="0"/>
        <v xml:space="preserve">PT105 </v>
      </c>
      <c r="D45" s="29" t="s">
        <v>131</v>
      </c>
      <c r="Q45" t="b">
        <v>1</v>
      </c>
      <c r="R45">
        <v>12</v>
      </c>
    </row>
    <row r="46" spans="1:18" x14ac:dyDescent="0.3">
      <c r="A46" s="28" t="b">
        <v>0</v>
      </c>
      <c r="B46" s="28" t="b">
        <v>0</v>
      </c>
      <c r="C46" s="28" t="str">
        <f t="shared" si="0"/>
        <v xml:space="preserve">PT106 </v>
      </c>
      <c r="D46" s="29" t="s">
        <v>132</v>
      </c>
      <c r="Q46" t="b">
        <v>1</v>
      </c>
      <c r="R46">
        <v>12</v>
      </c>
    </row>
    <row r="47" spans="1:18" x14ac:dyDescent="0.3">
      <c r="A47" s="28" t="b">
        <v>0</v>
      </c>
      <c r="B47" s="28" t="b">
        <v>0</v>
      </c>
      <c r="C47" s="28" t="str">
        <f t="shared" si="0"/>
        <v xml:space="preserve">PT107 </v>
      </c>
      <c r="D47" s="29" t="s">
        <v>133</v>
      </c>
      <c r="Q47" t="b">
        <v>1</v>
      </c>
      <c r="R47">
        <v>12</v>
      </c>
    </row>
    <row r="48" spans="1:18" x14ac:dyDescent="0.3">
      <c r="A48" s="28" t="b">
        <v>0</v>
      </c>
      <c r="B48" s="28" t="b">
        <v>0</v>
      </c>
      <c r="C48" s="28" t="str">
        <f t="shared" si="0"/>
        <v xml:space="preserve">PT108 </v>
      </c>
      <c r="D48" s="29" t="s">
        <v>134</v>
      </c>
      <c r="Q48" t="b">
        <v>1</v>
      </c>
      <c r="R48">
        <v>13</v>
      </c>
    </row>
    <row r="49" spans="1:18" x14ac:dyDescent="0.3">
      <c r="A49" s="28" t="b">
        <v>0</v>
      </c>
      <c r="B49" s="28" t="b">
        <v>0</v>
      </c>
      <c r="C49" s="28" t="str">
        <f t="shared" si="0"/>
        <v xml:space="preserve">PT109 </v>
      </c>
      <c r="D49" s="29" t="s">
        <v>135</v>
      </c>
      <c r="Q49" t="b">
        <v>1</v>
      </c>
      <c r="R49">
        <v>13</v>
      </c>
    </row>
    <row r="50" spans="1:18" x14ac:dyDescent="0.3">
      <c r="A50" s="28" t="b">
        <v>0</v>
      </c>
      <c r="B50" s="28" t="b">
        <v>0</v>
      </c>
      <c r="C50" s="28" t="str">
        <f t="shared" si="0"/>
        <v xml:space="preserve">PT110 </v>
      </c>
      <c r="D50" s="29" t="s">
        <v>136</v>
      </c>
      <c r="Q50" t="b">
        <v>1</v>
      </c>
      <c r="R50">
        <v>13</v>
      </c>
    </row>
    <row r="51" spans="1:18" x14ac:dyDescent="0.3">
      <c r="A51" s="28" t="b">
        <v>0</v>
      </c>
      <c r="B51" s="28" t="b">
        <v>0</v>
      </c>
      <c r="C51" s="28" t="str">
        <f t="shared" si="0"/>
        <v xml:space="preserve">LIT200 </v>
      </c>
      <c r="D51" s="29" t="s">
        <v>146</v>
      </c>
      <c r="Q51" t="b">
        <v>1</v>
      </c>
      <c r="R51">
        <v>13</v>
      </c>
    </row>
    <row r="52" spans="1:18" x14ac:dyDescent="0.3">
      <c r="A52" s="28" t="b">
        <v>0</v>
      </c>
      <c r="B52" s="28" t="b">
        <v>0</v>
      </c>
      <c r="C52" s="28" t="str">
        <f t="shared" si="0"/>
        <v xml:space="preserve">LIT201 </v>
      </c>
      <c r="D52" s="29" t="s">
        <v>137</v>
      </c>
      <c r="Q52" t="b">
        <v>1</v>
      </c>
      <c r="R52">
        <v>14</v>
      </c>
    </row>
    <row r="53" spans="1:18" x14ac:dyDescent="0.3">
      <c r="A53" s="28" t="b">
        <v>0</v>
      </c>
      <c r="B53" s="28" t="b">
        <v>0</v>
      </c>
      <c r="C53" s="28" t="str">
        <f t="shared" si="0"/>
        <v xml:space="preserve">LIT202 </v>
      </c>
      <c r="D53" s="29" t="s">
        <v>138</v>
      </c>
      <c r="Q53" t="b">
        <v>1</v>
      </c>
      <c r="R53">
        <v>14</v>
      </c>
    </row>
    <row r="54" spans="1:18" x14ac:dyDescent="0.3">
      <c r="A54" s="28" t="b">
        <v>0</v>
      </c>
      <c r="B54" s="28" t="b">
        <v>0</v>
      </c>
      <c r="C54" s="28" t="str">
        <f t="shared" si="0"/>
        <v xml:space="preserve">LIT203 </v>
      </c>
      <c r="D54" s="29" t="s">
        <v>139</v>
      </c>
      <c r="Q54" t="b">
        <v>1</v>
      </c>
      <c r="R54">
        <v>14</v>
      </c>
    </row>
    <row r="55" spans="1:18" x14ac:dyDescent="0.3">
      <c r="A55" s="28" t="b">
        <v>0</v>
      </c>
      <c r="B55" s="28" t="b">
        <v>0</v>
      </c>
      <c r="C55" s="28" t="str">
        <f t="shared" si="0"/>
        <v xml:space="preserve">LIT204 </v>
      </c>
      <c r="D55" s="29" t="s">
        <v>140</v>
      </c>
      <c r="Q55" t="b">
        <v>1</v>
      </c>
      <c r="R55">
        <v>15</v>
      </c>
    </row>
    <row r="56" spans="1:18" x14ac:dyDescent="0.3">
      <c r="A56" s="28" t="b">
        <v>0</v>
      </c>
      <c r="B56" s="28" t="b">
        <v>0</v>
      </c>
      <c r="C56" s="28" t="str">
        <f t="shared" si="0"/>
        <v xml:space="preserve">LIT205 </v>
      </c>
      <c r="D56" s="29" t="s">
        <v>141</v>
      </c>
      <c r="Q56" t="b">
        <v>1</v>
      </c>
      <c r="R56">
        <v>15</v>
      </c>
    </row>
    <row r="57" spans="1:18" x14ac:dyDescent="0.3">
      <c r="A57" s="28" t="b">
        <v>0</v>
      </c>
      <c r="B57" s="28" t="b">
        <v>0</v>
      </c>
      <c r="C57" s="28" t="str">
        <f t="shared" si="0"/>
        <v xml:space="preserve">LIT206 </v>
      </c>
      <c r="D57" s="29" t="s">
        <v>142</v>
      </c>
      <c r="Q57" t="b">
        <v>1</v>
      </c>
      <c r="R57">
        <v>15</v>
      </c>
    </row>
    <row r="58" spans="1:18" x14ac:dyDescent="0.3">
      <c r="A58" s="28" t="b">
        <v>0</v>
      </c>
      <c r="B58" s="28" t="b">
        <v>0</v>
      </c>
      <c r="C58" s="28" t="str">
        <f t="shared" si="0"/>
        <v xml:space="preserve">LIT207 </v>
      </c>
      <c r="D58" s="29" t="s">
        <v>143</v>
      </c>
      <c r="Q58" t="b">
        <v>1</v>
      </c>
      <c r="R58">
        <v>15</v>
      </c>
    </row>
    <row r="59" spans="1:18" x14ac:dyDescent="0.3">
      <c r="A59" s="28" t="b">
        <v>0</v>
      </c>
      <c r="B59" s="28" t="b">
        <v>0</v>
      </c>
      <c r="C59" s="28" t="str">
        <f t="shared" si="0"/>
        <v xml:space="preserve">LIT208 </v>
      </c>
      <c r="D59" s="29" t="s">
        <v>144</v>
      </c>
      <c r="Q59" t="b">
        <v>1</v>
      </c>
      <c r="R59">
        <v>16</v>
      </c>
    </row>
    <row r="60" spans="1:18" x14ac:dyDescent="0.3">
      <c r="A60" s="28" t="b">
        <v>0</v>
      </c>
      <c r="B60" s="28" t="b">
        <v>0</v>
      </c>
      <c r="C60" s="28" t="str">
        <f t="shared" si="0"/>
        <v xml:space="preserve">LIT209 </v>
      </c>
      <c r="D60" s="29" t="s">
        <v>145</v>
      </c>
      <c r="Q60" t="b">
        <v>1</v>
      </c>
      <c r="R60">
        <v>16</v>
      </c>
    </row>
    <row r="61" spans="1:18" x14ac:dyDescent="0.3">
      <c r="A61" s="28" t="b">
        <v>0</v>
      </c>
      <c r="B61" s="28" t="b">
        <v>0</v>
      </c>
      <c r="C61" s="28" t="str">
        <f t="shared" si="0"/>
        <v xml:space="preserve">HIS100 </v>
      </c>
      <c r="D61" s="29" t="s">
        <v>113</v>
      </c>
      <c r="Q61" t="b">
        <v>1</v>
      </c>
      <c r="R61">
        <v>16</v>
      </c>
    </row>
    <row r="62" spans="1:18" x14ac:dyDescent="0.3">
      <c r="A62" s="28" t="b">
        <v>0</v>
      </c>
      <c r="B62" s="28" t="b">
        <v>0</v>
      </c>
      <c r="C62" s="28" t="str">
        <f t="shared" si="0"/>
        <v xml:space="preserve">HIS101 </v>
      </c>
      <c r="D62" s="29" t="s">
        <v>147</v>
      </c>
      <c r="Q62" t="b">
        <v>1</v>
      </c>
      <c r="R62">
        <v>16</v>
      </c>
    </row>
    <row r="63" spans="1:18" x14ac:dyDescent="0.3">
      <c r="A63" s="28" t="b">
        <v>0</v>
      </c>
      <c r="B63" s="28" t="b">
        <v>0</v>
      </c>
      <c r="C63" s="28" t="str">
        <f t="shared" si="0"/>
        <v xml:space="preserve">HIS102 </v>
      </c>
      <c r="D63" s="29" t="s">
        <v>148</v>
      </c>
      <c r="Q63" t="b">
        <v>1</v>
      </c>
      <c r="R63">
        <v>17</v>
      </c>
    </row>
    <row r="64" spans="1:18" x14ac:dyDescent="0.3">
      <c r="A64" s="28" t="b">
        <v>0</v>
      </c>
      <c r="B64" s="28" t="b">
        <v>0</v>
      </c>
      <c r="C64" s="28" t="str">
        <f t="shared" si="0"/>
        <v xml:space="preserve">HIS103 </v>
      </c>
      <c r="D64" s="29" t="s">
        <v>149</v>
      </c>
      <c r="Q64" t="b">
        <v>1</v>
      </c>
      <c r="R64">
        <v>17</v>
      </c>
    </row>
    <row r="65" spans="1:18" x14ac:dyDescent="0.3">
      <c r="A65" s="28" t="b">
        <v>0</v>
      </c>
      <c r="B65" s="28" t="b">
        <v>0</v>
      </c>
      <c r="C65" s="28" t="str">
        <f t="shared" si="0"/>
        <v xml:space="preserve">HIS104 </v>
      </c>
      <c r="D65" s="29" t="s">
        <v>150</v>
      </c>
      <c r="Q65" t="b">
        <v>1</v>
      </c>
      <c r="R65">
        <v>17</v>
      </c>
    </row>
    <row r="66" spans="1:18" x14ac:dyDescent="0.3">
      <c r="A66" s="28" t="b">
        <v>0</v>
      </c>
      <c r="B66" s="28" t="b">
        <v>0</v>
      </c>
      <c r="C66" s="28" t="str">
        <f t="shared" si="0"/>
        <v xml:space="preserve">HIS105 </v>
      </c>
      <c r="D66" s="29" t="s">
        <v>151</v>
      </c>
      <c r="Q66" t="b">
        <v>1</v>
      </c>
      <c r="R66">
        <v>18</v>
      </c>
    </row>
    <row r="67" spans="1:18" x14ac:dyDescent="0.3">
      <c r="A67" s="28" t="b">
        <v>0</v>
      </c>
      <c r="B67" s="28" t="b">
        <v>0</v>
      </c>
      <c r="C67" s="28" t="str">
        <f t="shared" ref="C67:C116" si="1">CONCATENATE(D67," ",E67)</f>
        <v xml:space="preserve">HIS106 </v>
      </c>
      <c r="D67" s="29" t="s">
        <v>152</v>
      </c>
      <c r="Q67" t="b">
        <v>1</v>
      </c>
      <c r="R67">
        <v>18</v>
      </c>
    </row>
    <row r="68" spans="1:18" x14ac:dyDescent="0.3">
      <c r="A68" s="28" t="b">
        <v>0</v>
      </c>
      <c r="B68" s="28" t="b">
        <v>0</v>
      </c>
      <c r="C68" s="28" t="str">
        <f t="shared" si="1"/>
        <v xml:space="preserve">HIS107 </v>
      </c>
      <c r="D68" s="29" t="s">
        <v>153</v>
      </c>
      <c r="Q68" t="b">
        <v>1</v>
      </c>
      <c r="R68">
        <v>18</v>
      </c>
    </row>
    <row r="69" spans="1:18" x14ac:dyDescent="0.3">
      <c r="A69" s="28" t="b">
        <v>0</v>
      </c>
      <c r="B69" s="28" t="b">
        <v>0</v>
      </c>
      <c r="C69" s="28" t="str">
        <f t="shared" si="1"/>
        <v xml:space="preserve">HIS108 </v>
      </c>
      <c r="D69" s="29" t="s">
        <v>154</v>
      </c>
      <c r="Q69" t="b">
        <v>1</v>
      </c>
      <c r="R69">
        <v>18</v>
      </c>
    </row>
    <row r="70" spans="1:18" x14ac:dyDescent="0.3">
      <c r="A70" s="28" t="b">
        <v>0</v>
      </c>
      <c r="B70" s="28" t="b">
        <v>0</v>
      </c>
      <c r="C70" s="28" t="str">
        <f t="shared" si="1"/>
        <v xml:space="preserve">HIS109 </v>
      </c>
      <c r="D70" s="29" t="s">
        <v>155</v>
      </c>
      <c r="Q70" t="b">
        <v>1</v>
      </c>
      <c r="R70">
        <v>19</v>
      </c>
    </row>
    <row r="71" spans="1:18" x14ac:dyDescent="0.3">
      <c r="A71" s="28" t="b">
        <v>0</v>
      </c>
      <c r="B71" s="28" t="b">
        <v>0</v>
      </c>
      <c r="C71" s="28" t="str">
        <f t="shared" si="1"/>
        <v xml:space="preserve">HIS110 </v>
      </c>
      <c r="D71" s="29" t="s">
        <v>156</v>
      </c>
      <c r="Q71" t="b">
        <v>1</v>
      </c>
      <c r="R71">
        <v>19</v>
      </c>
    </row>
    <row r="72" spans="1:18" x14ac:dyDescent="0.3">
      <c r="A72" s="28" t="b">
        <v>0</v>
      </c>
      <c r="B72" s="28" t="b">
        <v>0</v>
      </c>
      <c r="C72" s="28" t="str">
        <f t="shared" si="1"/>
        <v xml:space="preserve">HIS111 </v>
      </c>
      <c r="D72" s="29" t="s">
        <v>157</v>
      </c>
      <c r="Q72" t="b">
        <v>1</v>
      </c>
      <c r="R72">
        <v>19</v>
      </c>
    </row>
    <row r="73" spans="1:18" x14ac:dyDescent="0.3">
      <c r="A73" s="28" t="b">
        <v>0</v>
      </c>
      <c r="B73" s="28" t="b">
        <v>0</v>
      </c>
      <c r="C73" s="28" t="str">
        <f t="shared" si="1"/>
        <v xml:space="preserve">PT120 </v>
      </c>
      <c r="D73" s="29" t="s">
        <v>114</v>
      </c>
      <c r="Q73" t="b">
        <v>1</v>
      </c>
      <c r="R73">
        <v>19</v>
      </c>
    </row>
    <row r="74" spans="1:18" x14ac:dyDescent="0.3">
      <c r="A74" s="28" t="b">
        <v>0</v>
      </c>
      <c r="B74" s="28" t="b">
        <v>0</v>
      </c>
      <c r="C74" s="28" t="str">
        <f t="shared" si="1"/>
        <v xml:space="preserve">PT121 </v>
      </c>
      <c r="D74" s="29" t="s">
        <v>158</v>
      </c>
      <c r="Q74" t="b">
        <v>1</v>
      </c>
      <c r="R74">
        <v>20</v>
      </c>
    </row>
    <row r="75" spans="1:18" x14ac:dyDescent="0.3">
      <c r="A75" s="28" t="b">
        <v>0</v>
      </c>
      <c r="B75" s="28" t="b">
        <v>0</v>
      </c>
      <c r="C75" s="28" t="str">
        <f t="shared" si="1"/>
        <v xml:space="preserve">PT122 </v>
      </c>
      <c r="D75" s="29" t="s">
        <v>159</v>
      </c>
      <c r="Q75" t="b">
        <v>1</v>
      </c>
      <c r="R75">
        <v>20</v>
      </c>
    </row>
    <row r="76" spans="1:18" x14ac:dyDescent="0.3">
      <c r="A76" s="28" t="b">
        <v>0</v>
      </c>
      <c r="B76" s="28" t="b">
        <v>0</v>
      </c>
      <c r="C76" s="28" t="str">
        <f t="shared" si="1"/>
        <v xml:space="preserve">PT123 </v>
      </c>
      <c r="D76" s="29" t="s">
        <v>160</v>
      </c>
      <c r="Q76" t="b">
        <v>1</v>
      </c>
      <c r="R76">
        <v>20</v>
      </c>
    </row>
    <row r="77" spans="1:18" x14ac:dyDescent="0.3">
      <c r="A77" s="28" t="b">
        <v>0</v>
      </c>
      <c r="B77" s="28" t="b">
        <v>0</v>
      </c>
      <c r="C77" s="28" t="str">
        <f t="shared" si="1"/>
        <v xml:space="preserve">PT124 </v>
      </c>
      <c r="D77" s="29" t="s">
        <v>161</v>
      </c>
      <c r="Q77" t="b">
        <v>1</v>
      </c>
      <c r="R77">
        <v>20</v>
      </c>
    </row>
    <row r="78" spans="1:18" x14ac:dyDescent="0.3">
      <c r="A78" s="28" t="b">
        <v>0</v>
      </c>
      <c r="B78" s="28" t="b">
        <v>0</v>
      </c>
      <c r="C78" s="28" t="str">
        <f t="shared" si="1"/>
        <v xml:space="preserve">PT125 </v>
      </c>
      <c r="D78" s="29" t="s">
        <v>162</v>
      </c>
      <c r="Q78" t="b">
        <v>1</v>
      </c>
      <c r="R78">
        <v>1</v>
      </c>
    </row>
    <row r="79" spans="1:18" x14ac:dyDescent="0.3">
      <c r="A79" s="28" t="b">
        <v>0</v>
      </c>
      <c r="B79" s="28" t="b">
        <v>0</v>
      </c>
      <c r="C79" s="28" t="str">
        <f t="shared" si="1"/>
        <v xml:space="preserve">PT126 </v>
      </c>
      <c r="D79" s="29" t="s">
        <v>163</v>
      </c>
      <c r="Q79" t="b">
        <v>1</v>
      </c>
      <c r="R79">
        <v>2</v>
      </c>
    </row>
    <row r="80" spans="1:18" x14ac:dyDescent="0.3">
      <c r="A80" s="28" t="b">
        <v>0</v>
      </c>
      <c r="B80" s="28" t="b">
        <v>0</v>
      </c>
      <c r="C80" s="28" t="str">
        <f t="shared" si="1"/>
        <v xml:space="preserve">PT127 </v>
      </c>
      <c r="D80" s="29" t="s">
        <v>164</v>
      </c>
      <c r="Q80" t="b">
        <v>1</v>
      </c>
      <c r="R80">
        <v>3</v>
      </c>
    </row>
    <row r="81" spans="1:18" x14ac:dyDescent="0.3">
      <c r="A81" s="28" t="b">
        <v>0</v>
      </c>
      <c r="B81" s="28" t="b">
        <v>0</v>
      </c>
      <c r="C81" s="28" t="str">
        <f t="shared" si="1"/>
        <v xml:space="preserve">PT128 </v>
      </c>
      <c r="D81" s="29" t="s">
        <v>165</v>
      </c>
      <c r="Q81" t="b">
        <v>1</v>
      </c>
      <c r="R81">
        <v>4</v>
      </c>
    </row>
    <row r="82" spans="1:18" x14ac:dyDescent="0.3">
      <c r="A82" s="28" t="b">
        <v>0</v>
      </c>
      <c r="B82" s="28" t="b">
        <v>0</v>
      </c>
      <c r="C82" s="28" t="str">
        <f t="shared" si="1"/>
        <v xml:space="preserve">PT129 </v>
      </c>
      <c r="D82" s="29" t="s">
        <v>166</v>
      </c>
      <c r="Q82" t="b">
        <v>1</v>
      </c>
      <c r="R82">
        <v>5</v>
      </c>
    </row>
    <row r="83" spans="1:18" x14ac:dyDescent="0.3">
      <c r="A83" s="28" t="b">
        <v>0</v>
      </c>
      <c r="B83" s="28" t="b">
        <v>0</v>
      </c>
      <c r="C83" s="28" t="str">
        <f t="shared" si="1"/>
        <v xml:space="preserve">PT130 </v>
      </c>
      <c r="D83" s="29" t="s">
        <v>167</v>
      </c>
      <c r="Q83" t="b">
        <v>1</v>
      </c>
      <c r="R83">
        <v>6</v>
      </c>
    </row>
    <row r="84" spans="1:18" x14ac:dyDescent="0.3">
      <c r="A84" s="28" t="b">
        <v>0</v>
      </c>
      <c r="B84" s="28" t="b">
        <v>0</v>
      </c>
      <c r="C84" s="28" t="str">
        <f t="shared" si="1"/>
        <v>CS100 100</v>
      </c>
      <c r="D84" s="29" t="s">
        <v>46</v>
      </c>
      <c r="E84" s="29" t="s">
        <v>51</v>
      </c>
      <c r="Q84" t="b">
        <v>1</v>
      </c>
      <c r="R84">
        <v>7</v>
      </c>
    </row>
    <row r="85" spans="1:18" x14ac:dyDescent="0.3">
      <c r="A85" s="28" t="b">
        <v>0</v>
      </c>
      <c r="B85" s="28" t="b">
        <v>0</v>
      </c>
      <c r="C85" s="28" t="str">
        <f t="shared" si="1"/>
        <v>CS100 200</v>
      </c>
      <c r="D85" s="29" t="s">
        <v>46</v>
      </c>
      <c r="E85" s="29" t="s">
        <v>52</v>
      </c>
      <c r="Q85" t="b">
        <v>1</v>
      </c>
      <c r="R85">
        <v>7</v>
      </c>
    </row>
    <row r="86" spans="1:18" x14ac:dyDescent="0.3">
      <c r="A86" s="28" t="b">
        <v>0</v>
      </c>
      <c r="B86" s="28" t="b">
        <v>0</v>
      </c>
      <c r="C86" s="28" t="str">
        <f t="shared" si="1"/>
        <v>CS100 300</v>
      </c>
      <c r="D86" s="29" t="s">
        <v>46</v>
      </c>
      <c r="E86" s="29" t="s">
        <v>53</v>
      </c>
      <c r="Q86" t="b">
        <v>1</v>
      </c>
      <c r="R86">
        <v>8</v>
      </c>
    </row>
    <row r="87" spans="1:18" x14ac:dyDescent="0.3">
      <c r="A87" s="28" t="b">
        <v>0</v>
      </c>
      <c r="B87" s="28" t="b">
        <v>1</v>
      </c>
      <c r="C87" s="28" t="str">
        <f t="shared" si="1"/>
        <v>CS200 100</v>
      </c>
      <c r="D87" s="29" t="s">
        <v>47</v>
      </c>
      <c r="E87" s="29" t="s">
        <v>51</v>
      </c>
      <c r="G87" s="29" t="s">
        <v>46</v>
      </c>
      <c r="Q87" t="b">
        <v>1</v>
      </c>
      <c r="R87">
        <v>6</v>
      </c>
    </row>
    <row r="88" spans="1:18" x14ac:dyDescent="0.3">
      <c r="A88" s="28" t="b">
        <v>0</v>
      </c>
      <c r="B88" s="28" t="b">
        <v>1</v>
      </c>
      <c r="C88" s="28" t="str">
        <f t="shared" si="1"/>
        <v>CS200 200</v>
      </c>
      <c r="D88" s="29" t="s">
        <v>47</v>
      </c>
      <c r="E88" s="29" t="s">
        <v>52</v>
      </c>
      <c r="G88" s="29" t="s">
        <v>46</v>
      </c>
      <c r="Q88" t="b">
        <v>1</v>
      </c>
      <c r="R88">
        <v>4</v>
      </c>
    </row>
    <row r="89" spans="1:18" x14ac:dyDescent="0.3">
      <c r="A89" s="28" t="b">
        <v>0</v>
      </c>
      <c r="B89" s="28" t="b">
        <v>1</v>
      </c>
      <c r="C89" s="28" t="str">
        <f t="shared" si="1"/>
        <v>CS300 100</v>
      </c>
      <c r="D89" s="29" t="s">
        <v>48</v>
      </c>
      <c r="E89" s="29" t="s">
        <v>51</v>
      </c>
      <c r="G89" s="29" t="s">
        <v>46</v>
      </c>
      <c r="Q89" t="b">
        <v>1</v>
      </c>
      <c r="R89">
        <v>3</v>
      </c>
    </row>
    <row r="90" spans="1:18" x14ac:dyDescent="0.3">
      <c r="A90" s="28" t="b">
        <v>0</v>
      </c>
      <c r="B90" s="28" t="b">
        <v>0</v>
      </c>
      <c r="C90" s="28" t="str">
        <f t="shared" si="1"/>
        <v>CS400 100</v>
      </c>
      <c r="D90" s="29" t="s">
        <v>49</v>
      </c>
      <c r="E90" s="29" t="s">
        <v>51</v>
      </c>
      <c r="Q90" t="b">
        <v>1</v>
      </c>
      <c r="R90">
        <v>9</v>
      </c>
    </row>
    <row r="91" spans="1:18" x14ac:dyDescent="0.3">
      <c r="A91" s="28" t="b">
        <v>0</v>
      </c>
      <c r="B91" s="28" t="b">
        <v>0</v>
      </c>
      <c r="C91" s="28" t="str">
        <f t="shared" si="1"/>
        <v>CS500 100</v>
      </c>
      <c r="D91" s="29" t="s">
        <v>50</v>
      </c>
      <c r="E91" s="29" t="s">
        <v>51</v>
      </c>
      <c r="Q91" t="b">
        <v>1</v>
      </c>
      <c r="R91">
        <v>10</v>
      </c>
    </row>
    <row r="92" spans="1:18" x14ac:dyDescent="0.3">
      <c r="A92" s="28" t="b">
        <v>0</v>
      </c>
      <c r="B92" s="28" t="b">
        <v>0</v>
      </c>
      <c r="C92" s="28" t="str">
        <f t="shared" si="1"/>
        <v>CS500 200</v>
      </c>
      <c r="D92" s="29" t="s">
        <v>50</v>
      </c>
      <c r="E92" s="29" t="s">
        <v>52</v>
      </c>
      <c r="Q92" t="b">
        <v>1</v>
      </c>
      <c r="R92">
        <v>11</v>
      </c>
    </row>
    <row r="93" spans="1:18" x14ac:dyDescent="0.3">
      <c r="A93" s="28" t="b">
        <v>1</v>
      </c>
      <c r="B93" s="28" t="b">
        <v>0</v>
      </c>
      <c r="C93" s="28" t="str">
        <f t="shared" si="1"/>
        <v xml:space="preserve">CS610 </v>
      </c>
      <c r="D93" s="29" t="s">
        <v>64</v>
      </c>
      <c r="Q93" t="b">
        <v>1</v>
      </c>
      <c r="R93">
        <v>23</v>
      </c>
    </row>
    <row r="94" spans="1:18" x14ac:dyDescent="0.3">
      <c r="A94" s="28" t="b">
        <v>1</v>
      </c>
      <c r="B94" s="28" t="b">
        <v>0</v>
      </c>
      <c r="C94" s="28" t="str">
        <f t="shared" si="1"/>
        <v xml:space="preserve">CS603 </v>
      </c>
      <c r="D94" s="29" t="s">
        <v>65</v>
      </c>
      <c r="Q94" t="b">
        <v>1</v>
      </c>
      <c r="R94">
        <v>21</v>
      </c>
    </row>
    <row r="95" spans="1:18" x14ac:dyDescent="0.3">
      <c r="A95" s="28" t="b">
        <v>1</v>
      </c>
      <c r="B95" s="28" t="b">
        <v>0</v>
      </c>
      <c r="C95" s="28" t="str">
        <f t="shared" si="1"/>
        <v xml:space="preserve">CS605 </v>
      </c>
      <c r="D95" s="29" t="s">
        <v>66</v>
      </c>
      <c r="Q95" t="b">
        <v>1</v>
      </c>
      <c r="R95">
        <v>21</v>
      </c>
    </row>
    <row r="96" spans="1:18" x14ac:dyDescent="0.3">
      <c r="A96" s="28" t="b">
        <v>1</v>
      </c>
      <c r="B96" s="28" t="b">
        <v>0</v>
      </c>
      <c r="C96" s="28" t="str">
        <f t="shared" si="1"/>
        <v xml:space="preserve">CS607 </v>
      </c>
      <c r="D96" s="29" t="s">
        <v>67</v>
      </c>
      <c r="Q96" t="b">
        <v>1</v>
      </c>
      <c r="R96">
        <v>21</v>
      </c>
    </row>
    <row r="97" spans="1:18" x14ac:dyDescent="0.3">
      <c r="A97" s="28" t="b">
        <v>1</v>
      </c>
      <c r="B97" s="28" t="b">
        <v>1</v>
      </c>
      <c r="C97" s="28" t="str">
        <f t="shared" si="1"/>
        <v xml:space="preserve">CS620 </v>
      </c>
      <c r="D97" s="29" t="s">
        <v>68</v>
      </c>
      <c r="G97" s="28" t="s">
        <v>64</v>
      </c>
      <c r="Q97" t="b">
        <v>1</v>
      </c>
      <c r="R97">
        <v>22</v>
      </c>
    </row>
    <row r="98" spans="1:18" x14ac:dyDescent="0.3">
      <c r="A98" s="28" t="b">
        <v>1</v>
      </c>
      <c r="B98" s="28" t="b">
        <v>0</v>
      </c>
      <c r="C98" s="28" t="str">
        <f t="shared" si="1"/>
        <v xml:space="preserve">CS630 </v>
      </c>
      <c r="D98" s="29" t="s">
        <v>69</v>
      </c>
      <c r="Q98" t="b">
        <v>1</v>
      </c>
      <c r="R98">
        <v>22</v>
      </c>
    </row>
    <row r="99" spans="1:18" x14ac:dyDescent="0.3">
      <c r="A99" s="28" t="b">
        <v>1</v>
      </c>
      <c r="B99" s="28" t="b">
        <v>0</v>
      </c>
      <c r="C99" s="28" t="str">
        <f t="shared" si="1"/>
        <v xml:space="preserve">CS650 </v>
      </c>
      <c r="D99" s="29" t="s">
        <v>70</v>
      </c>
      <c r="Q99" t="b">
        <v>1</v>
      </c>
      <c r="R99">
        <v>22</v>
      </c>
    </row>
    <row r="100" spans="1:18" x14ac:dyDescent="0.3">
      <c r="A100" s="28" t="b">
        <v>1</v>
      </c>
      <c r="B100" s="28" t="b">
        <v>0</v>
      </c>
      <c r="C100" s="28" t="str">
        <f t="shared" si="1"/>
        <v xml:space="preserve">CS680 </v>
      </c>
      <c r="D100" s="29" t="s">
        <v>71</v>
      </c>
      <c r="Q100" t="b">
        <v>1</v>
      </c>
      <c r="R100">
        <v>23</v>
      </c>
    </row>
    <row r="101" spans="1:18" x14ac:dyDescent="0.3">
      <c r="A101" s="28" t="b">
        <v>1</v>
      </c>
      <c r="B101" s="28" t="b">
        <v>0</v>
      </c>
      <c r="C101" s="28" t="str">
        <f t="shared" si="1"/>
        <v xml:space="preserve">CS710 </v>
      </c>
      <c r="D101" s="29" t="s">
        <v>72</v>
      </c>
      <c r="Q101" t="b">
        <v>1</v>
      </c>
      <c r="R101">
        <v>24</v>
      </c>
    </row>
    <row r="102" spans="1:18" x14ac:dyDescent="0.3">
      <c r="A102" s="28" t="b">
        <v>1</v>
      </c>
      <c r="B102" s="28" t="b">
        <v>0</v>
      </c>
      <c r="C102" s="28" t="str">
        <f t="shared" si="1"/>
        <v xml:space="preserve">CS780 </v>
      </c>
      <c r="D102" s="29" t="s">
        <v>73</v>
      </c>
      <c r="Q102" t="b">
        <v>1</v>
      </c>
      <c r="R102">
        <v>24</v>
      </c>
    </row>
    <row r="103" spans="1:18" x14ac:dyDescent="0.3">
      <c r="A103" s="28" t="b">
        <v>1</v>
      </c>
      <c r="B103" s="28" t="b">
        <v>0</v>
      </c>
      <c r="C103" s="28" t="str">
        <f t="shared" si="1"/>
        <v>MGT 100 100</v>
      </c>
      <c r="D103" s="29" t="s">
        <v>74</v>
      </c>
      <c r="E103" s="30">
        <v>100</v>
      </c>
      <c r="Q103" t="b">
        <v>1</v>
      </c>
      <c r="R103">
        <v>25</v>
      </c>
    </row>
    <row r="104" spans="1:18" x14ac:dyDescent="0.3">
      <c r="A104" s="28" t="b">
        <v>1</v>
      </c>
      <c r="B104" s="28" t="b">
        <v>0</v>
      </c>
      <c r="C104" s="28" t="str">
        <f t="shared" si="1"/>
        <v>MGT 100 200</v>
      </c>
      <c r="D104" s="29" t="s">
        <v>74</v>
      </c>
      <c r="E104" s="30">
        <v>200</v>
      </c>
      <c r="Q104" t="b">
        <v>1</v>
      </c>
      <c r="R104">
        <v>25</v>
      </c>
    </row>
    <row r="105" spans="1:18" x14ac:dyDescent="0.3">
      <c r="A105" s="28" t="b">
        <v>1</v>
      </c>
      <c r="B105" s="28" t="b">
        <v>0</v>
      </c>
      <c r="C105" s="28" t="str">
        <f t="shared" si="1"/>
        <v xml:space="preserve">MGT 102 </v>
      </c>
      <c r="D105" s="28" t="s">
        <v>75</v>
      </c>
      <c r="Q105" t="b">
        <v>1</v>
      </c>
      <c r="R105">
        <v>26</v>
      </c>
    </row>
    <row r="106" spans="1:18" x14ac:dyDescent="0.3">
      <c r="A106" s="28" t="b">
        <v>1</v>
      </c>
      <c r="B106" s="28" t="b">
        <v>0</v>
      </c>
      <c r="C106" s="28" t="str">
        <f t="shared" si="1"/>
        <v xml:space="preserve">MGT 103 </v>
      </c>
      <c r="D106" s="28" t="s">
        <v>76</v>
      </c>
      <c r="Q106" t="b">
        <v>1</v>
      </c>
      <c r="R106">
        <v>26</v>
      </c>
    </row>
    <row r="107" spans="1:18" x14ac:dyDescent="0.3">
      <c r="A107" s="28" t="b">
        <v>1</v>
      </c>
      <c r="B107" s="28" t="b">
        <v>0</v>
      </c>
      <c r="C107" s="28" t="str">
        <f t="shared" si="1"/>
        <v xml:space="preserve">MGT 104 </v>
      </c>
      <c r="D107" s="28" t="s">
        <v>77</v>
      </c>
      <c r="Q107" t="b">
        <v>1</v>
      </c>
      <c r="R107">
        <v>26</v>
      </c>
    </row>
    <row r="108" spans="1:18" x14ac:dyDescent="0.3">
      <c r="A108" s="28" t="b">
        <v>1</v>
      </c>
      <c r="B108" s="28" t="b">
        <v>0</v>
      </c>
      <c r="C108" s="28" t="str">
        <f t="shared" si="1"/>
        <v xml:space="preserve">MGT 105 </v>
      </c>
      <c r="D108" s="28" t="s">
        <v>78</v>
      </c>
      <c r="Q108" t="b">
        <v>1</v>
      </c>
      <c r="R108">
        <v>27</v>
      </c>
    </row>
    <row r="109" spans="1:18" x14ac:dyDescent="0.3">
      <c r="A109" s="28" t="b">
        <v>1</v>
      </c>
      <c r="B109" s="28" t="b">
        <v>0</v>
      </c>
      <c r="C109" s="28" t="str">
        <f t="shared" si="1"/>
        <v xml:space="preserve">MGT 106 </v>
      </c>
      <c r="D109" s="28" t="s">
        <v>79</v>
      </c>
      <c r="Q109" t="b">
        <v>1</v>
      </c>
      <c r="R109">
        <v>27</v>
      </c>
    </row>
    <row r="110" spans="1:18" x14ac:dyDescent="0.3">
      <c r="A110" s="28" t="b">
        <v>1</v>
      </c>
      <c r="B110" s="28" t="b">
        <v>0</v>
      </c>
      <c r="C110" s="28" t="str">
        <f t="shared" si="1"/>
        <v xml:space="preserve">ACC 100 </v>
      </c>
      <c r="D110" s="28" t="s">
        <v>80</v>
      </c>
      <c r="Q110" t="b">
        <v>1</v>
      </c>
      <c r="R110">
        <v>27</v>
      </c>
    </row>
    <row r="111" spans="1:18" x14ac:dyDescent="0.3">
      <c r="A111" s="28" t="b">
        <v>1</v>
      </c>
      <c r="B111" s="28" t="b">
        <v>0</v>
      </c>
      <c r="C111" s="28" t="str">
        <f t="shared" si="1"/>
        <v xml:space="preserve">ACC 101 </v>
      </c>
      <c r="D111" s="28" t="s">
        <v>81</v>
      </c>
      <c r="Q111" t="b">
        <v>1</v>
      </c>
      <c r="R111">
        <v>24</v>
      </c>
    </row>
    <row r="112" spans="1:18" x14ac:dyDescent="0.3">
      <c r="A112" s="28" t="b">
        <v>1</v>
      </c>
      <c r="B112" s="28" t="b">
        <v>1</v>
      </c>
      <c r="C112" s="28" t="str">
        <f t="shared" si="1"/>
        <v xml:space="preserve">ACC 102 </v>
      </c>
      <c r="D112" s="28" t="s">
        <v>82</v>
      </c>
      <c r="G112" s="28" t="s">
        <v>81</v>
      </c>
      <c r="Q112" t="b">
        <v>1</v>
      </c>
      <c r="R112">
        <v>23</v>
      </c>
    </row>
    <row r="113" spans="1:18" x14ac:dyDescent="0.3">
      <c r="A113" s="28" t="b">
        <v>1</v>
      </c>
      <c r="B113" s="28" t="b">
        <v>1</v>
      </c>
      <c r="C113" s="28" t="str">
        <f t="shared" si="1"/>
        <v xml:space="preserve">ACC 103 </v>
      </c>
      <c r="D113" s="28" t="s">
        <v>83</v>
      </c>
      <c r="G113" s="28" t="s">
        <v>82</v>
      </c>
      <c r="Q113" t="b">
        <v>1</v>
      </c>
      <c r="R113">
        <v>23</v>
      </c>
    </row>
    <row r="114" spans="1:18" x14ac:dyDescent="0.3">
      <c r="A114" s="28" t="b">
        <v>1</v>
      </c>
      <c r="B114" s="28" t="b">
        <v>0</v>
      </c>
      <c r="C114" s="28" t="str">
        <f t="shared" si="1"/>
        <v xml:space="preserve">ACC 104 </v>
      </c>
      <c r="D114" s="28" t="s">
        <v>84</v>
      </c>
      <c r="Q114" t="b">
        <v>1</v>
      </c>
      <c r="R114">
        <v>28</v>
      </c>
    </row>
    <row r="115" spans="1:18" x14ac:dyDescent="0.3">
      <c r="A115" s="28" t="b">
        <v>1</v>
      </c>
      <c r="B115" s="28" t="b">
        <v>1</v>
      </c>
      <c r="C115" s="28" t="str">
        <f t="shared" si="1"/>
        <v xml:space="preserve">ACC 105 </v>
      </c>
      <c r="D115" s="28" t="s">
        <v>85</v>
      </c>
      <c r="G115" s="28" t="s">
        <v>81</v>
      </c>
      <c r="Q115" t="b">
        <v>1</v>
      </c>
      <c r="R115">
        <v>25</v>
      </c>
    </row>
    <row r="116" spans="1:18" x14ac:dyDescent="0.3">
      <c r="A116" s="28" t="b">
        <v>1</v>
      </c>
      <c r="B116" s="28" t="b">
        <v>0</v>
      </c>
      <c r="C116" s="28" t="str">
        <f t="shared" si="1"/>
        <v xml:space="preserve">ACC 106 </v>
      </c>
      <c r="D116" s="28" t="s">
        <v>86</v>
      </c>
      <c r="Q116" t="b">
        <v>1</v>
      </c>
      <c r="R116">
        <v>28</v>
      </c>
    </row>
    <row r="117" spans="1:18" x14ac:dyDescent="0.3">
      <c r="A117" s="28" t="b">
        <v>1</v>
      </c>
      <c r="B117" s="28" t="b">
        <v>0</v>
      </c>
      <c r="C117" s="28" t="str">
        <f t="shared" ref="C117" si="2">CONCATENATE(D117," ",E117)</f>
        <v xml:space="preserve">ACC 107 </v>
      </c>
      <c r="D117" s="28" t="s">
        <v>171</v>
      </c>
      <c r="Q117" t="b">
        <v>1</v>
      </c>
      <c r="R117">
        <v>28</v>
      </c>
    </row>
    <row r="118" spans="1:18" x14ac:dyDescent="0.3">
      <c r="A118" s="28" t="b">
        <v>1</v>
      </c>
      <c r="B118" s="28" t="b">
        <v>0</v>
      </c>
      <c r="C118" s="28" t="str">
        <f t="shared" ref="C118" si="3">CONCATENATE(D118," ",E118)</f>
        <v xml:space="preserve">ACC 108 </v>
      </c>
      <c r="D118" s="28" t="s">
        <v>172</v>
      </c>
      <c r="Q118" t="b">
        <v>1</v>
      </c>
      <c r="R118">
        <v>21</v>
      </c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510540</xdr:colOff>
                    <xdr:row>3</xdr:row>
                    <xdr:rowOff>106680</xdr:rowOff>
                  </from>
                  <to>
                    <xdr:col>23</xdr:col>
                    <xdr:colOff>182880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" activePane="bottomLeft" state="frozen"/>
      <selection pane="bottomLeft" activeCell="J21" sqref="J21"/>
    </sheetView>
  </sheetViews>
  <sheetFormatPr defaultColWidth="8.77734375" defaultRowHeight="14.4" x14ac:dyDescent="0.3"/>
  <cols>
    <col min="1" max="1" width="5.6640625" bestFit="1" customWidth="1"/>
    <col min="2" max="2" width="8" customWidth="1"/>
  </cols>
  <sheetData>
    <row r="1" spans="1:20" x14ac:dyDescent="0.3">
      <c r="A1" t="s">
        <v>63</v>
      </c>
      <c r="B1" t="s">
        <v>30</v>
      </c>
      <c r="C1" t="s">
        <v>8</v>
      </c>
      <c r="D1" t="s">
        <v>41</v>
      </c>
      <c r="E1" t="s">
        <v>42</v>
      </c>
      <c r="F1" t="s">
        <v>43</v>
      </c>
      <c r="T1">
        <v>0</v>
      </c>
    </row>
    <row r="2" spans="1:20" x14ac:dyDescent="0.3">
      <c r="A2">
        <v>1</v>
      </c>
      <c r="B2" t="s">
        <v>33</v>
      </c>
      <c r="C2" t="s">
        <v>31</v>
      </c>
      <c r="D2" t="s">
        <v>35</v>
      </c>
      <c r="E2" s="18">
        <v>0.33333333333333331</v>
      </c>
      <c r="F2" s="18">
        <v>0.3888888888888889</v>
      </c>
    </row>
    <row r="3" spans="1:20" x14ac:dyDescent="0.3">
      <c r="A3">
        <v>1</v>
      </c>
      <c r="B3" t="s">
        <v>34</v>
      </c>
      <c r="C3" t="s">
        <v>31</v>
      </c>
      <c r="D3" t="s">
        <v>35</v>
      </c>
      <c r="E3" s="18">
        <v>0.33333333333333331</v>
      </c>
      <c r="F3" s="18">
        <v>0.3888888888888889</v>
      </c>
    </row>
    <row r="4" spans="1:20" x14ac:dyDescent="0.3">
      <c r="A4">
        <v>2</v>
      </c>
      <c r="B4" t="s">
        <v>33</v>
      </c>
      <c r="C4" t="s">
        <v>31</v>
      </c>
      <c r="D4" t="s">
        <v>35</v>
      </c>
      <c r="E4" s="18">
        <v>0.33333333333333331</v>
      </c>
      <c r="F4" s="18">
        <v>0.3888888888888889</v>
      </c>
    </row>
    <row r="5" spans="1:20" x14ac:dyDescent="0.3">
      <c r="A5">
        <v>2</v>
      </c>
      <c r="B5" t="s">
        <v>34</v>
      </c>
      <c r="C5" t="s">
        <v>31</v>
      </c>
      <c r="D5" t="s">
        <v>35</v>
      </c>
      <c r="E5" s="18">
        <v>0.33333333333333331</v>
      </c>
      <c r="F5" s="18">
        <v>0.3888888888888889</v>
      </c>
    </row>
    <row r="6" spans="1:20" x14ac:dyDescent="0.3">
      <c r="A6">
        <v>3</v>
      </c>
      <c r="B6" t="s">
        <v>33</v>
      </c>
      <c r="C6" t="s">
        <v>31</v>
      </c>
      <c r="D6" t="s">
        <v>35</v>
      </c>
      <c r="E6" s="18">
        <v>0.33333333333333331</v>
      </c>
      <c r="F6" s="18">
        <v>0.3888888888888889</v>
      </c>
    </row>
    <row r="7" spans="1:20" x14ac:dyDescent="0.3">
      <c r="A7">
        <v>3</v>
      </c>
      <c r="B7" t="s">
        <v>34</v>
      </c>
      <c r="C7" t="s">
        <v>31</v>
      </c>
      <c r="D7" t="s">
        <v>36</v>
      </c>
      <c r="E7" s="18">
        <v>0.39583333333333331</v>
      </c>
      <c r="F7" s="18">
        <v>0.4513888888888889</v>
      </c>
    </row>
    <row r="8" spans="1:20" x14ac:dyDescent="0.3">
      <c r="A8">
        <v>4</v>
      </c>
      <c r="B8" t="s">
        <v>33</v>
      </c>
      <c r="C8" t="s">
        <v>31</v>
      </c>
      <c r="D8" t="s">
        <v>36</v>
      </c>
      <c r="E8" s="18">
        <v>0.39583333333333331</v>
      </c>
      <c r="F8" s="18">
        <v>0.4513888888888889</v>
      </c>
    </row>
    <row r="9" spans="1:20" x14ac:dyDescent="0.3">
      <c r="A9">
        <v>4</v>
      </c>
      <c r="B9" t="s">
        <v>34</v>
      </c>
      <c r="C9" t="s">
        <v>31</v>
      </c>
      <c r="D9" t="s">
        <v>36</v>
      </c>
      <c r="E9" s="18">
        <v>0.39583333333333331</v>
      </c>
      <c r="F9" s="18">
        <v>0.4513888888888889</v>
      </c>
    </row>
    <row r="10" spans="1:20" x14ac:dyDescent="0.3">
      <c r="A10">
        <v>5</v>
      </c>
      <c r="B10" t="s">
        <v>33</v>
      </c>
      <c r="C10" t="s">
        <v>31</v>
      </c>
      <c r="D10" t="s">
        <v>36</v>
      </c>
      <c r="E10" s="18">
        <v>0.39583333333333331</v>
      </c>
      <c r="F10" s="18">
        <v>0.4513888888888889</v>
      </c>
    </row>
    <row r="11" spans="1:20" x14ac:dyDescent="0.3">
      <c r="A11">
        <v>5</v>
      </c>
      <c r="B11" t="s">
        <v>34</v>
      </c>
      <c r="C11" t="s">
        <v>31</v>
      </c>
      <c r="D11" t="s">
        <v>36</v>
      </c>
      <c r="E11" s="18">
        <v>0.39583333333333331</v>
      </c>
      <c r="F11" s="18">
        <v>0.4513888888888889</v>
      </c>
    </row>
    <row r="12" spans="1:20" x14ac:dyDescent="0.3">
      <c r="A12">
        <v>6</v>
      </c>
      <c r="B12" t="s">
        <v>33</v>
      </c>
      <c r="C12" t="s">
        <v>31</v>
      </c>
      <c r="D12" t="s">
        <v>37</v>
      </c>
      <c r="E12" s="18">
        <v>0.45833333333333331</v>
      </c>
      <c r="F12" s="18">
        <v>0.51388888888888895</v>
      </c>
    </row>
    <row r="13" spans="1:20" x14ac:dyDescent="0.3">
      <c r="A13">
        <v>6</v>
      </c>
      <c r="B13" t="s">
        <v>34</v>
      </c>
      <c r="C13" t="s">
        <v>31</v>
      </c>
      <c r="D13" t="s">
        <v>37</v>
      </c>
      <c r="E13" s="18">
        <v>0.45833333333333331</v>
      </c>
      <c r="F13" s="18">
        <v>0.51388888888888895</v>
      </c>
    </row>
    <row r="14" spans="1:20" x14ac:dyDescent="0.3">
      <c r="A14">
        <v>7</v>
      </c>
      <c r="B14" t="s">
        <v>33</v>
      </c>
      <c r="C14" t="s">
        <v>31</v>
      </c>
      <c r="D14" t="s">
        <v>37</v>
      </c>
      <c r="E14" s="18">
        <v>0.45833333333333331</v>
      </c>
      <c r="F14" s="18">
        <v>0.51388888888888895</v>
      </c>
    </row>
    <row r="15" spans="1:20" x14ac:dyDescent="0.3">
      <c r="A15">
        <v>7</v>
      </c>
      <c r="B15" t="s">
        <v>34</v>
      </c>
      <c r="C15" t="s">
        <v>31</v>
      </c>
      <c r="D15" t="s">
        <v>37</v>
      </c>
      <c r="E15" s="18">
        <v>0.45833333333333331</v>
      </c>
      <c r="F15" s="18">
        <v>0.51388888888888895</v>
      </c>
    </row>
    <row r="16" spans="1:20" x14ac:dyDescent="0.3">
      <c r="A16">
        <v>8</v>
      </c>
      <c r="B16" t="s">
        <v>33</v>
      </c>
      <c r="C16" t="s">
        <v>31</v>
      </c>
      <c r="D16" t="s">
        <v>38</v>
      </c>
      <c r="E16" s="18">
        <v>0.52083333333333337</v>
      </c>
      <c r="F16" s="18">
        <v>0.57638888888888895</v>
      </c>
    </row>
    <row r="17" spans="1:6" x14ac:dyDescent="0.3">
      <c r="A17">
        <v>8</v>
      </c>
      <c r="B17" t="s">
        <v>34</v>
      </c>
      <c r="C17" t="s">
        <v>31</v>
      </c>
      <c r="D17" t="s">
        <v>38</v>
      </c>
      <c r="E17" s="18">
        <v>0.52083333333333337</v>
      </c>
      <c r="F17" s="18">
        <v>0.57638888888888895</v>
      </c>
    </row>
    <row r="18" spans="1:6" x14ac:dyDescent="0.3">
      <c r="A18">
        <v>9</v>
      </c>
      <c r="B18" t="s">
        <v>33</v>
      </c>
      <c r="C18" t="s">
        <v>31</v>
      </c>
      <c r="D18" t="s">
        <v>38</v>
      </c>
      <c r="E18" s="18">
        <v>0.52083333333333337</v>
      </c>
      <c r="F18" s="18">
        <v>0.57638888888888895</v>
      </c>
    </row>
    <row r="19" spans="1:6" x14ac:dyDescent="0.3">
      <c r="A19">
        <v>9</v>
      </c>
      <c r="B19" t="s">
        <v>34</v>
      </c>
      <c r="C19" t="s">
        <v>31</v>
      </c>
      <c r="D19" t="s">
        <v>38</v>
      </c>
      <c r="E19" s="18">
        <v>0.52083333333333337</v>
      </c>
      <c r="F19" s="18">
        <v>0.57638888888888895</v>
      </c>
    </row>
    <row r="20" spans="1:6" x14ac:dyDescent="0.3">
      <c r="A20">
        <v>10</v>
      </c>
      <c r="B20" t="s">
        <v>33</v>
      </c>
      <c r="C20" t="s">
        <v>31</v>
      </c>
      <c r="D20" t="s">
        <v>37</v>
      </c>
      <c r="E20" s="18">
        <v>0.45833333333333331</v>
      </c>
      <c r="F20" s="18">
        <v>0.51388888888888895</v>
      </c>
    </row>
    <row r="21" spans="1:6" x14ac:dyDescent="0.3">
      <c r="A21">
        <v>10</v>
      </c>
      <c r="B21" t="s">
        <v>34</v>
      </c>
      <c r="C21" t="s">
        <v>31</v>
      </c>
      <c r="D21" t="s">
        <v>38</v>
      </c>
      <c r="E21" s="18">
        <v>0.52083333333333337</v>
      </c>
      <c r="F21" s="18">
        <v>0.57638888888888895</v>
      </c>
    </row>
    <row r="22" spans="1:6" x14ac:dyDescent="0.3">
      <c r="A22">
        <v>11</v>
      </c>
      <c r="B22" t="s">
        <v>33</v>
      </c>
      <c r="C22" t="s">
        <v>31</v>
      </c>
      <c r="D22" t="s">
        <v>39</v>
      </c>
      <c r="E22" s="18">
        <v>0.58333333333333337</v>
      </c>
      <c r="F22" s="18">
        <v>0.55555555555555558</v>
      </c>
    </row>
    <row r="23" spans="1:6" x14ac:dyDescent="0.3">
      <c r="A23">
        <v>11</v>
      </c>
      <c r="B23" t="s">
        <v>34</v>
      </c>
      <c r="C23" t="s">
        <v>31</v>
      </c>
      <c r="D23" t="s">
        <v>39</v>
      </c>
      <c r="E23" s="18">
        <v>0.58333333333333337</v>
      </c>
      <c r="F23" s="18">
        <v>0.55555555555555558</v>
      </c>
    </row>
    <row r="24" spans="1:6" x14ac:dyDescent="0.3">
      <c r="A24">
        <v>12</v>
      </c>
      <c r="B24" t="s">
        <v>33</v>
      </c>
      <c r="C24" t="s">
        <v>31</v>
      </c>
      <c r="D24" t="s">
        <v>18</v>
      </c>
      <c r="E24" s="18">
        <v>0.64583333333333337</v>
      </c>
      <c r="F24" s="18">
        <v>0.70138888888888884</v>
      </c>
    </row>
    <row r="25" spans="1:6" x14ac:dyDescent="0.3">
      <c r="A25">
        <v>12</v>
      </c>
      <c r="B25" t="s">
        <v>34</v>
      </c>
      <c r="C25" t="s">
        <v>31</v>
      </c>
      <c r="D25" t="s">
        <v>18</v>
      </c>
      <c r="E25" s="18">
        <v>0.64583333333333337</v>
      </c>
      <c r="F25" s="18">
        <v>0.70138888888888884</v>
      </c>
    </row>
    <row r="26" spans="1:6" x14ac:dyDescent="0.3">
      <c r="A26">
        <v>13</v>
      </c>
      <c r="B26" t="s">
        <v>33</v>
      </c>
      <c r="C26" t="s">
        <v>31</v>
      </c>
      <c r="D26" t="s">
        <v>18</v>
      </c>
      <c r="E26" s="18">
        <v>0.64583333333333337</v>
      </c>
      <c r="F26" s="18">
        <v>0.70138888888888884</v>
      </c>
    </row>
    <row r="27" spans="1:6" x14ac:dyDescent="0.3">
      <c r="A27">
        <v>13</v>
      </c>
      <c r="B27" t="s">
        <v>34</v>
      </c>
      <c r="C27" t="s">
        <v>31</v>
      </c>
      <c r="D27" t="s">
        <v>18</v>
      </c>
      <c r="E27" s="18">
        <v>0.64583333333333337</v>
      </c>
      <c r="F27" s="18">
        <v>0.70138888888888884</v>
      </c>
    </row>
    <row r="28" spans="1:6" x14ac:dyDescent="0.3">
      <c r="A28">
        <v>14</v>
      </c>
      <c r="B28" t="s">
        <v>33</v>
      </c>
      <c r="C28" t="s">
        <v>31</v>
      </c>
      <c r="D28" t="s">
        <v>32</v>
      </c>
      <c r="E28" s="18">
        <v>0.70833333333333337</v>
      </c>
      <c r="F28" s="18">
        <v>0.76388888888888884</v>
      </c>
    </row>
    <row r="29" spans="1:6" x14ac:dyDescent="0.3">
      <c r="A29">
        <v>14</v>
      </c>
      <c r="B29" t="s">
        <v>34</v>
      </c>
      <c r="C29" t="s">
        <v>31</v>
      </c>
      <c r="D29" t="s">
        <v>32</v>
      </c>
      <c r="E29" s="18">
        <v>0.70833333333333337</v>
      </c>
      <c r="F29" s="18">
        <v>0.76388888888888884</v>
      </c>
    </row>
    <row r="30" spans="1:6" x14ac:dyDescent="0.3">
      <c r="A30">
        <v>15</v>
      </c>
      <c r="B30" t="s">
        <v>33</v>
      </c>
      <c r="C30" t="s">
        <v>31</v>
      </c>
      <c r="D30" t="s">
        <v>32</v>
      </c>
      <c r="E30" s="18">
        <v>0.70833333333333337</v>
      </c>
      <c r="F30" s="18">
        <v>0.76388888888888884</v>
      </c>
    </row>
    <row r="31" spans="1:6" x14ac:dyDescent="0.3">
      <c r="A31">
        <v>15</v>
      </c>
      <c r="B31" t="s">
        <v>34</v>
      </c>
      <c r="C31" t="s">
        <v>31</v>
      </c>
      <c r="D31" t="s">
        <v>32</v>
      </c>
      <c r="E31" s="18">
        <v>0.70833333333333337</v>
      </c>
      <c r="F31" s="18">
        <v>0.76388888888888884</v>
      </c>
    </row>
    <row r="32" spans="1:6" x14ac:dyDescent="0.3">
      <c r="A32">
        <v>16</v>
      </c>
      <c r="B32" t="s">
        <v>33</v>
      </c>
      <c r="C32" t="s">
        <v>31</v>
      </c>
      <c r="D32" t="s">
        <v>39</v>
      </c>
      <c r="E32" s="18">
        <v>0.58333333333333337</v>
      </c>
      <c r="F32" s="18">
        <v>0.55555555555555558</v>
      </c>
    </row>
    <row r="33" spans="1:6" x14ac:dyDescent="0.3">
      <c r="A33">
        <v>16</v>
      </c>
      <c r="B33" t="s">
        <v>34</v>
      </c>
      <c r="C33" t="s">
        <v>31</v>
      </c>
      <c r="D33" t="s">
        <v>18</v>
      </c>
      <c r="E33" s="18">
        <v>0.64583333333333337</v>
      </c>
      <c r="F33" s="18">
        <v>0.70138888888888884</v>
      </c>
    </row>
    <row r="34" spans="1:6" x14ac:dyDescent="0.3">
      <c r="A34">
        <v>17</v>
      </c>
      <c r="B34" t="s">
        <v>33</v>
      </c>
      <c r="C34" t="s">
        <v>31</v>
      </c>
      <c r="D34" t="s">
        <v>40</v>
      </c>
      <c r="E34" s="18">
        <v>0.70833333333333337</v>
      </c>
      <c r="F34" s="18">
        <v>0.76388888888888884</v>
      </c>
    </row>
    <row r="35" spans="1:6" x14ac:dyDescent="0.3">
      <c r="A35">
        <v>18</v>
      </c>
      <c r="B35" t="s">
        <v>33</v>
      </c>
      <c r="C35" t="s">
        <v>31</v>
      </c>
      <c r="D35" t="s">
        <v>40</v>
      </c>
      <c r="E35" s="18">
        <v>0.70833333333333337</v>
      </c>
      <c r="F35" s="18">
        <v>0.76388888888888884</v>
      </c>
    </row>
    <row r="36" spans="1:6" x14ac:dyDescent="0.3">
      <c r="A36">
        <v>19</v>
      </c>
      <c r="B36" t="s">
        <v>33</v>
      </c>
      <c r="C36" t="s">
        <v>31</v>
      </c>
      <c r="D36" t="s">
        <v>40</v>
      </c>
      <c r="E36" s="18">
        <v>0.70833333333333337</v>
      </c>
      <c r="F36" s="18">
        <v>0.76388888888888884</v>
      </c>
    </row>
    <row r="37" spans="1:6" x14ac:dyDescent="0.3">
      <c r="A37">
        <v>20</v>
      </c>
      <c r="B37" t="s">
        <v>33</v>
      </c>
      <c r="C37" t="s">
        <v>31</v>
      </c>
      <c r="D37" t="s">
        <v>40</v>
      </c>
      <c r="E37" s="18">
        <v>0.70833333333333337</v>
      </c>
      <c r="F37" s="18">
        <v>0.76388888888888884</v>
      </c>
    </row>
    <row r="38" spans="1:6" x14ac:dyDescent="0.3">
      <c r="A38">
        <v>21</v>
      </c>
      <c r="B38" t="s">
        <v>33</v>
      </c>
      <c r="C38" t="s">
        <v>32</v>
      </c>
      <c r="D38" t="s">
        <v>44</v>
      </c>
      <c r="E38" s="18">
        <v>0.70833333333333337</v>
      </c>
      <c r="F38" s="18">
        <v>0.80555555555555547</v>
      </c>
    </row>
    <row r="39" spans="1:6" x14ac:dyDescent="0.3">
      <c r="A39">
        <v>22</v>
      </c>
      <c r="B39" t="s">
        <v>33</v>
      </c>
      <c r="C39" t="s">
        <v>32</v>
      </c>
      <c r="D39" t="s">
        <v>44</v>
      </c>
      <c r="E39" s="18">
        <v>0.70833333333333337</v>
      </c>
      <c r="F39" s="18">
        <v>0.80555555555555547</v>
      </c>
    </row>
    <row r="40" spans="1:6" x14ac:dyDescent="0.3">
      <c r="A40">
        <v>23</v>
      </c>
      <c r="B40" t="s">
        <v>33</v>
      </c>
      <c r="C40" t="s">
        <v>32</v>
      </c>
      <c r="D40" t="s">
        <v>44</v>
      </c>
      <c r="E40" s="18">
        <v>0.70833333333333337</v>
      </c>
      <c r="F40" s="18">
        <v>0.80555555555555547</v>
      </c>
    </row>
    <row r="41" spans="1:6" x14ac:dyDescent="0.3">
      <c r="A41">
        <v>24</v>
      </c>
      <c r="B41" t="s">
        <v>33</v>
      </c>
      <c r="C41" t="s">
        <v>32</v>
      </c>
      <c r="D41" t="s">
        <v>44</v>
      </c>
      <c r="E41" s="18">
        <v>0.70833333333333337</v>
      </c>
      <c r="F41" s="18">
        <v>0.80555555555555547</v>
      </c>
    </row>
    <row r="42" spans="1:6" x14ac:dyDescent="0.3">
      <c r="A42">
        <v>25</v>
      </c>
      <c r="B42" t="s">
        <v>33</v>
      </c>
      <c r="C42" t="s">
        <v>32</v>
      </c>
      <c r="D42" t="s">
        <v>45</v>
      </c>
      <c r="E42" s="18">
        <v>0.8125</v>
      </c>
      <c r="F42" s="18">
        <v>0.90972222222222221</v>
      </c>
    </row>
    <row r="43" spans="1:6" x14ac:dyDescent="0.3">
      <c r="A43">
        <v>26</v>
      </c>
      <c r="B43" t="s">
        <v>33</v>
      </c>
      <c r="C43" t="s">
        <v>32</v>
      </c>
      <c r="D43" t="s">
        <v>45</v>
      </c>
      <c r="E43" s="18">
        <v>0.8125</v>
      </c>
      <c r="F43" s="18">
        <v>0.90972222222222221</v>
      </c>
    </row>
    <row r="44" spans="1:6" x14ac:dyDescent="0.3">
      <c r="A44">
        <v>27</v>
      </c>
      <c r="B44" t="s">
        <v>33</v>
      </c>
      <c r="C44" t="s">
        <v>32</v>
      </c>
      <c r="D44" t="s">
        <v>45</v>
      </c>
      <c r="E44" s="18">
        <v>0.8125</v>
      </c>
      <c r="F44" s="18">
        <v>0.90972222222222221</v>
      </c>
    </row>
    <row r="45" spans="1:6" x14ac:dyDescent="0.3">
      <c r="A45">
        <v>28</v>
      </c>
      <c r="B45" t="s">
        <v>33</v>
      </c>
      <c r="C45" t="s">
        <v>32</v>
      </c>
      <c r="D45" t="s">
        <v>45</v>
      </c>
      <c r="E45" s="18">
        <v>0.8125</v>
      </c>
      <c r="F45" s="18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6"/>
  <sheetViews>
    <sheetView zoomScale="145" zoomScaleNormal="145" zoomScalePageLayoutView="145" workbookViewId="0">
      <selection activeCell="P26" sqref="P26"/>
    </sheetView>
  </sheetViews>
  <sheetFormatPr defaultColWidth="8.77734375" defaultRowHeight="14.4" x14ac:dyDescent="0.3"/>
  <cols>
    <col min="1" max="1" width="10.77734375" bestFit="1" customWidth="1"/>
    <col min="2" max="10" width="9.44140625" bestFit="1" customWidth="1"/>
  </cols>
  <sheetData>
    <row r="1" spans="1:20" x14ac:dyDescent="0.3">
      <c r="A1" s="25" t="s">
        <v>19</v>
      </c>
      <c r="B1" s="23" t="s">
        <v>54</v>
      </c>
      <c r="C1" s="3" t="s">
        <v>55</v>
      </c>
      <c r="D1" s="3" t="s">
        <v>56</v>
      </c>
      <c r="E1" s="3" t="s">
        <v>58</v>
      </c>
      <c r="F1" s="3" t="s">
        <v>59</v>
      </c>
      <c r="G1" s="3" t="s">
        <v>57</v>
      </c>
      <c r="H1" s="3" t="s">
        <v>60</v>
      </c>
      <c r="I1" s="3" t="s">
        <v>61</v>
      </c>
      <c r="J1" s="4" t="s">
        <v>62</v>
      </c>
      <c r="Q1" t="s">
        <v>169</v>
      </c>
      <c r="R1" t="s">
        <v>168</v>
      </c>
      <c r="T1">
        <v>0</v>
      </c>
    </row>
    <row r="2" spans="1:20" x14ac:dyDescent="0.3">
      <c r="A2" s="5" t="s">
        <v>12</v>
      </c>
      <c r="B2" s="6">
        <v>4</v>
      </c>
      <c r="C2" s="6">
        <v>3</v>
      </c>
      <c r="D2" s="6">
        <v>2</v>
      </c>
      <c r="E2" s="6">
        <v>1</v>
      </c>
      <c r="F2" s="6"/>
      <c r="G2" s="6"/>
      <c r="H2" s="6"/>
      <c r="I2" s="6"/>
      <c r="J2" s="7"/>
      <c r="K2" t="s">
        <v>18</v>
      </c>
    </row>
    <row r="3" spans="1:20" x14ac:dyDescent="0.3">
      <c r="A3" s="5" t="s">
        <v>13</v>
      </c>
      <c r="B3" s="6"/>
      <c r="C3" s="6"/>
      <c r="D3" s="6"/>
      <c r="E3" s="6">
        <v>4</v>
      </c>
      <c r="F3" s="6">
        <v>3</v>
      </c>
      <c r="G3" s="6">
        <v>2</v>
      </c>
      <c r="H3" s="6"/>
      <c r="I3" s="6"/>
      <c r="J3" s="7"/>
      <c r="K3" t="s">
        <v>18</v>
      </c>
    </row>
    <row r="4" spans="1:20" x14ac:dyDescent="0.3">
      <c r="A4" s="5" t="s">
        <v>14</v>
      </c>
      <c r="B4" s="6"/>
      <c r="C4" s="6"/>
      <c r="D4" s="6"/>
      <c r="E4" s="6"/>
      <c r="F4" s="6">
        <v>2</v>
      </c>
      <c r="G4" s="6"/>
      <c r="H4" s="6">
        <v>4</v>
      </c>
      <c r="I4" s="6">
        <v>3</v>
      </c>
      <c r="J4" s="7"/>
      <c r="K4" t="s">
        <v>18</v>
      </c>
    </row>
    <row r="5" spans="1:20" x14ac:dyDescent="0.3">
      <c r="A5" s="5" t="s">
        <v>15</v>
      </c>
      <c r="B5" s="6"/>
      <c r="C5" s="6"/>
      <c r="D5" s="6"/>
      <c r="E5" s="6">
        <v>4</v>
      </c>
      <c r="F5" s="6">
        <v>3</v>
      </c>
      <c r="G5" s="6"/>
      <c r="H5" s="6"/>
      <c r="I5" s="6"/>
      <c r="J5" s="7"/>
      <c r="K5" t="s">
        <v>18</v>
      </c>
    </row>
    <row r="6" spans="1:20" ht="15" thickBot="1" x14ac:dyDescent="0.35">
      <c r="A6" s="8" t="s">
        <v>16</v>
      </c>
      <c r="B6" s="9"/>
      <c r="C6" s="9"/>
      <c r="D6" s="9"/>
      <c r="E6" s="9">
        <v>1</v>
      </c>
      <c r="F6" s="9"/>
      <c r="G6" s="9"/>
      <c r="H6" s="9">
        <v>4</v>
      </c>
      <c r="I6" s="9">
        <v>3</v>
      </c>
      <c r="J6" s="10">
        <v>2</v>
      </c>
      <c r="K6" t="s">
        <v>17</v>
      </c>
    </row>
    <row r="7" spans="1:20" ht="15" thickBot="1" x14ac:dyDescent="0.35"/>
    <row r="8" spans="1:20" x14ac:dyDescent="0.3">
      <c r="A8" s="25" t="s">
        <v>20</v>
      </c>
      <c r="B8" s="23" t="s">
        <v>54</v>
      </c>
      <c r="C8" s="3" t="s">
        <v>55</v>
      </c>
      <c r="D8" s="3" t="s">
        <v>56</v>
      </c>
      <c r="E8" s="3" t="s">
        <v>58</v>
      </c>
      <c r="F8" s="3" t="s">
        <v>59</v>
      </c>
      <c r="G8" s="3" t="s">
        <v>57</v>
      </c>
      <c r="H8" s="3" t="s">
        <v>60</v>
      </c>
      <c r="I8" s="3" t="s">
        <v>61</v>
      </c>
      <c r="J8" s="4" t="s">
        <v>62</v>
      </c>
    </row>
    <row r="9" spans="1:20" x14ac:dyDescent="0.3">
      <c r="A9" s="5" t="s">
        <v>12</v>
      </c>
      <c r="B9" s="11">
        <f t="array" ref="B9:J9">B2:J2/SUM(B2:J2)</f>
        <v>0.4</v>
      </c>
      <c r="C9" s="11">
        <v>0.3</v>
      </c>
      <c r="D9" s="11">
        <v>0.2</v>
      </c>
      <c r="E9" s="11">
        <v>0.1</v>
      </c>
      <c r="F9" s="11">
        <v>0</v>
      </c>
      <c r="G9" s="11">
        <v>0</v>
      </c>
      <c r="H9" s="11">
        <v>0</v>
      </c>
      <c r="I9" s="11">
        <v>0</v>
      </c>
      <c r="J9" s="12">
        <v>0</v>
      </c>
    </row>
    <row r="10" spans="1:20" x14ac:dyDescent="0.3">
      <c r="A10" s="5" t="s">
        <v>13</v>
      </c>
      <c r="B10" s="11">
        <f t="array" ref="B10:J10">B3:J3/SUM(B3:J3)</f>
        <v>0</v>
      </c>
      <c r="C10" s="11">
        <v>0</v>
      </c>
      <c r="D10" s="11">
        <v>0</v>
      </c>
      <c r="E10" s="11">
        <v>0.44444444444444442</v>
      </c>
      <c r="F10" s="11">
        <v>0.33333333333333331</v>
      </c>
      <c r="G10" s="11">
        <v>0.22222222222222221</v>
      </c>
      <c r="H10" s="11">
        <v>0</v>
      </c>
      <c r="I10" s="11">
        <v>0</v>
      </c>
      <c r="J10" s="12">
        <v>0</v>
      </c>
    </row>
    <row r="11" spans="1:20" x14ac:dyDescent="0.3">
      <c r="A11" s="5" t="s">
        <v>14</v>
      </c>
      <c r="B11" s="11">
        <f t="array" ref="B11:J11">B4:J4/SUM(B4:J4)</f>
        <v>0</v>
      </c>
      <c r="C11" s="11">
        <v>0</v>
      </c>
      <c r="D11" s="11">
        <v>0</v>
      </c>
      <c r="E11" s="11">
        <v>0</v>
      </c>
      <c r="F11" s="11">
        <v>0.22222222222222221</v>
      </c>
      <c r="G11" s="11">
        <v>0</v>
      </c>
      <c r="H11" s="11">
        <v>0.44444444444444442</v>
      </c>
      <c r="I11" s="11">
        <v>0.33333333333333331</v>
      </c>
      <c r="J11" s="12">
        <v>0</v>
      </c>
    </row>
    <row r="12" spans="1:20" x14ac:dyDescent="0.3">
      <c r="A12" s="5" t="s">
        <v>15</v>
      </c>
      <c r="B12" s="11">
        <f t="array" ref="B12:J12">B5:J5/SUM(B5:J5)</f>
        <v>0</v>
      </c>
      <c r="C12" s="11">
        <v>0</v>
      </c>
      <c r="D12" s="11">
        <v>0</v>
      </c>
      <c r="E12" s="11">
        <v>0.5714285714285714</v>
      </c>
      <c r="F12" s="11">
        <v>0.42857142857142855</v>
      </c>
      <c r="G12" s="11">
        <v>0</v>
      </c>
      <c r="H12" s="11">
        <v>0</v>
      </c>
      <c r="I12" s="11">
        <v>0</v>
      </c>
      <c r="J12" s="12">
        <v>0</v>
      </c>
    </row>
    <row r="13" spans="1:20" ht="15" thickBot="1" x14ac:dyDescent="0.35">
      <c r="A13" s="8" t="s">
        <v>16</v>
      </c>
      <c r="B13" s="13">
        <f t="array" ref="B13:J13">B6:J6/SUM(B6:J6)</f>
        <v>0</v>
      </c>
      <c r="C13" s="13">
        <v>0</v>
      </c>
      <c r="D13" s="13">
        <v>0</v>
      </c>
      <c r="E13" s="13">
        <v>0.1</v>
      </c>
      <c r="F13" s="13">
        <v>0</v>
      </c>
      <c r="G13" s="13">
        <v>0</v>
      </c>
      <c r="H13" s="13">
        <v>0.4</v>
      </c>
      <c r="I13" s="13">
        <v>0.3</v>
      </c>
      <c r="J13" s="14">
        <v>0.2</v>
      </c>
    </row>
    <row r="14" spans="1:20" ht="15" thickBot="1" x14ac:dyDescent="0.35"/>
    <row r="15" spans="1:20" x14ac:dyDescent="0.3">
      <c r="A15" s="24" t="s">
        <v>21</v>
      </c>
      <c r="B15" s="23" t="s">
        <v>54</v>
      </c>
      <c r="C15" s="3" t="s">
        <v>55</v>
      </c>
      <c r="D15" s="3" t="s">
        <v>56</v>
      </c>
      <c r="E15" s="3" t="s">
        <v>58</v>
      </c>
      <c r="F15" s="3" t="s">
        <v>59</v>
      </c>
      <c r="G15" s="3" t="s">
        <v>57</v>
      </c>
      <c r="H15" s="3" t="s">
        <v>60</v>
      </c>
      <c r="I15" s="3" t="s">
        <v>61</v>
      </c>
      <c r="J15" s="4" t="s">
        <v>62</v>
      </c>
      <c r="L15">
        <f>COUNTA(B15:J15)</f>
        <v>9</v>
      </c>
    </row>
    <row r="16" spans="1:20" x14ac:dyDescent="0.3">
      <c r="A16" s="5" t="s">
        <v>12</v>
      </c>
      <c r="B16" s="19">
        <v>1</v>
      </c>
      <c r="C16" s="19">
        <v>1</v>
      </c>
      <c r="D16" s="19">
        <v>1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0">
        <v>0</v>
      </c>
      <c r="K16" s="16">
        <f>IF(K2="F",1,0)</f>
        <v>1</v>
      </c>
      <c r="L16">
        <f>SUM(B16:J16)*K16</f>
        <v>3</v>
      </c>
    </row>
    <row r="17" spans="1:12" x14ac:dyDescent="0.3">
      <c r="A17" s="5" t="s">
        <v>13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20">
        <v>0</v>
      </c>
      <c r="K17" s="16">
        <f>IF(K3="F",1,0)</f>
        <v>1</v>
      </c>
      <c r="L17">
        <f t="shared" ref="L17:L20" si="0">SUM(B17:J17)*K17</f>
        <v>1</v>
      </c>
    </row>
    <row r="18" spans="1:12" x14ac:dyDescent="0.3">
      <c r="A18" s="5" t="s">
        <v>14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1</v>
      </c>
      <c r="I18" s="19">
        <v>1</v>
      </c>
      <c r="J18" s="20">
        <v>0</v>
      </c>
      <c r="K18" s="16">
        <f>IF(K4="F",1,0)</f>
        <v>1</v>
      </c>
      <c r="L18">
        <f t="shared" si="0"/>
        <v>2</v>
      </c>
    </row>
    <row r="19" spans="1:12" x14ac:dyDescent="0.3">
      <c r="A19" s="5" t="s">
        <v>15</v>
      </c>
      <c r="B19" s="19">
        <v>0</v>
      </c>
      <c r="C19" s="19">
        <v>0</v>
      </c>
      <c r="D19" s="19">
        <v>0</v>
      </c>
      <c r="E19" s="19">
        <v>1</v>
      </c>
      <c r="F19" s="19">
        <v>1</v>
      </c>
      <c r="G19" s="19">
        <v>0</v>
      </c>
      <c r="H19" s="19">
        <v>0</v>
      </c>
      <c r="I19" s="19">
        <v>0</v>
      </c>
      <c r="J19" s="20">
        <v>0</v>
      </c>
      <c r="K19" s="16">
        <f>IF(K5="F",1,0)</f>
        <v>1</v>
      </c>
      <c r="L19">
        <f t="shared" si="0"/>
        <v>2</v>
      </c>
    </row>
    <row r="20" spans="1:12" ht="15" thickBot="1" x14ac:dyDescent="0.35">
      <c r="A20" s="8" t="s">
        <v>16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2">
        <v>1</v>
      </c>
      <c r="K20" s="16">
        <f>IF(K6="F",1,0)</f>
        <v>0</v>
      </c>
      <c r="L20">
        <f t="shared" si="0"/>
        <v>0</v>
      </c>
    </row>
    <row r="21" spans="1:12" x14ac:dyDescent="0.3">
      <c r="A21" s="15" t="s">
        <v>22</v>
      </c>
      <c r="B21">
        <f>SUMPRODUCT(B16:J20,B9:J13)</f>
        <v>3.1</v>
      </c>
      <c r="C21" t="s">
        <v>24</v>
      </c>
    </row>
    <row r="23" spans="1:12" x14ac:dyDescent="0.3">
      <c r="A23" t="s">
        <v>23</v>
      </c>
      <c r="B23" t="s">
        <v>26</v>
      </c>
      <c r="E23" s="2">
        <f>SUM(L16:L20)/L15</f>
        <v>0.88888888888888884</v>
      </c>
      <c r="F23" t="s">
        <v>25</v>
      </c>
      <c r="G23" s="17">
        <v>0.75</v>
      </c>
    </row>
    <row r="24" spans="1:12" x14ac:dyDescent="0.3">
      <c r="B24" t="s">
        <v>27</v>
      </c>
    </row>
    <row r="25" spans="1:12" x14ac:dyDescent="0.3">
      <c r="B25" t="s">
        <v>28</v>
      </c>
    </row>
    <row r="26" spans="1:12" x14ac:dyDescent="0.3">
      <c r="B26">
        <f>SUM(B16:B20)</f>
        <v>1</v>
      </c>
      <c r="C26">
        <f t="shared" ref="C26:J26" si="1">SUM(C16:C20)</f>
        <v>1</v>
      </c>
      <c r="D26">
        <f t="shared" si="1"/>
        <v>1</v>
      </c>
      <c r="E26">
        <f t="shared" si="1"/>
        <v>1</v>
      </c>
      <c r="F26">
        <f t="shared" si="1"/>
        <v>1</v>
      </c>
      <c r="G26">
        <f t="shared" si="1"/>
        <v>1</v>
      </c>
      <c r="H26">
        <f t="shared" si="1"/>
        <v>1</v>
      </c>
      <c r="I26">
        <f t="shared" si="1"/>
        <v>1</v>
      </c>
      <c r="J26">
        <f t="shared" si="1"/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6"/>
  <sheetViews>
    <sheetView workbookViewId="0">
      <selection activeCell="F28" sqref="F28"/>
    </sheetView>
  </sheetViews>
  <sheetFormatPr defaultColWidth="8.77734375" defaultRowHeight="14.4" x14ac:dyDescent="0.3"/>
  <cols>
    <col min="1" max="1" width="9.109375" customWidth="1"/>
    <col min="2" max="3" width="5.44140625" bestFit="1" customWidth="1"/>
    <col min="4" max="4" width="5.44140625" style="26" customWidth="1"/>
    <col min="5" max="5" width="18.109375" customWidth="1"/>
    <col min="6" max="10" width="18" customWidth="1"/>
  </cols>
  <sheetData>
    <row r="1" spans="1:7" ht="28.05" customHeight="1" x14ac:dyDescent="0.3">
      <c r="G1" t="s">
        <v>88</v>
      </c>
    </row>
    <row r="2" spans="1:7" x14ac:dyDescent="0.3">
      <c r="A2" t="s">
        <v>41</v>
      </c>
      <c r="B2" t="s">
        <v>42</v>
      </c>
      <c r="C2" t="s">
        <v>43</v>
      </c>
    </row>
    <row r="3" spans="1:7" x14ac:dyDescent="0.3">
      <c r="A3" t="s">
        <v>35</v>
      </c>
      <c r="B3" s="18">
        <v>0.33333333333333331</v>
      </c>
      <c r="C3" s="18">
        <v>0.3888888888888889</v>
      </c>
      <c r="D3" s="27">
        <v>1</v>
      </c>
    </row>
    <row r="4" spans="1:7" x14ac:dyDescent="0.3">
      <c r="A4" t="s">
        <v>35</v>
      </c>
      <c r="B4" s="18">
        <v>0.33333333333333331</v>
      </c>
      <c r="C4" s="18">
        <v>0.3888888888888889</v>
      </c>
      <c r="D4" s="27">
        <v>2</v>
      </c>
    </row>
    <row r="5" spans="1:7" x14ac:dyDescent="0.3">
      <c r="A5" t="s">
        <v>35</v>
      </c>
      <c r="B5" s="18">
        <v>0.33333333333333331</v>
      </c>
      <c r="C5" s="18">
        <v>0.3888888888888889</v>
      </c>
      <c r="D5" s="27">
        <v>1</v>
      </c>
    </row>
    <row r="6" spans="1:7" x14ac:dyDescent="0.3">
      <c r="A6" t="s">
        <v>35</v>
      </c>
      <c r="B6" s="18">
        <v>0.33333333333333331</v>
      </c>
      <c r="C6" s="18">
        <v>0.3888888888888889</v>
      </c>
      <c r="D6" s="27">
        <v>3</v>
      </c>
    </row>
    <row r="7" spans="1:7" x14ac:dyDescent="0.3">
      <c r="A7" t="s">
        <v>35</v>
      </c>
      <c r="B7" s="18">
        <v>0.33333333333333331</v>
      </c>
      <c r="C7" s="18">
        <v>0.3888888888888889</v>
      </c>
      <c r="D7" s="27">
        <v>2</v>
      </c>
    </row>
    <row r="8" spans="1:7" x14ac:dyDescent="0.3">
      <c r="A8" t="s">
        <v>36</v>
      </c>
      <c r="B8" s="18">
        <v>0.39583333333333331</v>
      </c>
      <c r="C8" s="18">
        <v>0.4513888888888889</v>
      </c>
      <c r="D8" s="27">
        <v>4</v>
      </c>
    </row>
    <row r="9" spans="1:7" x14ac:dyDescent="0.3">
      <c r="A9" t="s">
        <v>36</v>
      </c>
      <c r="B9" s="18">
        <v>0.39583333333333331</v>
      </c>
      <c r="C9" s="18">
        <v>0.4513888888888889</v>
      </c>
      <c r="D9" s="27">
        <v>5</v>
      </c>
    </row>
    <row r="10" spans="1:7" x14ac:dyDescent="0.3">
      <c r="A10" t="s">
        <v>36</v>
      </c>
      <c r="B10" s="18">
        <v>0.39583333333333331</v>
      </c>
      <c r="C10" s="18">
        <v>0.4513888888888889</v>
      </c>
      <c r="D10" s="27">
        <v>4</v>
      </c>
    </row>
    <row r="11" spans="1:7" x14ac:dyDescent="0.3">
      <c r="A11" t="s">
        <v>36</v>
      </c>
      <c r="B11" s="18">
        <v>0.39583333333333331</v>
      </c>
      <c r="C11" s="18">
        <v>0.4513888888888889</v>
      </c>
      <c r="D11" s="27">
        <v>3</v>
      </c>
    </row>
    <row r="12" spans="1:7" x14ac:dyDescent="0.3">
      <c r="A12" t="s">
        <v>36</v>
      </c>
      <c r="B12" s="18">
        <v>0.39583333333333331</v>
      </c>
      <c r="C12" s="18">
        <v>0.4513888888888889</v>
      </c>
      <c r="D12" s="27">
        <v>5</v>
      </c>
    </row>
    <row r="13" spans="1:7" x14ac:dyDescent="0.3">
      <c r="A13" t="s">
        <v>37</v>
      </c>
      <c r="B13" s="18">
        <v>0.45833333333333331</v>
      </c>
      <c r="C13" s="18">
        <v>0.51388888888888895</v>
      </c>
      <c r="D13" s="27">
        <v>6</v>
      </c>
    </row>
    <row r="14" spans="1:7" x14ac:dyDescent="0.3">
      <c r="A14" t="s">
        <v>37</v>
      </c>
      <c r="B14" s="18">
        <v>0.45833333333333331</v>
      </c>
      <c r="C14" s="18">
        <v>0.51388888888888895</v>
      </c>
      <c r="D14" s="27">
        <v>7</v>
      </c>
    </row>
    <row r="15" spans="1:7" x14ac:dyDescent="0.3">
      <c r="A15" t="s">
        <v>37</v>
      </c>
      <c r="B15" s="18">
        <v>0.45833333333333331</v>
      </c>
      <c r="C15" s="18">
        <v>0.51388888888888895</v>
      </c>
      <c r="D15" s="27">
        <v>10</v>
      </c>
    </row>
    <row r="16" spans="1:7" x14ac:dyDescent="0.3">
      <c r="A16" t="s">
        <v>37</v>
      </c>
      <c r="B16" s="18">
        <v>0.45833333333333331</v>
      </c>
      <c r="C16" s="18">
        <v>0.51388888888888895</v>
      </c>
      <c r="D16" s="27">
        <v>6</v>
      </c>
    </row>
    <row r="17" spans="1:4" x14ac:dyDescent="0.3">
      <c r="A17" t="s">
        <v>38</v>
      </c>
      <c r="B17" s="18">
        <v>0.52083333333333337</v>
      </c>
      <c r="C17" s="18">
        <v>0.57638888888888895</v>
      </c>
      <c r="D17" s="27">
        <v>7</v>
      </c>
    </row>
    <row r="18" spans="1:4" x14ac:dyDescent="0.3">
      <c r="A18" t="s">
        <v>38</v>
      </c>
      <c r="B18" s="18">
        <v>0.52083333333333337</v>
      </c>
      <c r="C18" s="18">
        <v>0.57638888888888895</v>
      </c>
      <c r="D18" s="27">
        <v>8</v>
      </c>
    </row>
    <row r="19" spans="1:4" x14ac:dyDescent="0.3">
      <c r="A19" t="s">
        <v>38</v>
      </c>
      <c r="B19" s="18">
        <v>0.52083333333333337</v>
      </c>
      <c r="C19" s="18">
        <v>0.57638888888888895</v>
      </c>
      <c r="D19" s="27">
        <v>9</v>
      </c>
    </row>
    <row r="20" spans="1:4" x14ac:dyDescent="0.3">
      <c r="A20" t="s">
        <v>38</v>
      </c>
      <c r="B20" s="18">
        <v>0.52083333333333337</v>
      </c>
      <c r="C20" s="18">
        <v>0.57638888888888895</v>
      </c>
      <c r="D20" s="27">
        <v>10</v>
      </c>
    </row>
    <row r="21" spans="1:4" x14ac:dyDescent="0.3">
      <c r="A21" t="s">
        <v>37</v>
      </c>
      <c r="B21" s="18">
        <v>0.45833333333333331</v>
      </c>
      <c r="C21" s="18">
        <v>0.51388888888888895</v>
      </c>
      <c r="D21" s="27">
        <v>8</v>
      </c>
    </row>
    <row r="22" spans="1:4" x14ac:dyDescent="0.3">
      <c r="A22" t="s">
        <v>38</v>
      </c>
      <c r="B22" s="18">
        <v>0.52083333333333337</v>
      </c>
      <c r="C22" s="18">
        <v>0.57638888888888895</v>
      </c>
      <c r="D22" s="27">
        <v>9</v>
      </c>
    </row>
    <row r="23" spans="1:4" x14ac:dyDescent="0.3">
      <c r="A23" t="s">
        <v>39</v>
      </c>
      <c r="B23" s="18">
        <v>0.58333333333333337</v>
      </c>
      <c r="C23" s="18">
        <v>0.63888888888888895</v>
      </c>
      <c r="D23" s="27">
        <v>11</v>
      </c>
    </row>
    <row r="24" spans="1:4" x14ac:dyDescent="0.3">
      <c r="A24" t="s">
        <v>39</v>
      </c>
      <c r="B24" s="18">
        <v>0.58333333333333337</v>
      </c>
      <c r="C24" s="18">
        <v>0.63888888888888895</v>
      </c>
      <c r="D24" s="27">
        <v>11</v>
      </c>
    </row>
    <row r="25" spans="1:4" x14ac:dyDescent="0.3">
      <c r="A25" t="s">
        <v>18</v>
      </c>
      <c r="B25" s="18">
        <v>0.64583333333333337</v>
      </c>
      <c r="C25" s="18">
        <v>0.70138888888888884</v>
      </c>
      <c r="D25" s="27">
        <v>16</v>
      </c>
    </row>
    <row r="26" spans="1:4" x14ac:dyDescent="0.3">
      <c r="A26" t="s">
        <v>18</v>
      </c>
      <c r="B26" s="18">
        <v>0.64583333333333337</v>
      </c>
      <c r="C26" s="18">
        <v>0.70138888888888884</v>
      </c>
      <c r="D26" s="27">
        <v>12</v>
      </c>
    </row>
    <row r="27" spans="1:4" x14ac:dyDescent="0.3">
      <c r="A27" t="s">
        <v>18</v>
      </c>
      <c r="B27" s="18">
        <v>0.64583333333333337</v>
      </c>
      <c r="C27" s="18">
        <v>0.70138888888888884</v>
      </c>
      <c r="D27" s="27">
        <v>13</v>
      </c>
    </row>
    <row r="28" spans="1:4" x14ac:dyDescent="0.3">
      <c r="A28" t="s">
        <v>18</v>
      </c>
      <c r="B28" s="18">
        <v>0.64583333333333337</v>
      </c>
      <c r="C28" s="18">
        <v>0.70138888888888884</v>
      </c>
      <c r="D28" s="27">
        <v>12</v>
      </c>
    </row>
    <row r="29" spans="1:4" x14ac:dyDescent="0.3">
      <c r="A29" t="s">
        <v>32</v>
      </c>
      <c r="B29" s="18">
        <v>0.70833333333333337</v>
      </c>
      <c r="C29" s="18">
        <v>0.76388888888888884</v>
      </c>
      <c r="D29" s="27">
        <v>13</v>
      </c>
    </row>
    <row r="30" spans="1:4" x14ac:dyDescent="0.3">
      <c r="A30" t="s">
        <v>32</v>
      </c>
      <c r="B30" s="18">
        <v>0.70833333333333337</v>
      </c>
      <c r="C30" s="18">
        <v>0.76388888888888884</v>
      </c>
      <c r="D30" s="27">
        <v>16</v>
      </c>
    </row>
    <row r="31" spans="1:4" x14ac:dyDescent="0.3">
      <c r="A31" t="s">
        <v>32</v>
      </c>
      <c r="B31" s="18">
        <v>0.70833333333333337</v>
      </c>
      <c r="C31" s="18">
        <v>0.76388888888888884</v>
      </c>
      <c r="D31" s="27">
        <v>14</v>
      </c>
    </row>
    <row r="32" spans="1:4" x14ac:dyDescent="0.3">
      <c r="A32" t="s">
        <v>32</v>
      </c>
      <c r="B32" s="18">
        <v>0.70833333333333337</v>
      </c>
      <c r="C32" s="18">
        <v>0.76388888888888884</v>
      </c>
      <c r="D32" s="27">
        <v>15</v>
      </c>
    </row>
    <row r="33" spans="1:4" x14ac:dyDescent="0.3">
      <c r="A33" t="s">
        <v>39</v>
      </c>
      <c r="B33" s="18">
        <v>0.58333333333333337</v>
      </c>
      <c r="C33" s="18">
        <v>0.55555555555555558</v>
      </c>
      <c r="D33" s="27">
        <v>14</v>
      </c>
    </row>
    <row r="34" spans="1:4" x14ac:dyDescent="0.3">
      <c r="A34" t="s">
        <v>18</v>
      </c>
      <c r="B34" s="18">
        <v>0.64583333333333337</v>
      </c>
      <c r="C34" s="18">
        <v>0.70138888888888884</v>
      </c>
      <c r="D34" s="27">
        <v>15</v>
      </c>
    </row>
    <row r="35" spans="1:4" x14ac:dyDescent="0.3">
      <c r="A35" t="s">
        <v>40</v>
      </c>
      <c r="B35" s="18">
        <v>0.70833333333333337</v>
      </c>
      <c r="C35" s="18">
        <v>0.76388888888888884</v>
      </c>
      <c r="D35" s="27">
        <v>17</v>
      </c>
    </row>
    <row r="36" spans="1:4" x14ac:dyDescent="0.3">
      <c r="A36" t="s">
        <v>40</v>
      </c>
      <c r="B36" s="18">
        <v>0.70833333333333337</v>
      </c>
      <c r="C36" s="18">
        <v>0.76388888888888884</v>
      </c>
      <c r="D36" s="27">
        <v>18</v>
      </c>
    </row>
    <row r="37" spans="1:4" x14ac:dyDescent="0.3">
      <c r="A37" t="s">
        <v>40</v>
      </c>
      <c r="B37" s="18">
        <v>0.70833333333333337</v>
      </c>
      <c r="C37" s="18">
        <v>0.76388888888888884</v>
      </c>
      <c r="D37" s="27">
        <v>19</v>
      </c>
    </row>
    <row r="38" spans="1:4" x14ac:dyDescent="0.3">
      <c r="A38" t="s">
        <v>40</v>
      </c>
      <c r="B38" s="18">
        <v>0.70833333333333337</v>
      </c>
      <c r="C38" s="18">
        <v>0.76388888888888884</v>
      </c>
      <c r="D38" s="27">
        <v>20</v>
      </c>
    </row>
    <row r="39" spans="1:4" x14ac:dyDescent="0.3">
      <c r="A39" t="s">
        <v>44</v>
      </c>
      <c r="B39" s="18">
        <v>0.70833333333333337</v>
      </c>
      <c r="C39" s="18">
        <v>0.80555555555555547</v>
      </c>
      <c r="D39" s="27">
        <v>21</v>
      </c>
    </row>
    <row r="40" spans="1:4" x14ac:dyDescent="0.3">
      <c r="A40" t="s">
        <v>44</v>
      </c>
      <c r="B40" s="18">
        <v>0.70833333333333337</v>
      </c>
      <c r="C40" s="18">
        <v>0.80555555555555547</v>
      </c>
      <c r="D40" s="27">
        <v>22</v>
      </c>
    </row>
    <row r="41" spans="1:4" x14ac:dyDescent="0.3">
      <c r="A41" t="s">
        <v>44</v>
      </c>
      <c r="B41" s="18">
        <v>0.70833333333333337</v>
      </c>
      <c r="C41" s="18">
        <v>0.80555555555555547</v>
      </c>
      <c r="D41" s="27">
        <v>23</v>
      </c>
    </row>
    <row r="42" spans="1:4" x14ac:dyDescent="0.3">
      <c r="A42" t="s">
        <v>44</v>
      </c>
      <c r="B42" s="18">
        <v>0.70833333333333337</v>
      </c>
      <c r="C42" s="18">
        <v>0.80555555555555547</v>
      </c>
      <c r="D42" s="27">
        <v>24</v>
      </c>
    </row>
    <row r="43" spans="1:4" x14ac:dyDescent="0.3">
      <c r="A43" t="s">
        <v>45</v>
      </c>
      <c r="B43" s="18">
        <v>0.8125</v>
      </c>
      <c r="C43" s="18">
        <v>0.90972222222222221</v>
      </c>
      <c r="D43" s="27">
        <v>25</v>
      </c>
    </row>
    <row r="44" spans="1:4" x14ac:dyDescent="0.3">
      <c r="A44" t="s">
        <v>45</v>
      </c>
      <c r="B44" s="18">
        <v>0.8125</v>
      </c>
      <c r="C44" s="18">
        <v>0.90972222222222221</v>
      </c>
      <c r="D44" s="27">
        <v>26</v>
      </c>
    </row>
    <row r="45" spans="1:4" x14ac:dyDescent="0.3">
      <c r="A45" t="s">
        <v>45</v>
      </c>
      <c r="B45" s="18">
        <v>0.8125</v>
      </c>
      <c r="C45" s="18">
        <v>0.90972222222222221</v>
      </c>
      <c r="D45" s="27">
        <v>27</v>
      </c>
    </row>
    <row r="46" spans="1:4" x14ac:dyDescent="0.3">
      <c r="A46" t="s">
        <v>45</v>
      </c>
      <c r="B46" s="18">
        <v>0.8125</v>
      </c>
      <c r="C46" s="18">
        <v>0.90972222222222221</v>
      </c>
      <c r="D46" s="27">
        <v>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0"/>
  <sheetViews>
    <sheetView workbookViewId="0">
      <pane ySplit="1" topLeftCell="A3" activePane="bottomLeft" state="frozen"/>
      <selection pane="bottomLeft" activeCell="J50" sqref="J50"/>
    </sheetView>
  </sheetViews>
  <sheetFormatPr defaultColWidth="8.77734375" defaultRowHeight="14.4" x14ac:dyDescent="0.3"/>
  <cols>
    <col min="1" max="1" width="9.44140625" bestFit="1" customWidth="1"/>
  </cols>
  <sheetData>
    <row r="1" spans="1:3" x14ac:dyDescent="0.3">
      <c r="A1" s="1" t="s">
        <v>29</v>
      </c>
      <c r="B1" s="1" t="s">
        <v>10</v>
      </c>
      <c r="C1" s="1" t="s">
        <v>11</v>
      </c>
    </row>
    <row r="2" spans="1:3" x14ac:dyDescent="0.3">
      <c r="A2" t="s">
        <v>54</v>
      </c>
      <c r="B2" t="s">
        <v>12</v>
      </c>
    </row>
    <row r="3" spans="1:3" x14ac:dyDescent="0.3">
      <c r="A3" t="s">
        <v>55</v>
      </c>
      <c r="B3" t="s">
        <v>12</v>
      </c>
    </row>
    <row r="4" spans="1:3" x14ac:dyDescent="0.3">
      <c r="A4" t="s">
        <v>56</v>
      </c>
      <c r="B4" t="s">
        <v>12</v>
      </c>
    </row>
    <row r="5" spans="1:3" x14ac:dyDescent="0.3">
      <c r="A5" t="s">
        <v>58</v>
      </c>
      <c r="B5" t="s">
        <v>15</v>
      </c>
    </row>
    <row r="6" spans="1:3" x14ac:dyDescent="0.3">
      <c r="A6" t="s">
        <v>59</v>
      </c>
      <c r="B6" t="s">
        <v>15</v>
      </c>
    </row>
    <row r="7" spans="1:3" x14ac:dyDescent="0.3">
      <c r="A7" t="s">
        <v>57</v>
      </c>
      <c r="B7" t="s">
        <v>13</v>
      </c>
    </row>
    <row r="8" spans="1:3" x14ac:dyDescent="0.3">
      <c r="A8" t="s">
        <v>60</v>
      </c>
      <c r="B8" t="s">
        <v>14</v>
      </c>
    </row>
    <row r="9" spans="1:3" x14ac:dyDescent="0.3">
      <c r="A9" t="s">
        <v>61</v>
      </c>
      <c r="B9" t="s">
        <v>14</v>
      </c>
    </row>
    <row r="10" spans="1:3" x14ac:dyDescent="0.3">
      <c r="A10" t="s">
        <v>62</v>
      </c>
      <c r="B10" t="s">
        <v>16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6" sqref="F6"/>
    </sheetView>
  </sheetViews>
  <sheetFormatPr defaultColWidth="8.77734375" defaultRowHeight="14.4" x14ac:dyDescent="0.3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Input_Professor</vt:lpstr>
      <vt:lpstr>Input_Course</vt:lpstr>
      <vt:lpstr>Block_Info</vt:lpstr>
      <vt:lpstr>Solver_Professor</vt:lpstr>
      <vt:lpstr>Solver_Course</vt:lpstr>
      <vt:lpstr>Solution Data</vt:lpstr>
      <vt:lpstr>Output_Grid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dcterms:created xsi:type="dcterms:W3CDTF">2017-02-16T01:30:00Z</dcterms:created>
  <dcterms:modified xsi:type="dcterms:W3CDTF">2017-03-01T03:17:12Z</dcterms:modified>
</cp:coreProperties>
</file>