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yfeng\Desktop\"/>
    </mc:Choice>
  </mc:AlternateContent>
  <bookViews>
    <workbookView xWindow="0" yWindow="0" windowWidth="19365" windowHeight="9405" tabRatio="685"/>
  </bookViews>
  <sheets>
    <sheet name="Input_Professor" sheetId="1" r:id="rId1"/>
    <sheet name="Input_Course" sheetId="2" r:id="rId2"/>
    <sheet name="Block_Info" sheetId="9" r:id="rId3"/>
    <sheet name="PrintOut" sheetId="4" r:id="rId4"/>
    <sheet name="Calculator" sheetId="10" state="hidden" r:id="rId5"/>
  </sheets>
  <definedNames>
    <definedName name="_xlnm._FilterDatabase" localSheetId="2" hidden="1">Block_Info!$A$1:$D$45</definedName>
    <definedName name="solver_adj" localSheetId="4" hidden="1">Calculator!$I$12,Calculator!$D$12,Calculator!$E$12,Calculator!$F$12,Calculator!$C$13,Calculator!$D$13,Calculator!$E$13,Calculator!$F$14,Calculator!$G$14,Calculator!$H$14</definedName>
    <definedName name="solver_eng" localSheetId="4" hidden="1">1</definedName>
    <definedName name="solver_eng" localSheetId="1" hidden="1">1</definedName>
    <definedName name="solver_lhs1" localSheetId="4" hidden="1">Calculator!$I$12</definedName>
    <definedName name="solver_lhs10" localSheetId="4" hidden="1">Calculator!$H$14</definedName>
    <definedName name="solver_lhs11" localSheetId="4" hidden="1">Calculator!$F$17</definedName>
    <definedName name="solver_lhs12" localSheetId="4" hidden="1">Calculator!$C$20:$I$20</definedName>
    <definedName name="solver_lhs2" localSheetId="4" hidden="1">Calculator!$D$12</definedName>
    <definedName name="solver_lhs3" localSheetId="4" hidden="1">Calculator!$E$12</definedName>
    <definedName name="solver_lhs4" localSheetId="4" hidden="1">Calculator!$I$12</definedName>
    <definedName name="solver_lhs5" localSheetId="4" hidden="1">Calculator!$C$13</definedName>
    <definedName name="solver_lhs6" localSheetId="4" hidden="1">Calculator!$D$13</definedName>
    <definedName name="solver_lhs7" localSheetId="4" hidden="1">Calculator!$E$13</definedName>
    <definedName name="solver_lhs8" localSheetId="4" hidden="1">Calculator!$F$14</definedName>
    <definedName name="solver_lhs9" localSheetId="4" hidden="1">Calculator!$G$14</definedName>
    <definedName name="solver_lin" localSheetId="1" hidden="1">2</definedName>
    <definedName name="solver_neg" localSheetId="4" hidden="1">1</definedName>
    <definedName name="solver_neg" localSheetId="1" hidden="1">1</definedName>
    <definedName name="solver_num" localSheetId="4" hidden="1">12</definedName>
    <definedName name="solver_num" localSheetId="1" hidden="1">0</definedName>
    <definedName name="solver_opt" localSheetId="4" hidden="1">Calculator!$C$15</definedName>
    <definedName name="solver_opt" localSheetId="1" hidden="1">Input_Course!$J$83</definedName>
    <definedName name="solver_pre" localSheetId="4" hidden="1">0.00001</definedName>
    <definedName name="solver_rel1" localSheetId="4" hidden="1">5</definedName>
    <definedName name="solver_rel10" localSheetId="4" hidden="1">5</definedName>
    <definedName name="solver_rel11" localSheetId="4" hidden="1">3</definedName>
    <definedName name="solver_rel12" localSheetId="4" hidden="1">2</definedName>
    <definedName name="solver_rel2" localSheetId="4" hidden="1">5</definedName>
    <definedName name="solver_rel3" localSheetId="4" hidden="1">5</definedName>
    <definedName name="solver_rel4" localSheetId="4" hidden="1">5</definedName>
    <definedName name="solver_rel5" localSheetId="4" hidden="1">5</definedName>
    <definedName name="solver_rel6" localSheetId="4" hidden="1">5</definedName>
    <definedName name="solver_rel7" localSheetId="4" hidden="1">5</definedName>
    <definedName name="solver_rel8" localSheetId="4" hidden="1">5</definedName>
    <definedName name="solver_rel9" localSheetId="4" hidden="1">5</definedName>
    <definedName name="solver_rhs1" localSheetId="4" hidden="1">binary</definedName>
    <definedName name="solver_rhs10" localSheetId="4" hidden="1">binary</definedName>
    <definedName name="solver_rhs11" localSheetId="4" hidden="1">Calculator!$H$17</definedName>
    <definedName name="solver_rhs12" localSheetId="4" hidden="1">Calculator!$C$22:$I$22</definedName>
    <definedName name="solver_rhs2" localSheetId="4" hidden="1">binary</definedName>
    <definedName name="solver_rhs3" localSheetId="4" hidden="1">binary</definedName>
    <definedName name="solver_rhs4" localSheetId="4" hidden="1">binary</definedName>
    <definedName name="solver_rhs5" localSheetId="4" hidden="1">binary</definedName>
    <definedName name="solver_rhs6" localSheetId="4" hidden="1">binary</definedName>
    <definedName name="solver_rhs7" localSheetId="4" hidden="1">binary</definedName>
    <definedName name="solver_rhs8" localSheetId="4" hidden="1">binary</definedName>
    <definedName name="solver_rhs9" localSheetId="4" hidden="1">binary</definedName>
    <definedName name="solver_typ" localSheetId="4" hidden="1">1</definedName>
    <definedName name="solver_typ" localSheetId="1" hidden="1">1</definedName>
    <definedName name="solver_val" localSheetId="4" hidden="1">0</definedName>
    <definedName name="solver_val" localSheetId="1" hidden="1">0</definedName>
    <definedName name="solver_ver" localSheetId="4" hidden="1">3</definedName>
    <definedName name="solver_ver" localSheetId="1" hidden="1">2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5" i="10" l="1"/>
  <c r="H25" i="10"/>
  <c r="G25" i="10"/>
  <c r="F25" i="10"/>
  <c r="E25" i="10"/>
  <c r="D25" i="10"/>
  <c r="C25" i="10"/>
  <c r="I20" i="10"/>
  <c r="H20" i="10"/>
  <c r="G20" i="10"/>
  <c r="F20" i="10"/>
  <c r="E20" i="10"/>
  <c r="D20" i="10"/>
  <c r="C20" i="10"/>
  <c r="J12" i="10"/>
  <c r="J13" i="10"/>
  <c r="J14" i="10"/>
  <c r="F17" i="10"/>
  <c r="C15" i="10"/>
  <c r="A8" i="2"/>
  <c r="B8" i="2"/>
  <c r="C8" i="2"/>
  <c r="H8" i="2"/>
  <c r="H3" i="2"/>
  <c r="H4" i="2"/>
  <c r="H5" i="2"/>
  <c r="H6" i="2"/>
  <c r="H7" i="2"/>
  <c r="H2" i="2"/>
  <c r="B3" i="2"/>
  <c r="B4" i="2"/>
  <c r="B5" i="2"/>
  <c r="B6" i="2"/>
  <c r="B7" i="2"/>
  <c r="B2" i="2"/>
  <c r="A3" i="2"/>
  <c r="A4" i="2"/>
  <c r="A5" i="2"/>
  <c r="A6" i="2"/>
  <c r="A7" i="2"/>
  <c r="A2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CS+3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sharedStrings.xml><?xml version="1.0" encoding="utf-8"?>
<sst xmlns="http://schemas.openxmlformats.org/spreadsheetml/2006/main" count="289" uniqueCount="77">
  <si>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</si>
  <si>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</si>
  <si>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</si>
  <si>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</si>
  <si>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</si>
  <si>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</si>
  <si>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</si>
  <si>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</si>
  <si>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</si>
  <si>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</si>
  <si>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</si>
  <si>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</si>
  <si>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</si>
  <si>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</si>
  <si>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</si>
  <si>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</si>
  <si>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</si>
  <si>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</si>
  <si>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</si>
  <si>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</si>
  <si>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</si>
  <si>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</si>
  <si>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</si>
  <si>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</si>
  <si>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</si>
  <si>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</si>
  <si>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</si>
  <si>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</si>
  <si>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</si>
  <si>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</si>
  <si>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</si>
  <si>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</si>
  <si>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</si>
  <si>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</si>
  <si>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</si>
  <si>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</si>
  <si>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</si>
  <si>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</si>
  <si>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</si>
  <si>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</si>
  <si>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</si>
  <si>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 xml:space="preserve">FIN200 </t>
  </si>
  <si>
    <t>FIN200 200</t>
  </si>
  <si>
    <t>FIN200 300</t>
  </si>
  <si>
    <t>FIN200 100</t>
  </si>
  <si>
    <t>Input</t>
  </si>
  <si>
    <t>Score</t>
  </si>
  <si>
    <t>Decision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</si>
  <si>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</si>
  <si>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</si>
  <si>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</si>
  <si>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</si>
  <si>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</si>
  <si>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</si>
  <si>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</si>
  <si>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</si>
  <si>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Solution</t>
  </si>
  <si>
    <t>Course Session</t>
  </si>
  <si>
    <t>Professor 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</si>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</sst>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22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7" fillId="0" borderId="0" xfId="91" applyFill="1" applyAlignment="1">
      <alignment horizontal="center"/>
    </xf>
    <xf numFmtId="0" fontId="6" fillId="0" borderId="0" xfId="0" applyFont="1" applyFill="1" applyAlignment="1">
      <alignment horizontal="left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10" fillId="0" borderId="0" xfId="0" applyFont="1" applyAlignment="1">
      <alignment horizontal="center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numFmt numFmtId="25" formatCode="h:mm"/>
    </dxf>
    <dxf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2</xdr:row>
          <xdr:rowOff>161925</xdr:rowOff>
        </xdr:from>
        <xdr:to>
          <xdr:col>23</xdr:col>
          <xdr:colOff>95250</xdr:colOff>
          <xdr:row>4</xdr:row>
          <xdr:rowOff>104775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2: Course Scheduling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</xdr:row>
          <xdr:rowOff>19050</xdr:rowOff>
        </xdr:from>
        <xdr:to>
          <xdr:col>23</xdr:col>
          <xdr:colOff>95250</xdr:colOff>
          <xdr:row>2</xdr:row>
          <xdr:rowOff>152400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1: Professor Assignment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Professor" displayName="Professor" ref="A1:F4" totalsRowShown="0" dataDxfId="27">
  <autoFilter ref="A1:F4"/>
  <tableColumns count="6">
    <tableColumn id="1" name="Name" dataDxfId="26"/>
    <tableColumn id="2" name="Full/Part-time" dataDxfId="25"/>
    <tableColumn id="3" name="Preference_1" dataDxfId="24"/>
    <tableColumn id="4" name="Preference_2" dataDxfId="23"/>
    <tableColumn id="5" name="Preference_3" dataDxfId="22"/>
    <tableColumn id="6" name="Preference_4" dataDxfId="2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Course" displayName="Course" ref="A1:S8" totalsRowShown="0" headerRowDxfId="20" dataDxfId="19">
  <autoFilter ref="A1:S8"/>
  <tableColumns count="19">
    <tableColumn id="1" name="GRAD COURSE" dataDxfId="18">
      <calculatedColumnFormula>IF(F2="G", "TRUE","FALSE")</calculatedColumnFormula>
    </tableColumn>
    <tableColumn id="2" name="PRE-REQ FLAG" dataDxfId="17">
      <calculatedColumnFormula>IF(ISBLANK(G2),"FALSE","TRUE")</calculatedColumnFormula>
    </tableColumn>
    <tableColumn id="3" name="Course Identifier" dataDxfId="16">
      <calculatedColumnFormula>CONCATENATE(D2," ",E2)</calculatedColumnFormula>
    </tableColumn>
    <tableColumn id="4" name="Course ID" dataDxfId="15"/>
    <tableColumn id="5" name="Session ID" dataDxfId="14"/>
    <tableColumn id="6" name="Level" dataDxfId="13"/>
    <tableColumn id="7" name="Pre-req 1" dataDxfId="12"/>
    <tableColumn id="8" name="SESSION_FLAG" dataDxfId="11">
      <calculatedColumnFormula>IF(ISBLANK(E2),"FALSE","TRUE")</calculatedColumnFormula>
    </tableColumn>
    <tableColumn id="9" name="Column1" dataDxfId="10"/>
    <tableColumn id="10" name="Column2" dataDxfId="9"/>
    <tableColumn id="11" name="Column3" dataDxfId="8"/>
    <tableColumn id="12" name="Column4" dataDxfId="7"/>
    <tableColumn id="13" name="Column5" dataDxfId="6"/>
    <tableColumn id="14" name="Column6" dataDxfId="5"/>
    <tableColumn id="15" name="Column7" dataDxfId="4"/>
    <tableColumn id="16" name="Column8" dataDxfId="3"/>
    <tableColumn id="17" name="ASSIGNED_FLAG"/>
    <tableColumn id="18" name="BLOCK_ASSIGNED"/>
    <tableColumn id="19" name="PROFESSOR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1"/>
    <tableColumn id="6" name="En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"/>
  <sheetViews>
    <sheetView tabSelected="1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8.42578125" customWidth="1"/>
    <col min="2" max="2" width="15.7109375" customWidth="1"/>
    <col min="3" max="6" width="1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9" t="s">
        <v>10</v>
      </c>
      <c r="B2" s="19" t="s">
        <v>13</v>
      </c>
      <c r="C2" s="19" t="s">
        <v>67</v>
      </c>
      <c r="D2" s="19" t="s">
        <v>39</v>
      </c>
      <c r="E2" s="19" t="s">
        <v>40</v>
      </c>
      <c r="F2" s="19" t="s">
        <v>44</v>
      </c>
    </row>
    <row r="3" spans="1:6" x14ac:dyDescent="0.25">
      <c r="A3" s="19" t="s">
        <v>11</v>
      </c>
      <c r="B3" s="19" t="s">
        <v>13</v>
      </c>
      <c r="C3" s="19" t="s">
        <v>38</v>
      </c>
      <c r="D3" s="19" t="s">
        <v>39</v>
      </c>
      <c r="E3" s="19" t="s">
        <v>40</v>
      </c>
      <c r="F3" s="19"/>
    </row>
    <row r="4" spans="1:6" x14ac:dyDescent="0.25">
      <c r="A4" s="19" t="s">
        <v>12</v>
      </c>
      <c r="B4" s="19" t="s">
        <v>13</v>
      </c>
      <c r="C4" s="19" t="s">
        <v>41</v>
      </c>
      <c r="D4" s="19" t="s">
        <v>42</v>
      </c>
      <c r="E4" s="19" t="s">
        <v>43</v>
      </c>
      <c r="F4" s="19"/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17"/>
  <sheetViews>
    <sheetView topLeftCell="D1" zoomScaleNormal="100" zoomScalePageLayoutView="115" workbookViewId="0">
      <pane ySplit="1" topLeftCell="A2" activePane="bottomLeft" state="frozen"/>
      <selection pane="bottomLeft" activeCell="D1" sqref="D1"/>
    </sheetView>
  </sheetViews>
  <sheetFormatPr defaultColWidth="8.7109375" defaultRowHeight="15" x14ac:dyDescent="0.25"/>
  <cols>
    <col min="1" max="1" width="15.5703125" style="2" hidden="1" customWidth="1"/>
    <col min="2" max="2" width="15.42578125" style="2" hidden="1" customWidth="1"/>
    <col min="3" max="3" width="18.7109375" style="2" hidden="1" customWidth="1"/>
    <col min="4" max="4" width="12" style="4" customWidth="1"/>
    <col min="5" max="5" width="13" style="2" customWidth="1"/>
    <col min="6" max="6" width="7.85546875" style="2" customWidth="1"/>
    <col min="7" max="7" width="11.28515625" style="2" customWidth="1"/>
    <col min="8" max="8" width="16" style="2" hidden="1" customWidth="1"/>
    <col min="9" max="15" width="11.140625" style="2" hidden="1" customWidth="1"/>
    <col min="16" max="16" width="11.140625" style="7" hidden="1" customWidth="1"/>
    <col min="17" max="17" width="17.42578125" hidden="1" customWidth="1"/>
    <col min="18" max="18" width="19.140625" bestFit="1" customWidth="1"/>
    <col min="19" max="19" width="13.28515625" style="2" customWidth="1"/>
    <col min="20" max="20" width="1.85546875" style="2" customWidth="1"/>
    <col min="21" max="25" width="8.7109375" style="2"/>
    <col min="26" max="26" width="9.42578125" style="2" customWidth="1"/>
    <col min="27" max="16384" width="8.7109375" style="2"/>
  </cols>
  <sheetData>
    <row r="1" spans="1:28" x14ac:dyDescent="0.25">
      <c r="A1" s="8" t="s">
        <v>32</v>
      </c>
      <c r="B1" s="8" t="s">
        <v>31</v>
      </c>
      <c r="C1" s="8" t="s">
        <v>36</v>
      </c>
      <c r="D1" s="9" t="s">
        <v>6</v>
      </c>
      <c r="E1" s="8" t="s">
        <v>7</v>
      </c>
      <c r="F1" s="8" t="s">
        <v>8</v>
      </c>
      <c r="G1" s="8" t="s">
        <v>9</v>
      </c>
      <c r="H1" s="8" t="s">
        <v>35</v>
      </c>
      <c r="I1" s="8" t="s">
        <v>59</v>
      </c>
      <c r="J1" s="8" t="s">
        <v>60</v>
      </c>
      <c r="K1" s="8" t="s">
        <v>61</v>
      </c>
      <c r="L1" s="8" t="s">
        <v>62</v>
      </c>
      <c r="M1" s="8" t="s">
        <v>63</v>
      </c>
      <c r="N1" s="8" t="s">
        <v>64</v>
      </c>
      <c r="O1" s="8" t="s">
        <v>65</v>
      </c>
      <c r="P1" s="8" t="s">
        <v>66</v>
      </c>
      <c r="Q1" t="s">
        <v>75</v>
      </c>
      <c r="R1" t="s">
        <v>76</v>
      </c>
      <c r="S1" s="12" t="s">
        <v>37</v>
      </c>
      <c r="Z1"/>
      <c r="AA1"/>
      <c r="AB1"/>
    </row>
    <row r="2" spans="1:28" x14ac:dyDescent="0.25">
      <c r="A2" s="11" t="str">
        <f>IF(F2="G", "TRUE","FALSE")</f>
        <v>FALSE</v>
      </c>
      <c r="B2" s="11" t="str">
        <f>IF(ISBLANK(G2),"FALSE","TRUE")</f>
        <v>FALSE</v>
      </c>
      <c r="C2" s="10" t="str">
        <f>CONCATENATE(D2," ",E2)</f>
        <v>FIN100 100</v>
      </c>
      <c r="D2" s="15" t="s">
        <v>33</v>
      </c>
      <c r="E2" s="15">
        <v>100</v>
      </c>
      <c r="F2" s="16" t="s">
        <v>15</v>
      </c>
      <c r="G2" s="16"/>
      <c r="H2" s="11" t="str">
        <f>IF(ISBLANK(E2),"FALSE","TRUE")</f>
        <v>TRUE</v>
      </c>
      <c r="I2" s="10"/>
      <c r="J2" s="10"/>
      <c r="K2" s="10"/>
      <c r="L2" s="10"/>
      <c r="M2" s="10"/>
      <c r="N2" s="10"/>
      <c r="O2" s="10"/>
      <c r="P2" s="10"/>
      <c r="Q2" t="b">
        <v>1</v>
      </c>
      <c r="R2">
        <v>1</v>
      </c>
      <c r="S2" s="10" t="s">
        <v>11</v>
      </c>
      <c r="Z2" s="20"/>
      <c r="AA2"/>
      <c r="AB2"/>
    </row>
    <row r="3" spans="1:28" x14ac:dyDescent="0.25">
      <c r="A3" s="11" t="str">
        <f t="shared" ref="A3:A7" si="0">IF(F3="G", "TRUE","FALSE")</f>
        <v>FALSE</v>
      </c>
      <c r="B3" s="11" t="str">
        <f t="shared" ref="B3:B7" si="1">IF(ISBLANK(G3),"FALSE","TRUE")</f>
        <v>FALSE</v>
      </c>
      <c r="C3" s="10" t="str">
        <f t="shared" ref="C3:C7" si="2">CONCATENATE(D3," ",E3)</f>
        <v>FIN100 200</v>
      </c>
      <c r="D3" s="15" t="s">
        <v>33</v>
      </c>
      <c r="E3" s="15">
        <v>200</v>
      </c>
      <c r="F3" s="16" t="s">
        <v>15</v>
      </c>
      <c r="G3" s="16"/>
      <c r="H3" s="11" t="str">
        <f t="shared" ref="H3:H7" si="3">IF(ISBLANK(E3),"FALSE","TRUE")</f>
        <v>TRUE</v>
      </c>
      <c r="I3" s="10"/>
      <c r="J3" s="10"/>
      <c r="K3" s="10"/>
      <c r="L3" s="10"/>
      <c r="M3" s="10"/>
      <c r="N3" s="10"/>
      <c r="O3" s="10"/>
      <c r="P3" s="10"/>
      <c r="Q3" t="b">
        <v>1</v>
      </c>
      <c r="R3">
        <v>2</v>
      </c>
      <c r="S3" s="10" t="s">
        <v>11</v>
      </c>
      <c r="Z3" s="20"/>
      <c r="AA3"/>
      <c r="AB3"/>
    </row>
    <row r="4" spans="1:28" x14ac:dyDescent="0.25">
      <c r="A4" s="11" t="str">
        <f t="shared" si="0"/>
        <v>FALSE</v>
      </c>
      <c r="B4" s="11" t="str">
        <f t="shared" si="1"/>
        <v>FALSE</v>
      </c>
      <c r="C4" s="10" t="str">
        <f t="shared" si="2"/>
        <v>FIN100 300</v>
      </c>
      <c r="D4" s="15" t="s">
        <v>33</v>
      </c>
      <c r="E4" s="15">
        <v>300</v>
      </c>
      <c r="F4" s="16" t="s">
        <v>15</v>
      </c>
      <c r="G4" s="16"/>
      <c r="H4" s="11" t="str">
        <f t="shared" si="3"/>
        <v>TRUE</v>
      </c>
      <c r="I4" s="10"/>
      <c r="J4" s="10"/>
      <c r="K4" s="10"/>
      <c r="L4" s="10"/>
      <c r="M4" s="10"/>
      <c r="N4" s="10"/>
      <c r="O4" s="10"/>
      <c r="P4" s="10"/>
      <c r="Q4" t="b">
        <v>1</v>
      </c>
      <c r="R4">
        <v>3</v>
      </c>
      <c r="S4" s="10" t="s">
        <v>11</v>
      </c>
      <c r="Z4" s="20"/>
      <c r="AA4"/>
      <c r="AB4"/>
    </row>
    <row r="5" spans="1:28" x14ac:dyDescent="0.25">
      <c r="A5" s="11" t="str">
        <f t="shared" si="0"/>
        <v>TRUE</v>
      </c>
      <c r="B5" s="11" t="str">
        <f t="shared" si="1"/>
        <v>FALSE</v>
      </c>
      <c r="C5" s="10" t="str">
        <f t="shared" si="2"/>
        <v>FIN200 100</v>
      </c>
      <c r="D5" s="15" t="s">
        <v>34</v>
      </c>
      <c r="E5" s="15">
        <v>100</v>
      </c>
      <c r="F5" s="16" t="s">
        <v>16</v>
      </c>
      <c r="G5" s="16"/>
      <c r="H5" s="11" t="str">
        <f t="shared" si="3"/>
        <v>TRUE</v>
      </c>
      <c r="I5" s="10"/>
      <c r="J5" s="10"/>
      <c r="K5" s="10"/>
      <c r="L5" s="10"/>
      <c r="M5" s="10"/>
      <c r="N5" s="10"/>
      <c r="O5" s="10"/>
      <c r="P5" s="10"/>
      <c r="Q5" t="b">
        <v>1</v>
      </c>
      <c r="R5">
        <v>21</v>
      </c>
      <c r="S5" s="10" t="s">
        <v>12</v>
      </c>
      <c r="Z5"/>
      <c r="AA5"/>
      <c r="AB5"/>
    </row>
    <row r="6" spans="1:28" x14ac:dyDescent="0.25">
      <c r="A6" s="11" t="str">
        <f t="shared" si="0"/>
        <v>TRUE</v>
      </c>
      <c r="B6" s="11" t="str">
        <f t="shared" si="1"/>
        <v>FALSE</v>
      </c>
      <c r="C6" s="10" t="str">
        <f t="shared" si="2"/>
        <v>FIN200 200</v>
      </c>
      <c r="D6" s="15" t="s">
        <v>34</v>
      </c>
      <c r="E6" s="15">
        <v>200</v>
      </c>
      <c r="F6" s="16" t="s">
        <v>16</v>
      </c>
      <c r="G6" s="16"/>
      <c r="H6" s="11" t="str">
        <f t="shared" si="3"/>
        <v>TRUE</v>
      </c>
      <c r="I6" s="10"/>
      <c r="J6" s="10"/>
      <c r="K6" s="10"/>
      <c r="L6" s="10"/>
      <c r="M6" s="10"/>
      <c r="N6" s="10"/>
      <c r="O6" s="10"/>
      <c r="P6" s="10"/>
      <c r="Q6" t="b">
        <v>1</v>
      </c>
      <c r="R6">
        <v>22</v>
      </c>
      <c r="S6" s="10" t="s">
        <v>12</v>
      </c>
      <c r="Z6"/>
      <c r="AA6"/>
      <c r="AB6"/>
    </row>
    <row r="7" spans="1:28" x14ac:dyDescent="0.25">
      <c r="A7" s="11" t="str">
        <f t="shared" si="0"/>
        <v>TRUE</v>
      </c>
      <c r="B7" s="11" t="str">
        <f t="shared" si="1"/>
        <v>FALSE</v>
      </c>
      <c r="C7" s="10" t="str">
        <f t="shared" si="2"/>
        <v>FIN200 300</v>
      </c>
      <c r="D7" s="15" t="s">
        <v>34</v>
      </c>
      <c r="E7" s="15">
        <v>300</v>
      </c>
      <c r="F7" s="16" t="s">
        <v>16</v>
      </c>
      <c r="G7" s="16"/>
      <c r="H7" s="11" t="str">
        <f t="shared" si="3"/>
        <v>TRUE</v>
      </c>
      <c r="I7" s="10"/>
      <c r="J7" s="10"/>
      <c r="K7" s="10"/>
      <c r="L7" s="10"/>
      <c r="M7" s="10"/>
      <c r="N7" s="10"/>
      <c r="O7" s="10"/>
      <c r="P7" s="10"/>
      <c r="Q7" t="b">
        <v>1</v>
      </c>
      <c r="R7">
        <v>23</v>
      </c>
      <c r="S7" s="10" t="s">
        <v>12</v>
      </c>
      <c r="Z7"/>
      <c r="AA7"/>
      <c r="AB7"/>
    </row>
    <row r="8" spans="1:28" s="3" customFormat="1" x14ac:dyDescent="0.25">
      <c r="A8" s="13" t="str">
        <f>IF(F8="G", "TRUE","FALSE")</f>
        <v>TRUE</v>
      </c>
      <c r="B8" s="13" t="str">
        <f>IF(ISBLANK(G8),"FALSE","TRUE")</f>
        <v>TRUE</v>
      </c>
      <c r="C8" s="14" t="str">
        <f>CONCATENATE(D8," ",E8)</f>
        <v>FIN300 100</v>
      </c>
      <c r="D8" s="17" t="s">
        <v>68</v>
      </c>
      <c r="E8" s="17">
        <v>100</v>
      </c>
      <c r="F8" s="18" t="s">
        <v>16</v>
      </c>
      <c r="G8" s="18" t="s">
        <v>34</v>
      </c>
      <c r="H8" s="13" t="str">
        <f>IF(ISBLANK(E8),"FALSE","TRUE")</f>
        <v>TRUE</v>
      </c>
      <c r="I8" s="14"/>
      <c r="J8" s="14"/>
      <c r="K8" s="14"/>
      <c r="L8" s="14"/>
      <c r="M8" s="14"/>
      <c r="N8" s="14"/>
      <c r="O8" s="14"/>
      <c r="P8" s="14"/>
      <c r="Q8" t="b">
        <v>1</v>
      </c>
      <c r="R8">
        <v>24</v>
      </c>
      <c r="S8" s="14" t="s">
        <v>10</v>
      </c>
      <c r="Z8"/>
      <c r="AA8"/>
      <c r="AB8"/>
    </row>
    <row r="9" spans="1:28" s="3" customFormat="1" x14ac:dyDescent="0.25">
      <c r="D9" s="5"/>
      <c r="Q9"/>
      <c r="R9"/>
      <c r="Z9"/>
      <c r="AA9"/>
      <c r="AB9"/>
    </row>
    <row r="10" spans="1:28" x14ac:dyDescent="0.25">
      <c r="Z10"/>
      <c r="AA10"/>
      <c r="AB10"/>
    </row>
    <row r="11" spans="1:28" s="3" customFormat="1" x14ac:dyDescent="0.25">
      <c r="D11" s="5"/>
      <c r="Q11"/>
      <c r="R11"/>
      <c r="Z11"/>
      <c r="AA11"/>
      <c r="AB11"/>
    </row>
    <row r="12" spans="1:28" s="3" customFormat="1" x14ac:dyDescent="0.25">
      <c r="D12" s="5"/>
      <c r="Q12"/>
      <c r="R12"/>
      <c r="Z12"/>
      <c r="AA12"/>
      <c r="AB12"/>
    </row>
    <row r="13" spans="1:28" x14ac:dyDescent="0.25">
      <c r="Z13"/>
      <c r="AA13"/>
      <c r="AB13"/>
    </row>
    <row r="14" spans="1:28" x14ac:dyDescent="0.25">
      <c r="Z14"/>
      <c r="AA14"/>
      <c r="AB14"/>
    </row>
    <row r="15" spans="1:28" s="3" customFormat="1" x14ac:dyDescent="0.25">
      <c r="D15" s="5"/>
      <c r="Q15"/>
      <c r="R15"/>
      <c r="Z15"/>
      <c r="AA15"/>
      <c r="AB15"/>
    </row>
    <row r="16" spans="1:28" s="3" customFormat="1" x14ac:dyDescent="0.25">
      <c r="D16" s="5"/>
      <c r="Q16"/>
      <c r="R16"/>
      <c r="Z16"/>
      <c r="AA16"/>
      <c r="AB16"/>
    </row>
    <row r="17" spans="26:28" x14ac:dyDescent="0.25">
      <c r="Z17"/>
      <c r="AA17"/>
      <c r="AB17"/>
    </row>
    <row r="18" spans="26:28" x14ac:dyDescent="0.25">
      <c r="Z18"/>
      <c r="AA18"/>
      <c r="AB18"/>
    </row>
    <row r="83" spans="5:7" x14ac:dyDescent="0.25">
      <c r="E83" s="4"/>
    </row>
    <row r="84" spans="5:7" x14ac:dyDescent="0.25">
      <c r="E84" s="4"/>
    </row>
    <row r="85" spans="5:7" x14ac:dyDescent="0.25">
      <c r="E85" s="4"/>
    </row>
    <row r="86" spans="5:7" x14ac:dyDescent="0.25">
      <c r="E86" s="4"/>
      <c r="G86" s="4"/>
    </row>
    <row r="87" spans="5:7" x14ac:dyDescent="0.25">
      <c r="E87" s="4"/>
      <c r="G87" s="4"/>
    </row>
    <row r="88" spans="5:7" x14ac:dyDescent="0.25">
      <c r="E88" s="4"/>
      <c r="G88" s="4"/>
    </row>
    <row r="89" spans="5:7" x14ac:dyDescent="0.25">
      <c r="E89" s="4"/>
    </row>
    <row r="90" spans="5:7" x14ac:dyDescent="0.25">
      <c r="E90" s="4"/>
    </row>
    <row r="91" spans="5:7" x14ac:dyDescent="0.25">
      <c r="E91" s="4"/>
    </row>
    <row r="102" spans="4:5" x14ac:dyDescent="0.25">
      <c r="E102" s="6"/>
    </row>
    <row r="103" spans="4:5" x14ac:dyDescent="0.25">
      <c r="E103" s="6"/>
    </row>
    <row r="104" spans="4:5" x14ac:dyDescent="0.25">
      <c r="D104" s="2"/>
    </row>
    <row r="105" spans="4:5" x14ac:dyDescent="0.25">
      <c r="D105" s="2"/>
    </row>
    <row r="106" spans="4:5" x14ac:dyDescent="0.25">
      <c r="D106" s="2"/>
    </row>
    <row r="107" spans="4:5" x14ac:dyDescent="0.25">
      <c r="D107" s="2"/>
    </row>
    <row r="108" spans="4:5" x14ac:dyDescent="0.25">
      <c r="D108" s="2"/>
    </row>
    <row r="109" spans="4:5" x14ac:dyDescent="0.25">
      <c r="D109" s="2"/>
    </row>
    <row r="110" spans="4:5" x14ac:dyDescent="0.25">
      <c r="D110" s="2"/>
    </row>
    <row r="111" spans="4:5" x14ac:dyDescent="0.25">
      <c r="D111" s="2"/>
    </row>
    <row r="112" spans="4:5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</sheetData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3" name="Button 17">
              <controlPr defaultSize="0" print="0" autoFill="0" autoPict="0" macro="[0]!courseSolverMacro">
                <anchor moveWithCells="1" sizeWithCells="1">
                  <from>
                    <xdr:col>20</xdr:col>
                    <xdr:colOff>19050</xdr:colOff>
                    <xdr:row>2</xdr:row>
                    <xdr:rowOff>161925</xdr:rowOff>
                  </from>
                  <to>
                    <xdr:col>23</xdr:col>
                    <xdr:colOff>95250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4" name="Button 18">
              <controlPr defaultSize="0" print="0" autoFill="0" autoPict="0" macro="[0]!AssignProfessor">
                <anchor moveWithCells="1">
                  <from>
                    <xdr:col>20</xdr:col>
                    <xdr:colOff>19050</xdr:colOff>
                    <xdr:row>1</xdr:row>
                    <xdr:rowOff>19050</xdr:rowOff>
                  </from>
                  <to>
                    <xdr:col>23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34" sqref="F34"/>
    </sheetView>
  </sheetViews>
  <sheetFormatPr defaultColWidth="8.7109375" defaultRowHeight="15" x14ac:dyDescent="0.25"/>
  <cols>
    <col min="1" max="1" width="7.85546875" customWidth="1"/>
    <col min="2" max="2" width="9.85546875" customWidth="1"/>
    <col min="4" max="4" width="11" customWidth="1"/>
  </cols>
  <sheetData>
    <row r="1" spans="1:20" x14ac:dyDescent="0.25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25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25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25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25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25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25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25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25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25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25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25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25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25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25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25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25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25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25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25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25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25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25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25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25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25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25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25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25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25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25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25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25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25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25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25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25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25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25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25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25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25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25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25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25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"/>
  <sheetViews>
    <sheetView workbookViewId="0">
      <selection activeCell="G7" sqref="G7"/>
    </sheetView>
  </sheetViews>
  <sheetFormatPr defaultColWidth="8.7109375" defaultRowHeight="15" x14ac:dyDescent="0.25"/>
  <cols>
    <col min="2" max="2" width="9.140625" bestFit="1" customWidth="1"/>
    <col min="3" max="3" width="8.85546875" bestFit="1" customWidth="1"/>
    <col min="4" max="4" width="12.140625" bestFit="1" customWidth="1"/>
    <col min="5" max="5" width="10.28515625" bestFit="1" customWidth="1"/>
    <col min="6" max="6" width="7.28515625" bestFit="1" customWidth="1"/>
  </cols>
  <sheetData>
    <row r="1" spans="1:6" x14ac:dyDescent="0.25">
      <c r="A1" s="21" t="s">
        <v>69</v>
      </c>
      <c r="B1" s="21"/>
      <c r="C1" s="21"/>
      <c r="D1" s="21"/>
      <c r="E1" s="21"/>
      <c r="F1" s="21"/>
    </row>
    <row r="2" spans="1:6" x14ac:dyDescent="0.25">
      <c r="B2" t="s">
        <v>70</v>
      </c>
      <c r="C2" t="s">
        <v>71</v>
      </c>
      <c r="D2" t="s">
        <v>72</v>
      </c>
      <c r="E2" t="s">
        <v>73</v>
      </c>
      <c r="F2" t="s">
        <v>74</v>
      </c>
    </row>
    <row r="3" spans="1:6" x14ac:dyDescent="0.25">
      <c r="B3">
        <v>1</v>
      </c>
      <c r="C3">
        <v>2</v>
      </c>
      <c r="D3">
        <v>1</v>
      </c>
      <c r="E3">
        <v>3</v>
      </c>
      <c r="F3">
        <v>2</v>
      </c>
    </row>
  </sheetData>
  <mergeCells count="1">
    <mergeCell ref="A1:F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4"/>
  <sheetViews>
    <sheetView topLeftCell="A16" workbookViewId="0">
      <selection activeCell="A27" sqref="A27:B34"/>
    </sheetView>
  </sheetViews>
  <sheetFormatPr defaultRowHeight="15" x14ac:dyDescent="0.25"/>
  <sheetData>
    <row r="1" spans="1:10" x14ac:dyDescent="0.25">
      <c r="A1" t="s">
        <v>45</v>
      </c>
      <c r="B1" t="s">
        <v>1</v>
      </c>
      <c r="C1" t="s">
        <v>38</v>
      </c>
      <c r="D1" t="s">
        <v>39</v>
      </c>
      <c r="E1" t="s">
        <v>40</v>
      </c>
      <c r="F1" t="s">
        <v>44</v>
      </c>
      <c r="G1" t="s">
        <v>42</v>
      </c>
      <c r="H1" t="s">
        <v>43</v>
      </c>
      <c r="I1" t="s">
        <v>67</v>
      </c>
    </row>
    <row r="2" spans="1:10" x14ac:dyDescent="0.25">
      <c r="A2" t="s">
        <v>10</v>
      </c>
      <c r="B2" t="s">
        <v>13</v>
      </c>
      <c r="D2">
        <v>3</v>
      </c>
      <c r="E2">
        <v>2</v>
      </c>
      <c r="F2">
        <v>1</v>
      </c>
      <c r="I2">
        <v>4</v>
      </c>
    </row>
    <row r="3" spans="1:10" x14ac:dyDescent="0.25">
      <c r="A3" t="s">
        <v>11</v>
      </c>
      <c r="B3" t="s">
        <v>13</v>
      </c>
      <c r="C3">
        <v>4</v>
      </c>
      <c r="D3">
        <v>3</v>
      </c>
      <c r="E3">
        <v>2</v>
      </c>
    </row>
    <row r="4" spans="1:10" x14ac:dyDescent="0.25">
      <c r="A4" t="s">
        <v>12</v>
      </c>
      <c r="B4" t="s">
        <v>13</v>
      </c>
      <c r="F4">
        <v>4</v>
      </c>
      <c r="G4">
        <v>3</v>
      </c>
      <c r="H4">
        <v>2</v>
      </c>
    </row>
    <row r="6" spans="1:10" x14ac:dyDescent="0.25">
      <c r="A6" t="s">
        <v>46</v>
      </c>
      <c r="B6" t="s">
        <v>1</v>
      </c>
      <c r="C6" t="s">
        <v>38</v>
      </c>
      <c r="D6" t="s">
        <v>39</v>
      </c>
      <c r="E6" t="s">
        <v>40</v>
      </c>
      <c r="F6" t="s">
        <v>44</v>
      </c>
      <c r="G6" t="s">
        <v>42</v>
      </c>
      <c r="H6" t="s">
        <v>43</v>
      </c>
      <c r="I6" t="s">
        <v>67</v>
      </c>
    </row>
    <row r="7" spans="1:10" x14ac:dyDescent="0.25">
      <c r="A7" t="s">
        <v>10</v>
      </c>
      <c r="B7" t="s">
        <v>13</v>
      </c>
      <c r="D7">
        <v>0.30000001192092896</v>
      </c>
      <c r="E7">
        <v>0.20000000298023224</v>
      </c>
      <c r="F7">
        <v>0.10000000149011612</v>
      </c>
      <c r="I7">
        <v>0.40000000596046448</v>
      </c>
    </row>
    <row r="8" spans="1:10" x14ac:dyDescent="0.25">
      <c r="A8" t="s">
        <v>11</v>
      </c>
      <c r="B8" t="s">
        <v>13</v>
      </c>
      <c r="C8">
        <v>0.4444444477558136</v>
      </c>
      <c r="D8">
        <v>0.3333333432674408</v>
      </c>
      <c r="E8">
        <v>0.2222222238779068</v>
      </c>
    </row>
    <row r="9" spans="1:10" x14ac:dyDescent="0.25">
      <c r="A9" t="s">
        <v>12</v>
      </c>
      <c r="B9" t="s">
        <v>13</v>
      </c>
      <c r="F9">
        <v>0.4444444477558136</v>
      </c>
      <c r="G9">
        <v>0.3333333432674408</v>
      </c>
      <c r="H9">
        <v>0.2222222238779068</v>
      </c>
    </row>
    <row r="11" spans="1:10" x14ac:dyDescent="0.25">
      <c r="A11" t="s">
        <v>47</v>
      </c>
      <c r="B11" t="s">
        <v>1</v>
      </c>
      <c r="C11" t="s">
        <v>38</v>
      </c>
      <c r="D11" t="s">
        <v>39</v>
      </c>
      <c r="E11" t="s">
        <v>40</v>
      </c>
      <c r="F11" t="s">
        <v>44</v>
      </c>
      <c r="G11" t="s">
        <v>42</v>
      </c>
      <c r="H11" t="s">
        <v>43</v>
      </c>
      <c r="I11" t="s">
        <v>67</v>
      </c>
    </row>
    <row r="12" spans="1:10" x14ac:dyDescent="0.25">
      <c r="A12" t="s">
        <v>10</v>
      </c>
      <c r="B12">
        <v>1</v>
      </c>
      <c r="D12">
        <v>0</v>
      </c>
      <c r="E12">
        <v>0</v>
      </c>
      <c r="F12">
        <v>0</v>
      </c>
      <c r="I12">
        <v>1</v>
      </c>
      <c r="J12">
        <f>SUM($C$12:$I$12)</f>
        <v>1</v>
      </c>
    </row>
    <row r="13" spans="1:10" x14ac:dyDescent="0.25">
      <c r="A13" t="s">
        <v>11</v>
      </c>
      <c r="B13">
        <v>1</v>
      </c>
      <c r="C13">
        <v>1</v>
      </c>
      <c r="D13">
        <v>1</v>
      </c>
      <c r="E13">
        <v>1</v>
      </c>
      <c r="J13">
        <f>SUM($C$13:$I$13)</f>
        <v>3</v>
      </c>
    </row>
    <row r="14" spans="1:10" x14ac:dyDescent="0.25">
      <c r="A14" t="s">
        <v>12</v>
      </c>
      <c r="B14">
        <v>1</v>
      </c>
      <c r="F14">
        <v>1</v>
      </c>
      <c r="G14">
        <v>1</v>
      </c>
      <c r="H14">
        <v>1</v>
      </c>
      <c r="J14">
        <f>SUM($C$14:$I$14)</f>
        <v>3</v>
      </c>
    </row>
    <row r="15" spans="1:10" x14ac:dyDescent="0.25">
      <c r="A15" t="s">
        <v>48</v>
      </c>
      <c r="C15">
        <f>SUMPRODUCT($C$7:$I$9,$C$12:$I$14)</f>
        <v>2.4000000357627869</v>
      </c>
      <c r="D15" t="s">
        <v>49</v>
      </c>
    </row>
    <row r="17" spans="1:9" x14ac:dyDescent="0.25">
      <c r="A17" t="s">
        <v>50</v>
      </c>
      <c r="C17" t="s">
        <v>51</v>
      </c>
      <c r="F17">
        <f>IF(SUM($J$12:$J$14)=0,0,SUMPRODUCT($B$12:$B$14,$J$12:$J$14)/SUM($J$12:$J$14))</f>
        <v>1</v>
      </c>
      <c r="G17" t="s">
        <v>52</v>
      </c>
      <c r="H17">
        <v>0.75</v>
      </c>
    </row>
    <row r="18" spans="1:9" x14ac:dyDescent="0.25">
      <c r="C18" t="s">
        <v>53</v>
      </c>
    </row>
    <row r="19" spans="1:9" x14ac:dyDescent="0.25">
      <c r="C19" t="s">
        <v>54</v>
      </c>
    </row>
    <row r="20" spans="1:9" x14ac:dyDescent="0.25">
      <c r="C20">
        <f>SUM($C$12:$C$14)</f>
        <v>1</v>
      </c>
      <c r="D20">
        <f>SUM($D$12:$D$14)</f>
        <v>1</v>
      </c>
      <c r="E20">
        <f>SUM($E$12:$E$14)</f>
        <v>1</v>
      </c>
      <c r="F20">
        <f>SUM($F$12:$F$14)</f>
        <v>1</v>
      </c>
      <c r="G20">
        <f>SUM($G$12:$G$14)</f>
        <v>1</v>
      </c>
      <c r="H20">
        <f>SUM($H$12:$H$14)</f>
        <v>1</v>
      </c>
      <c r="I20">
        <f>SUM($I$12:$I$14)</f>
        <v>1</v>
      </c>
    </row>
    <row r="21" spans="1:9" x14ac:dyDescent="0.25">
      <c r="C21" t="s">
        <v>55</v>
      </c>
      <c r="D21" t="s">
        <v>55</v>
      </c>
      <c r="E21" t="s">
        <v>55</v>
      </c>
      <c r="F21" t="s">
        <v>55</v>
      </c>
      <c r="G21" t="s">
        <v>55</v>
      </c>
      <c r="H21" t="s">
        <v>55</v>
      </c>
      <c r="I21" t="s">
        <v>55</v>
      </c>
    </row>
    <row r="22" spans="1:9" x14ac:dyDescent="0.25"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4" spans="1:9" x14ac:dyDescent="0.25">
      <c r="A24" t="s">
        <v>56</v>
      </c>
      <c r="B24" t="s">
        <v>57</v>
      </c>
      <c r="C24" t="s">
        <v>38</v>
      </c>
      <c r="D24" t="s">
        <v>39</v>
      </c>
      <c r="E24" t="s">
        <v>40</v>
      </c>
      <c r="F24" t="s">
        <v>44</v>
      </c>
      <c r="G24" t="s">
        <v>42</v>
      </c>
      <c r="H24" t="s">
        <v>43</v>
      </c>
      <c r="I24" t="s">
        <v>67</v>
      </c>
    </row>
    <row r="25" spans="1:9" x14ac:dyDescent="0.25">
      <c r="B25" t="s">
        <v>58</v>
      </c>
      <c r="C25" t="str">
        <f>IFERROR(INDEX($A$12:$A$14,MATCH(1,$C$12:$C$14,0)),"TBD")</f>
        <v>C, D</v>
      </c>
      <c r="D25" t="str">
        <f>IFERROR(INDEX($A$12:$A$14,MATCH(1,$D$12:$D$14,0)),"TBD")</f>
        <v>C, D</v>
      </c>
      <c r="E25" t="str">
        <f>IFERROR(INDEX($A$12:$A$14,MATCH(1,$E$12:$E$14,0)),"TBD")</f>
        <v>C, D</v>
      </c>
      <c r="F25" t="str">
        <f>IFERROR(INDEX($A$12:$A$14,MATCH(1,$F$12:$F$14,0)),"TBD")</f>
        <v>E, F</v>
      </c>
      <c r="G25" t="str">
        <f>IFERROR(INDEX($A$12:$A$14,MATCH(1,$G$12:$G$14,0)),"TBD")</f>
        <v>E, F</v>
      </c>
      <c r="H25" t="str">
        <f>IFERROR(INDEX($A$12:$A$14,MATCH(1,$H$12:$H$14,0)),"TBD")</f>
        <v>E, F</v>
      </c>
      <c r="I25" t="str">
        <f>IFERROR(INDEX($A$12:$A$14,MATCH(1,$I$12:$I$14,0)),"TBD")</f>
        <v>A, B</v>
      </c>
    </row>
    <row r="27" spans="1:9" x14ac:dyDescent="0.25">
      <c r="A27" t="s">
        <v>57</v>
      </c>
      <c r="B27" t="s">
        <v>58</v>
      </c>
    </row>
    <row r="28" spans="1:9" x14ac:dyDescent="0.25">
      <c r="A28" t="s">
        <v>38</v>
      </c>
      <c r="B28" t="s">
        <v>11</v>
      </c>
    </row>
    <row r="29" spans="1:9" x14ac:dyDescent="0.25">
      <c r="A29" t="s">
        <v>39</v>
      </c>
      <c r="B29" t="s">
        <v>11</v>
      </c>
    </row>
    <row r="30" spans="1:9" x14ac:dyDescent="0.25">
      <c r="A30" t="s">
        <v>40</v>
      </c>
      <c r="B30" t="s">
        <v>11</v>
      </c>
    </row>
    <row r="31" spans="1:9" x14ac:dyDescent="0.25">
      <c r="A31" t="s">
        <v>44</v>
      </c>
      <c r="B31" t="s">
        <v>12</v>
      </c>
    </row>
    <row r="32" spans="1:9" x14ac:dyDescent="0.25">
      <c r="A32" t="s">
        <v>42</v>
      </c>
      <c r="B32" t="s">
        <v>12</v>
      </c>
    </row>
    <row r="33" spans="1:2" x14ac:dyDescent="0.25">
      <c r="A33" t="s">
        <v>43</v>
      </c>
      <c r="B33" t="s">
        <v>12</v>
      </c>
    </row>
    <row r="34" spans="1:2" x14ac:dyDescent="0.25">
      <c r="A34" t="s">
        <v>67</v>
      </c>
      <c r="B3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Input_Professor</vt:lpstr>
      <vt:lpstr>Input_Course</vt:lpstr>
      <vt:lpstr>Block_Info</vt:lpstr>
      <vt:lpstr>PrintOut</vt:lpstr>
      <vt:lpstr>Calculator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2017-02-16T01:30:00Z</dcterms:created>
  <dcterms:modified xsi:type="dcterms:W3CDTF">2017-03-01T19:15:01Z</dcterms:modified>
</cp:coreProperties>
</file>