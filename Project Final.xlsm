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19365" windowHeight="9405" tabRatio="685" activeTab="1"/>
  </bookViews>
  <sheets>
    <sheet name="Input_Professor" sheetId="1" r:id="rId1"/>
    <sheet name="Input_Course" sheetId="2" r:id="rId2"/>
    <sheet name="Block_Info" sheetId="9" r:id="rId3"/>
    <sheet name="PrintOut" sheetId="4" r:id="rId4"/>
    <sheet name="Calculator" sheetId="10" state="hidden" r:id="rId5"/>
  </sheets>
  <definedNames>
    <definedName name="_xlnm._FilterDatabase" localSheetId="2" hidden="1">Block_Info!$A$1:$D$45</definedName>
    <definedName name="solver_adj" localSheetId="4" hidden="1">Calculator!$I$12,Calculator!$D$12,Calculator!$E$12,Calculator!$F$12,Calculator!$C$13,Calculator!$D$13,Calculator!$E$13,Calculator!$F$14,Calculator!$G$14,Calculator!$H$14</definedName>
    <definedName name="solver_eng" localSheetId="4" hidden="1">1</definedName>
    <definedName name="solver_eng" localSheetId="1" hidden="1">1</definedName>
    <definedName name="solver_lhs1" localSheetId="4" hidden="1">Calculator!$I$12</definedName>
    <definedName name="solver_lhs10" localSheetId="4" hidden="1">Calculator!$H$14</definedName>
    <definedName name="solver_lhs11" localSheetId="4" hidden="1">Calculator!$F$17</definedName>
    <definedName name="solver_lhs12" localSheetId="4" hidden="1">Calculator!$C$20:$I$20</definedName>
    <definedName name="solver_lhs2" localSheetId="4" hidden="1">Calculator!$D$12</definedName>
    <definedName name="solver_lhs3" localSheetId="4" hidden="1">Calculator!$E$12</definedName>
    <definedName name="solver_lhs4" localSheetId="4" hidden="1">Calculator!$I$12</definedName>
    <definedName name="solver_lhs5" localSheetId="4" hidden="1">Calculator!$C$13</definedName>
    <definedName name="solver_lhs6" localSheetId="4" hidden="1">Calculator!$D$13</definedName>
    <definedName name="solver_lhs7" localSheetId="4" hidden="1">Calculator!$E$13</definedName>
    <definedName name="solver_lhs8" localSheetId="4" hidden="1">Calculator!$F$14</definedName>
    <definedName name="solver_lhs9" localSheetId="4" hidden="1">Calculator!$G$14</definedName>
    <definedName name="solver_lin" localSheetId="1" hidden="1">2</definedName>
    <definedName name="solver_neg" localSheetId="4" hidden="1">1</definedName>
    <definedName name="solver_neg" localSheetId="1" hidden="1">1</definedName>
    <definedName name="solver_num" localSheetId="4" hidden="1">12</definedName>
    <definedName name="solver_num" localSheetId="1" hidden="1">0</definedName>
    <definedName name="solver_opt" localSheetId="4" hidden="1">Calculator!$C$15</definedName>
    <definedName name="solver_opt" localSheetId="1" hidden="1">Input_Course!$J$83</definedName>
    <definedName name="solver_pre" localSheetId="4" hidden="1">0.00001</definedName>
    <definedName name="solver_rel1" localSheetId="4" hidden="1">5</definedName>
    <definedName name="solver_rel10" localSheetId="4" hidden="1">5</definedName>
    <definedName name="solver_rel11" localSheetId="4" hidden="1">3</definedName>
    <definedName name="solver_rel12" localSheetId="4" hidden="1">2</definedName>
    <definedName name="solver_rel2" localSheetId="4" hidden="1">5</definedName>
    <definedName name="solver_rel3" localSheetId="4" hidden="1">5</definedName>
    <definedName name="solver_rel4" localSheetId="4" hidden="1">5</definedName>
    <definedName name="solver_rel5" localSheetId="4" hidden="1">5</definedName>
    <definedName name="solver_rel6" localSheetId="4" hidden="1">5</definedName>
    <definedName name="solver_rel7" localSheetId="4" hidden="1">5</definedName>
    <definedName name="solver_rel8" localSheetId="4" hidden="1">5</definedName>
    <definedName name="solver_rel9" localSheetId="4" hidden="1">5</definedName>
    <definedName name="solver_rhs1" localSheetId="4" hidden="1">binary</definedName>
    <definedName name="solver_rhs10" localSheetId="4" hidden="1">binary</definedName>
    <definedName name="solver_rhs11" localSheetId="4" hidden="1">Calculator!$H$17</definedName>
    <definedName name="solver_rhs12" localSheetId="4" hidden="1">Calculator!$C$22:$I$22</definedName>
    <definedName name="solver_rhs2" localSheetId="4" hidden="1">binary</definedName>
    <definedName name="solver_rhs3" localSheetId="4" hidden="1">binary</definedName>
    <definedName name="solver_rhs4" localSheetId="4" hidden="1">binary</definedName>
    <definedName name="solver_rhs5" localSheetId="4" hidden="1">binary</definedName>
    <definedName name="solver_rhs6" localSheetId="4" hidden="1">binary</definedName>
    <definedName name="solver_rhs7" localSheetId="4" hidden="1">binary</definedName>
    <definedName name="solver_rhs8" localSheetId="4" hidden="1">binary</definedName>
    <definedName name="solver_rhs9" localSheetId="4" hidden="1">binary</definedName>
    <definedName name="solver_typ" localSheetId="4" hidden="1">1</definedName>
    <definedName name="solver_typ" localSheetId="1" hidden="1">1</definedName>
    <definedName name="solver_val" localSheetId="4" hidden="1">0</definedName>
    <definedName name="solver_val" localSheetId="1" hidden="1">0</definedName>
    <definedName name="solver_ver" localSheetId="4" hidden="1">3</definedName>
    <definedName name="solver_ver" localSheetId="1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0" l="1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A8" i="2"/>
  <c r="B8" i="2"/>
  <c r="C8" i="2"/>
  <c r="H8" i="2"/>
  <c r="H3" i="2"/>
  <c r="H4" i="2"/>
  <c r="H5" i="2"/>
  <c r="H6" i="2"/>
  <c r="H7" i="2"/>
  <c r="H2" i="2"/>
  <c r="B3" i="2"/>
  <c r="B4" i="2"/>
  <c r="B5" i="2"/>
  <c r="B6" i="2"/>
  <c r="B7" i="2"/>
  <c r="B2" i="2"/>
  <c r="A3" i="2"/>
  <c r="A4" i="2"/>
  <c r="A5" i="2"/>
  <c r="A6" i="2"/>
  <c r="A7" i="2"/>
  <c r="A2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<sst xmlns="http://schemas.openxmlformats.org/spreadsheetml/2006/main" count="288" uniqueCount="77">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</sst>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21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10" fillId="0" borderId="0" xfId="0" applyFont="1" applyAlignment="1">
      <alignment horizontal="center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161925</xdr:rowOff>
        </xdr:from>
        <xdr:to>
          <xdr:col>23</xdr:col>
          <xdr:colOff>95250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8" totalsRowShown="0" headerRowDxfId="20" dataDxfId="19">
  <autoFilter ref="A1:S8"/>
  <tableColumns count="19">
    <tableColumn id="1" name="GRAD COURSE" dataDxfId="18">
      <calculatedColumnFormula>IF(F2="G", "TRUE","FALSE")</calculatedColumnFormula>
    </tableColumn>
    <tableColumn id="2" name="PRE-REQ FLAG" dataDxfId="17">
      <calculatedColumnFormula>IF(ISBLANK(G2),"FALSE","TRUE")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IF(ISBLANK(E2),"FALSE","TRUE")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8.42578125" customWidth="1"/>
    <col min="2" max="2" width="15.7109375" customWidth="1"/>
    <col min="3" max="6" width="1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17"/>
  <sheetViews>
    <sheetView tabSelected="1" topLeftCell="D1" zoomScaleNormal="100" zoomScalePageLayoutView="115" workbookViewId="0">
      <pane ySplit="1" topLeftCell="A2" activePane="bottomLeft" state="frozen"/>
      <selection pane="bottomLeft" activeCell="D1" sqref="D1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7109375" style="2" hidden="1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7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16384" width="8.7109375" style="2"/>
  </cols>
  <sheetData>
    <row r="1" spans="1:19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</row>
    <row r="2" spans="1:19" x14ac:dyDescent="0.25">
      <c r="A2" s="11" t="str">
        <f>IF(F2="G", "TRUE","FALSE")</f>
        <v>FALSE</v>
      </c>
      <c r="B2" s="11" t="str">
        <f>IF(ISBLANK(G2),"FALSE","TRUE")</f>
        <v>FALSE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IF(ISBLANK(E2),"FALSE","TRUE")</f>
        <v>TRUE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1</v>
      </c>
      <c r="S2" s="10" t="s">
        <v>11</v>
      </c>
    </row>
    <row r="3" spans="1:19" x14ac:dyDescent="0.25">
      <c r="A3" s="11" t="str">
        <f t="shared" ref="A3:A7" si="0">IF(F3="G", "TRUE","FALSE")</f>
        <v>FALSE</v>
      </c>
      <c r="B3" s="11" t="str">
        <f t="shared" ref="B3:B7" si="1">IF(ISBLANK(G3),"FALSE","TRUE")</f>
        <v>FALSE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 t="shared" ref="H3:H7" si="3">IF(ISBLANK(E3),"FALSE","TRUE")</f>
        <v>TRUE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2</v>
      </c>
      <c r="S3" s="10" t="s">
        <v>11</v>
      </c>
    </row>
    <row r="4" spans="1:19" x14ac:dyDescent="0.25">
      <c r="A4" s="11" t="str">
        <f t="shared" si="0"/>
        <v>FALSE</v>
      </c>
      <c r="B4" s="11" t="str">
        <f t="shared" si="1"/>
        <v>FALSE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 t="shared" si="3"/>
        <v>TRUE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3</v>
      </c>
      <c r="S4" s="10" t="s">
        <v>11</v>
      </c>
    </row>
    <row r="5" spans="1:19" x14ac:dyDescent="0.25">
      <c r="A5" s="11" t="str">
        <f t="shared" si="0"/>
        <v>TRUE</v>
      </c>
      <c r="B5" s="11" t="str">
        <f t="shared" si="1"/>
        <v>FALSE</v>
      </c>
      <c r="C5" s="10" t="str">
        <f t="shared" si="2"/>
        <v>FIN200 100</v>
      </c>
      <c r="D5" s="15" t="s">
        <v>34</v>
      </c>
      <c r="E5" s="15">
        <v>100</v>
      </c>
      <c r="F5" s="16" t="s">
        <v>16</v>
      </c>
      <c r="G5" s="16"/>
      <c r="H5" s="11" t="str">
        <f t="shared" si="3"/>
        <v>TRUE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12</v>
      </c>
    </row>
    <row r="6" spans="1:19" x14ac:dyDescent="0.25">
      <c r="A6" s="11" t="str">
        <f t="shared" si="0"/>
        <v>TRUE</v>
      </c>
      <c r="B6" s="11" t="str">
        <f t="shared" si="1"/>
        <v>FALSE</v>
      </c>
      <c r="C6" s="10" t="str">
        <f t="shared" si="2"/>
        <v>FIN200 200</v>
      </c>
      <c r="D6" s="15" t="s">
        <v>34</v>
      </c>
      <c r="E6" s="15">
        <v>200</v>
      </c>
      <c r="F6" s="16" t="s">
        <v>16</v>
      </c>
      <c r="G6" s="16"/>
      <c r="H6" s="11" t="str">
        <f t="shared" si="3"/>
        <v>TRUE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12</v>
      </c>
    </row>
    <row r="7" spans="1:19" x14ac:dyDescent="0.25">
      <c r="A7" s="11" t="str">
        <f t="shared" si="0"/>
        <v>TRUE</v>
      </c>
      <c r="B7" s="11" t="str">
        <f t="shared" si="1"/>
        <v>FALSE</v>
      </c>
      <c r="C7" s="10" t="str">
        <f t="shared" si="2"/>
        <v>FIN200 300</v>
      </c>
      <c r="D7" s="15" t="s">
        <v>34</v>
      </c>
      <c r="E7" s="15">
        <v>300</v>
      </c>
      <c r="F7" s="16" t="s">
        <v>16</v>
      </c>
      <c r="G7" s="16"/>
      <c r="H7" s="11" t="str">
        <f t="shared" si="3"/>
        <v>TRUE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12</v>
      </c>
    </row>
    <row r="8" spans="1:19" s="3" customFormat="1" x14ac:dyDescent="0.25">
      <c r="A8" s="13" t="str">
        <f>IF(F8="G", "TRUE","FALSE")</f>
        <v>TRUE</v>
      </c>
      <c r="B8" s="13" t="str">
        <f>IF(ISBLANK(G8),"FALSE","TRUE")</f>
        <v>FALSE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/>
      <c r="H8" s="13" t="str">
        <f>IF(ISBLANK(E8),"FALSE","TRUE")</f>
        <v>TRUE</v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10</v>
      </c>
    </row>
    <row r="9" spans="1:19" s="3" customFormat="1" x14ac:dyDescent="0.25">
      <c r="D9" s="5"/>
      <c r="Q9"/>
      <c r="R9"/>
    </row>
    <row r="11" spans="1:19" s="3" customFormat="1" x14ac:dyDescent="0.25">
      <c r="D11" s="5"/>
      <c r="Q11"/>
      <c r="R11"/>
    </row>
    <row r="12" spans="1:19" s="3" customFormat="1" x14ac:dyDescent="0.25">
      <c r="D12" s="5"/>
      <c r="Q12"/>
      <c r="R12"/>
    </row>
    <row r="15" spans="1:19" s="3" customFormat="1" ht="13.9" customHeight="1" x14ac:dyDescent="0.25">
      <c r="D15" s="5"/>
      <c r="Q15"/>
      <c r="R15"/>
    </row>
    <row r="16" spans="1:19" s="3" customFormat="1" x14ac:dyDescent="0.25">
      <c r="D16" s="5"/>
      <c r="Q16"/>
      <c r="R16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19050</xdr:colOff>
                    <xdr:row>2</xdr:row>
                    <xdr:rowOff>161925</xdr:rowOff>
                  </from>
                  <to>
                    <xdr:col>23</xdr:col>
                    <xdr:colOff>95250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34" sqref="F34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"/>
  <sheetViews>
    <sheetView workbookViewId="0">
      <selection activeCell="G7" sqref="G7"/>
    </sheetView>
  </sheetViews>
  <sheetFormatPr defaultColWidth="8.7109375" defaultRowHeight="15" x14ac:dyDescent="0.25"/>
  <cols>
    <col min="2" max="2" width="9.140625" bestFit="1" customWidth="1"/>
    <col min="3" max="3" width="8.85546875" bestFit="1" customWidth="1"/>
    <col min="4" max="4" width="12.140625" bestFit="1" customWidth="1"/>
    <col min="5" max="5" width="10.28515625" bestFit="1" customWidth="1"/>
    <col min="6" max="6" width="7.28515625" bestFit="1" customWidth="1"/>
  </cols>
  <sheetData>
    <row r="1" spans="1:6" x14ac:dyDescent="0.25">
      <c r="A1" s="20" t="s">
        <v>69</v>
      </c>
      <c r="B1" s="20"/>
      <c r="C1" s="20"/>
      <c r="D1" s="20"/>
      <c r="E1" s="20"/>
      <c r="F1" s="20"/>
    </row>
    <row r="2" spans="1:6" x14ac:dyDescent="0.25">
      <c r="B2" t="s">
        <v>70</v>
      </c>
      <c r="C2" t="s">
        <v>71</v>
      </c>
      <c r="D2" t="s">
        <v>72</v>
      </c>
      <c r="E2" t="s">
        <v>73</v>
      </c>
      <c r="F2" t="s">
        <v>74</v>
      </c>
    </row>
    <row r="3" spans="1:6" x14ac:dyDescent="0.25">
      <c r="B3">
        <v>1</v>
      </c>
      <c r="C3">
        <v>2</v>
      </c>
      <c r="D3">
        <v>1</v>
      </c>
      <c r="E3">
        <v>3</v>
      </c>
      <c r="F3">
        <v>2</v>
      </c>
    </row>
  </sheetData>
  <mergeCells count="1">
    <mergeCell ref="A1:F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Input_Professor</vt:lpstr>
      <vt:lpstr>Input_Course</vt:lpstr>
      <vt:lpstr>Block_Info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2017-02-16T01:30:00Z</dcterms:created>
  <dcterms:modified xsi:type="dcterms:W3CDTF">2017-03-01T17:47:58Z</dcterms:modified>
</cp:coreProperties>
</file>